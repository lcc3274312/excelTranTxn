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Systex\F25B\元大人壽\系統設計\"/>
    </mc:Choice>
  </mc:AlternateContent>
  <bookViews>
    <workbookView xWindow="0" yWindow="0" windowWidth="14652" windowHeight="5988" tabRatio="834" firstSheet="1" activeTab="3"/>
  </bookViews>
  <sheets>
    <sheet name="原則" sheetId="45" r:id="rId1"/>
    <sheet name="目錄" sheetId="6" r:id="rId2"/>
    <sheet name="備註" sheetId="38" r:id="rId3"/>
    <sheet name="LifeIns" sheetId="15" r:id="rId4"/>
    <sheet name="LifeIns_Data" sheetId="77" r:id="rId5"/>
    <sheet name="LifeInsMultiKind" sheetId="16" r:id="rId6"/>
    <sheet name="LifeInsMultiCuy" sheetId="17" r:id="rId7"/>
    <sheet name="LifeInsExchangeRate" sheetId="76" r:id="rId8"/>
    <sheet name="LifeInsExchangeRate_Data" sheetId="82" r:id="rId9"/>
    <sheet name="LifeInsAmtPlan" sheetId="19" r:id="rId10"/>
    <sheet name="LifeInsAmtPlan_Data" sheetId="63" r:id="rId11"/>
    <sheet name="LifeInsYear" sheetId="8" r:id="rId12"/>
    <sheet name="LifeInsYear_Data" sheetId="61" r:id="rId13"/>
    <sheet name="LifeInsAmtLimitAge" sheetId="12" r:id="rId14"/>
    <sheet name="LifeInsAmtLimitAge_Data" sheetId="83" r:id="rId15"/>
    <sheet name="LifeInsAmtLimitJobGrade" sheetId="13" r:id="rId16"/>
    <sheet name="LifeInsAmtLimitJobGrade_Data" sheetId="84" r:id="rId17"/>
    <sheet name="LifeInsAmtLimitInvBgn" sheetId="133" r:id="rId18"/>
    <sheet name="LifeInsAmtLimitInvBgn_Data" sheetId="130" r:id="rId19"/>
    <sheet name="LifeInsAmtLimitInvEnd" sheetId="132" r:id="rId20"/>
    <sheet name="LifeInsAmtLimitInvEnd_Data" sheetId="131" r:id="rId21"/>
    <sheet name="LifeInsAnnuityAccYearLimit" sheetId="134" r:id="rId22"/>
    <sheet name="LifeInsAnnuityAccYearLimit_Data" sheetId="135" r:id="rId23"/>
    <sheet name="LifeInsDiscountPayWay" sheetId="18" r:id="rId24"/>
    <sheet name="LifeInsDiscountPayWay_Data" sheetId="80" r:id="rId25"/>
    <sheet name="LifeInsDiscountPayWay_Rule" sheetId="44" r:id="rId26"/>
    <sheet name="LifeInsDiscountHighAmt" sheetId="10" r:id="rId27"/>
    <sheet name="LifeInsDiscountHighAmt_Data" sheetId="85" r:id="rId28"/>
    <sheet name="LifeInsDiscountHighPrem" sheetId="9" r:id="rId29"/>
    <sheet name="LifeInsDiscountHighPrem_Data" sheetId="86" r:id="rId30"/>
    <sheet name="LifeInsAddRuleMaster" sheetId="57" r:id="rId31"/>
    <sheet name="LifeInsAddRuleMaster_Data" sheetId="81" r:id="rId32"/>
    <sheet name="LifeInsAddRuleRider" sheetId="30" r:id="rId33"/>
    <sheet name="LifeInsAddRuleRider_Data" sheetId="56" r:id="rId34"/>
    <sheet name="LifeInsPlanInputField" sheetId="37" r:id="rId35"/>
    <sheet name="LifeInsPlanInputField_Data" sheetId="39" r:id="rId36"/>
    <sheet name="LifeInsPlanInputFieldMap" sheetId="36" r:id="rId37"/>
    <sheet name="LifeInsPlanInputFieldMap_Data" sheetId="88" r:id="rId38"/>
    <sheet name="LifeInsPlanInputSetting_Rule" sheetId="43" r:id="rId39"/>
    <sheet name="LifeInsJobCode" sheetId="29" r:id="rId40"/>
    <sheet name="LifeInsJobCode_Data" sheetId="46" r:id="rId41"/>
    <sheet name="LifeInsUWRuleDescription" sheetId="123" r:id="rId42"/>
    <sheet name="LifeInsUWRule" sheetId="24" r:id="rId43"/>
    <sheet name="LifeInsUWParam" sheetId="23" r:id="rId44"/>
    <sheet name="LifeInsUWPhysical" sheetId="21" r:id="rId45"/>
    <sheet name="LifeInsActFactorGP" sheetId="110" r:id="rId46"/>
    <sheet name="LifeInsActFactorPV" sheetId="111" r:id="rId47"/>
    <sheet name="LifeInsActFactorCSV" sheetId="112" r:id="rId48"/>
    <sheet name="LifeInsActFactorRPU" sheetId="113" r:id="rId49"/>
    <sheet name="LifeInsActFactorETI" sheetId="114" r:id="rId50"/>
    <sheet name="LifeInsActFactorETS" sheetId="115" r:id="rId51"/>
    <sheet name="LifeInsActFactorFA" sheetId="116" r:id="rId52"/>
    <sheet name="LifeInsActFactorNSPRPU" sheetId="117" r:id="rId53"/>
    <sheet name="LifeInsActFactorMB" sheetId="146" r:id="rId54"/>
    <sheet name="LifeInsActFactorCR" sheetId="118" r:id="rId55"/>
    <sheet name="LifeInsActFactorCOI" sheetId="136" r:id="rId56"/>
    <sheet name="LifeInsActFactorCOI_Data" sheetId="143" r:id="rId57"/>
    <sheet name="LifeInsActFactorAnnuity" sheetId="137" r:id="rId58"/>
    <sheet name="LifeInsActFactorAnnuity_Data" sheetId="144" r:id="rId59"/>
    <sheet name="LifeInsPolicyFeeRate" sheetId="138" r:id="rId60"/>
    <sheet name="LifeInsPolicyFeeRate_Data" sheetId="139" r:id="rId61"/>
    <sheet name="LifeInsEndorsementAmtAdj" sheetId="141" r:id="rId62"/>
    <sheet name="LifeInsEndorsementAmtAdj_Data" sheetId="142" r:id="rId63"/>
    <sheet name="LifeInsCalcTypePrem" sheetId="26" r:id="rId64"/>
    <sheet name="LifeInsCalcTypeBenefit" sheetId="27" r:id="rId65"/>
    <sheet name="LifeInsCalcTypeBenefitInv" sheetId="126" r:id="rId66"/>
    <sheet name="LifeInsCalcTypeAnnuity" sheetId="140" r:id="rId67"/>
    <sheet name="LifeInsCorePlanCodeMap" sheetId="105" r:id="rId68"/>
    <sheet name="LifeInsCorePlanCodeMap_Data" sheetId="104" r:id="rId69"/>
    <sheet name="ChannelPackage" sheetId="33" r:id="rId70"/>
    <sheet name="ChannelPackage_Data" sheetId="92" r:id="rId71"/>
    <sheet name="ChannelPackageMap" sheetId="31" r:id="rId72"/>
    <sheet name="ChannelPackageMap_Data" sheetId="90" r:id="rId73"/>
    <sheet name="ChannelPlanView" sheetId="35" r:id="rId74"/>
    <sheet name="ChannelPlanView_Data" sheetId="91" r:id="rId75"/>
    <sheet name="ChannelPackagePlan" sheetId="32" r:id="rId76"/>
    <sheet name="ChannelPackagePlan_Data" sheetId="93" r:id="rId77"/>
    <sheet name="ChannelPackagePlanYear" sheetId="64" r:id="rId78"/>
    <sheet name="ChannelPackagePlanYear_Data" sheetId="94" r:id="rId79"/>
    <sheet name="ChannelPackageAmtLimitAge" sheetId="65" r:id="rId80"/>
    <sheet name="ChannelPackageAmtLimitAge_Data" sheetId="95" r:id="rId81"/>
    <sheet name="ChannelCommRate" sheetId="75" r:id="rId82"/>
    <sheet name="ChannelCommRate_Data" sheetId="106" r:id="rId83"/>
    <sheet name="UserProposal" sheetId="47" r:id="rId84"/>
    <sheet name="UserProposalInsObject" sheetId="48" r:id="rId85"/>
    <sheet name="UserProposalPlan" sheetId="49" r:id="rId86"/>
    <sheet name="UserProposalPrem" sheetId="66" r:id="rId87"/>
    <sheet name="UserProposalEndorsement" sheetId="145" r:id="rId88"/>
    <sheet name="UserAgentInfo" sheetId="52" r:id="rId89"/>
    <sheet name="SysApiLog" sheetId="101" r:id="rId90"/>
    <sheet name="SysApiLog_Data" sheetId="107" r:id="rId91"/>
    <sheet name="SysLoginInfo" sheetId="51" r:id="rId92"/>
    <sheet name="SysAgentInfo" sheetId="102" r:id="rId93"/>
    <sheet name="SysChannelData" sheetId="50" r:id="rId94"/>
    <sheet name="SysDocument" sheetId="53" r:id="rId95"/>
    <sheet name="SysDocumentRule" sheetId="71" r:id="rId96"/>
    <sheet name="SysDocumentFile" sheetId="70" r:id="rId97"/>
    <sheet name="SysDocument_Data" sheetId="67" r:id="rId98"/>
    <sheet name="SysDocumentRule_Data" sheetId="69" r:id="rId99"/>
    <sheet name="SysDocumentFile_Data" sheetId="68" r:id="rId100"/>
    <sheet name="SysTargetCodeMap" sheetId="147" r:id="rId101"/>
    <sheet name="BatchActFactorImport" sheetId="125" r:id="rId102"/>
    <sheet name="ORG.TBIAS_AGNT_EMPY" sheetId="100" r:id="rId103"/>
    <sheet name="TBIAS_PARM_TRGT_CODE" sheetId="41" r:id="rId104"/>
    <sheet name="TBIAS_PARM_GLOBLE_CODE" sheetId="42" r:id="rId105"/>
    <sheet name="BrfErrorCode" sheetId="72" r:id="rId106"/>
    <sheet name="TrackLog" sheetId="119" r:id="rId107"/>
    <sheet name="TrackLog_Data" sheetId="120" r:id="rId108"/>
  </sheets>
  <calcPr calcId="152511" iterate="1" iterateDelta="0.01" calcOnSave="0"/>
</workbook>
</file>

<file path=xl/calcChain.xml><?xml version="1.0" encoding="utf-8"?>
<calcChain xmlns="http://schemas.openxmlformats.org/spreadsheetml/2006/main">
  <c r="I3" i="6" l="1"/>
  <c r="J3" i="6"/>
  <c r="K3" i="6"/>
  <c r="I4" i="6"/>
  <c r="J4" i="6"/>
  <c r="K4" i="6"/>
  <c r="I5" i="6"/>
  <c r="J5" i="6"/>
  <c r="K5" i="6"/>
  <c r="I6" i="6"/>
  <c r="J6" i="6"/>
  <c r="K6" i="6"/>
  <c r="I7" i="6"/>
  <c r="J7" i="6"/>
  <c r="K7" i="6"/>
  <c r="I8" i="6"/>
  <c r="J8" i="6"/>
  <c r="K8" i="6"/>
  <c r="I9" i="6"/>
  <c r="J9" i="6"/>
  <c r="K9" i="6"/>
  <c r="I10" i="6"/>
  <c r="J10" i="6"/>
  <c r="K10" i="6"/>
  <c r="I11" i="6"/>
  <c r="J11" i="6"/>
  <c r="K11" i="6"/>
  <c r="I12" i="6"/>
  <c r="J12" i="6"/>
  <c r="K12" i="6"/>
  <c r="I13" i="6"/>
  <c r="J13" i="6"/>
  <c r="K13" i="6"/>
  <c r="I14" i="6"/>
  <c r="J14" i="6"/>
  <c r="K14" i="6"/>
  <c r="I15" i="6"/>
  <c r="J15" i="6"/>
  <c r="K15" i="6"/>
  <c r="I16" i="6"/>
  <c r="J16" i="6"/>
  <c r="K16" i="6"/>
  <c r="I17" i="6"/>
  <c r="J17" i="6"/>
  <c r="K17" i="6"/>
  <c r="I18" i="6"/>
  <c r="J18" i="6"/>
  <c r="K18" i="6"/>
  <c r="I19" i="6"/>
  <c r="J19" i="6"/>
  <c r="K19" i="6"/>
  <c r="I20" i="6"/>
  <c r="J20" i="6"/>
  <c r="K20" i="6"/>
  <c r="I21" i="6"/>
  <c r="J21" i="6"/>
  <c r="K21" i="6"/>
  <c r="I22" i="6"/>
  <c r="J22" i="6"/>
  <c r="K22" i="6"/>
  <c r="I23" i="6"/>
  <c r="J23" i="6"/>
  <c r="K23" i="6"/>
  <c r="I24" i="6"/>
  <c r="J24" i="6"/>
  <c r="K24" i="6"/>
  <c r="I25" i="6"/>
  <c r="J25" i="6"/>
  <c r="K25" i="6"/>
  <c r="I26" i="6"/>
  <c r="J26" i="6"/>
  <c r="K26" i="6"/>
  <c r="I27" i="6"/>
  <c r="J27" i="6"/>
  <c r="K27" i="6"/>
  <c r="I28" i="6"/>
  <c r="J28" i="6"/>
  <c r="K28" i="6"/>
  <c r="I29" i="6"/>
  <c r="J29" i="6"/>
  <c r="K29" i="6"/>
  <c r="I30" i="6"/>
  <c r="J30" i="6"/>
  <c r="K30" i="6"/>
  <c r="I31" i="6"/>
  <c r="J31" i="6"/>
  <c r="K31" i="6"/>
  <c r="I32" i="6"/>
  <c r="J32" i="6"/>
  <c r="K32" i="6"/>
  <c r="I33" i="6"/>
  <c r="J33" i="6"/>
  <c r="K33" i="6"/>
  <c r="I34" i="6"/>
  <c r="J34" i="6"/>
  <c r="K34" i="6"/>
  <c r="I35" i="6"/>
  <c r="J35" i="6"/>
  <c r="K35" i="6"/>
  <c r="I36" i="6"/>
  <c r="J36" i="6"/>
  <c r="K36" i="6"/>
  <c r="I37" i="6"/>
  <c r="J37" i="6"/>
  <c r="K37" i="6"/>
  <c r="I38" i="6"/>
  <c r="J38" i="6"/>
  <c r="K38" i="6"/>
  <c r="I39" i="6"/>
  <c r="J39" i="6"/>
  <c r="K39" i="6"/>
  <c r="I40" i="6"/>
  <c r="J40" i="6"/>
  <c r="K40" i="6"/>
  <c r="I41" i="6"/>
  <c r="J41" i="6"/>
  <c r="K41" i="6"/>
  <c r="I42" i="6"/>
  <c r="J42" i="6"/>
  <c r="K42" i="6"/>
  <c r="I43" i="6"/>
  <c r="J43" i="6"/>
  <c r="K43" i="6"/>
  <c r="I44" i="6"/>
  <c r="J44" i="6"/>
  <c r="K44" i="6"/>
  <c r="I45" i="6"/>
  <c r="J45" i="6"/>
  <c r="K45" i="6"/>
  <c r="I46" i="6"/>
  <c r="J46" i="6"/>
  <c r="K46" i="6"/>
  <c r="I47" i="6"/>
  <c r="J47" i="6"/>
  <c r="K47" i="6"/>
  <c r="I48" i="6"/>
  <c r="J48" i="6"/>
  <c r="K48" i="6"/>
  <c r="I49" i="6"/>
  <c r="J49" i="6"/>
  <c r="K49" i="6"/>
  <c r="I50" i="6"/>
  <c r="J50" i="6"/>
  <c r="K50" i="6"/>
  <c r="I51" i="6"/>
  <c r="J51" i="6"/>
  <c r="K51" i="6"/>
  <c r="I52" i="6"/>
  <c r="J52" i="6"/>
  <c r="K52" i="6"/>
  <c r="I53" i="6"/>
  <c r="J53" i="6"/>
  <c r="K53" i="6"/>
  <c r="I54" i="6"/>
  <c r="J54" i="6"/>
  <c r="K54" i="6"/>
  <c r="I55" i="6"/>
  <c r="J55" i="6"/>
  <c r="K55" i="6"/>
  <c r="I56" i="6"/>
  <c r="J56" i="6"/>
  <c r="K56" i="6"/>
  <c r="I57" i="6"/>
  <c r="J57" i="6"/>
  <c r="K57" i="6"/>
  <c r="I58" i="6"/>
  <c r="J58" i="6"/>
  <c r="K58" i="6"/>
  <c r="I59" i="6"/>
  <c r="J59" i="6"/>
  <c r="K59" i="6"/>
  <c r="I60" i="6"/>
  <c r="J60" i="6"/>
  <c r="K60" i="6"/>
  <c r="I61" i="6"/>
  <c r="J61" i="6"/>
  <c r="K61" i="6"/>
  <c r="I62" i="6"/>
  <c r="J62" i="6"/>
  <c r="K62" i="6"/>
  <c r="I63" i="6"/>
  <c r="J63" i="6"/>
  <c r="K63" i="6"/>
  <c r="I64" i="6"/>
  <c r="J64" i="6"/>
  <c r="K64" i="6"/>
  <c r="I65" i="6"/>
  <c r="J65" i="6"/>
  <c r="K65" i="6"/>
  <c r="I66" i="6"/>
  <c r="J66" i="6"/>
  <c r="K66" i="6"/>
  <c r="I67" i="6"/>
  <c r="J67" i="6"/>
  <c r="K67" i="6"/>
  <c r="I68" i="6"/>
  <c r="J68" i="6"/>
  <c r="K68" i="6"/>
  <c r="I69" i="6"/>
  <c r="J69" i="6"/>
  <c r="K69" i="6"/>
  <c r="I70" i="6"/>
  <c r="J70" i="6"/>
  <c r="K70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J8" i="126" l="1"/>
  <c r="S2" i="146" l="1"/>
  <c r="R2" i="146"/>
  <c r="Q2" i="146"/>
  <c r="P2" i="146"/>
  <c r="O2" i="146"/>
  <c r="N2" i="146"/>
  <c r="J4" i="140" l="1"/>
  <c r="J5" i="140"/>
  <c r="J6" i="140"/>
  <c r="J7" i="140"/>
  <c r="J8" i="140"/>
  <c r="J9" i="140"/>
  <c r="J10" i="140"/>
  <c r="J11" i="140"/>
  <c r="J12" i="140"/>
  <c r="J13" i="140"/>
  <c r="S42" i="15" l="1"/>
  <c r="R42" i="15"/>
  <c r="Q42" i="15"/>
  <c r="P42" i="15"/>
  <c r="O42" i="15"/>
  <c r="N42" i="15"/>
  <c r="J3" i="140" l="1"/>
  <c r="J4" i="126"/>
  <c r="J5" i="126"/>
  <c r="J6" i="126"/>
  <c r="J9" i="126"/>
  <c r="J10" i="126"/>
  <c r="J11" i="126"/>
  <c r="J12" i="126"/>
  <c r="J13" i="126"/>
  <c r="J14" i="126"/>
  <c r="J15" i="126"/>
  <c r="J16" i="126"/>
  <c r="J17" i="126"/>
  <c r="J18" i="126"/>
  <c r="J19" i="126"/>
  <c r="J20" i="126"/>
  <c r="J21" i="126"/>
  <c r="J22" i="126"/>
  <c r="J23" i="126"/>
  <c r="J24" i="126"/>
  <c r="J25" i="126"/>
  <c r="J7" i="126"/>
  <c r="J27" i="126"/>
  <c r="J28" i="126"/>
  <c r="J3" i="126"/>
  <c r="J43" i="39" l="1"/>
  <c r="S2" i="141" l="1"/>
  <c r="R2" i="141"/>
  <c r="Q2" i="141"/>
  <c r="P2" i="141"/>
  <c r="O2" i="141"/>
  <c r="N2" i="141"/>
  <c r="S2" i="140" l="1"/>
  <c r="R2" i="140"/>
  <c r="Q2" i="140"/>
  <c r="P2" i="140"/>
  <c r="O2" i="140"/>
  <c r="N2" i="140"/>
  <c r="S2" i="126"/>
  <c r="R2" i="126"/>
  <c r="Q2" i="126"/>
  <c r="P2" i="126"/>
  <c r="O2" i="126"/>
  <c r="N2" i="126"/>
  <c r="S2" i="138" l="1"/>
  <c r="R2" i="138"/>
  <c r="Q2" i="138"/>
  <c r="P2" i="138"/>
  <c r="O2" i="138"/>
  <c r="N2" i="138"/>
  <c r="S2" i="137" l="1"/>
  <c r="R2" i="137"/>
  <c r="Q2" i="137"/>
  <c r="P2" i="137"/>
  <c r="O2" i="137"/>
  <c r="N2" i="137"/>
  <c r="S2" i="136" l="1"/>
  <c r="R2" i="136"/>
  <c r="Q2" i="136"/>
  <c r="P2" i="136"/>
  <c r="O2" i="136"/>
  <c r="N2" i="136"/>
  <c r="S2" i="134" l="1"/>
  <c r="R2" i="134"/>
  <c r="Q2" i="134"/>
  <c r="P2" i="134"/>
  <c r="O2" i="134"/>
  <c r="N2" i="134"/>
  <c r="J30" i="39" l="1"/>
  <c r="J31" i="39"/>
  <c r="J32" i="39"/>
  <c r="J33" i="39"/>
  <c r="J34" i="39"/>
  <c r="J35" i="39"/>
  <c r="J36" i="39"/>
  <c r="J37" i="39"/>
  <c r="J38" i="39"/>
  <c r="J39" i="39"/>
  <c r="J40" i="39"/>
  <c r="J41" i="39"/>
  <c r="J42" i="39"/>
  <c r="Q39" i="15" l="1"/>
  <c r="Q38" i="15"/>
  <c r="N38" i="15"/>
  <c r="O38" i="15"/>
  <c r="P38" i="15"/>
  <c r="R38" i="15"/>
  <c r="S2" i="133" l="1"/>
  <c r="R2" i="133"/>
  <c r="Q2" i="133"/>
  <c r="P2" i="133"/>
  <c r="O2" i="133"/>
  <c r="N2" i="133"/>
  <c r="S2" i="132"/>
  <c r="R2" i="132"/>
  <c r="Q2" i="132"/>
  <c r="P2" i="132"/>
  <c r="O2" i="132"/>
  <c r="N2" i="132"/>
  <c r="Q33" i="15" l="1"/>
  <c r="N33" i="15"/>
  <c r="O33" i="15"/>
  <c r="P33" i="15"/>
  <c r="R33" i="15"/>
  <c r="R93" i="68" l="1"/>
  <c r="R95" i="68"/>
  <c r="K93" i="68"/>
  <c r="K94" i="68"/>
  <c r="R94" i="68" s="1"/>
  <c r="K95" i="68"/>
  <c r="K96" i="68"/>
  <c r="R96" i="68" s="1"/>
  <c r="K97" i="68"/>
  <c r="R97" i="68" s="1"/>
  <c r="K98" i="68"/>
  <c r="R98" i="68" s="1"/>
  <c r="K99" i="68"/>
  <c r="R99" i="68" s="1"/>
  <c r="K100" i="68"/>
  <c r="R100" i="68" s="1"/>
  <c r="J93" i="67"/>
  <c r="J94" i="67"/>
  <c r="J95" i="67"/>
  <c r="J96" i="67"/>
  <c r="J97" i="67"/>
  <c r="J98" i="67"/>
  <c r="J99" i="67"/>
  <c r="J100" i="67"/>
  <c r="K4" i="68"/>
  <c r="K3" i="68"/>
  <c r="K2" i="68"/>
  <c r="K6" i="68" l="1"/>
  <c r="K7" i="68"/>
  <c r="K8" i="68"/>
  <c r="K9" i="68"/>
  <c r="K10" i="68"/>
  <c r="K11" i="68"/>
  <c r="K12" i="68"/>
  <c r="K13" i="68"/>
  <c r="R13" i="68" s="1"/>
  <c r="K14" i="68"/>
  <c r="K15" i="68"/>
  <c r="K16" i="68"/>
  <c r="K17" i="68"/>
  <c r="K18" i="68"/>
  <c r="K19" i="68"/>
  <c r="K20" i="68"/>
  <c r="K21" i="68"/>
  <c r="R21" i="68" s="1"/>
  <c r="K22" i="68"/>
  <c r="K23" i="68"/>
  <c r="K24" i="68"/>
  <c r="K25" i="68"/>
  <c r="K26" i="68"/>
  <c r="K27" i="68"/>
  <c r="K28" i="68"/>
  <c r="K29" i="68"/>
  <c r="K30" i="68"/>
  <c r="K31" i="68"/>
  <c r="K32" i="68"/>
  <c r="K33" i="68"/>
  <c r="K34" i="68"/>
  <c r="K35" i="68"/>
  <c r="K36" i="68"/>
  <c r="K37" i="68"/>
  <c r="R37" i="68" s="1"/>
  <c r="K38" i="68"/>
  <c r="K39" i="68"/>
  <c r="K40" i="68"/>
  <c r="K41" i="68"/>
  <c r="K42" i="68"/>
  <c r="K43" i="68"/>
  <c r="K44" i="68"/>
  <c r="K45" i="68"/>
  <c r="R45" i="68" s="1"/>
  <c r="K46" i="68"/>
  <c r="K47" i="68"/>
  <c r="K48" i="68"/>
  <c r="K49" i="68"/>
  <c r="K50" i="68"/>
  <c r="K51" i="68"/>
  <c r="K52" i="68"/>
  <c r="K53" i="68"/>
  <c r="R53" i="68" s="1"/>
  <c r="K54" i="68"/>
  <c r="K55" i="68"/>
  <c r="K56" i="68"/>
  <c r="K57" i="68"/>
  <c r="K58" i="68"/>
  <c r="K59" i="68"/>
  <c r="K60" i="68"/>
  <c r="K61" i="68"/>
  <c r="R61" i="68" s="1"/>
  <c r="K62" i="68"/>
  <c r="K63" i="68"/>
  <c r="K64" i="68"/>
  <c r="K65" i="68"/>
  <c r="K66" i="68"/>
  <c r="K67" i="68"/>
  <c r="K68" i="68"/>
  <c r="K69" i="68"/>
  <c r="R69" i="68" s="1"/>
  <c r="K70" i="68"/>
  <c r="K71" i="68"/>
  <c r="K72" i="68"/>
  <c r="K73" i="68"/>
  <c r="K74" i="68"/>
  <c r="K75" i="68"/>
  <c r="K76" i="68"/>
  <c r="K77" i="68"/>
  <c r="K78" i="68"/>
  <c r="K79" i="68"/>
  <c r="K80" i="68"/>
  <c r="K81" i="68"/>
  <c r="K82" i="68"/>
  <c r="K83" i="68"/>
  <c r="K84" i="68"/>
  <c r="K85" i="68"/>
  <c r="R85" i="68" s="1"/>
  <c r="K86" i="68"/>
  <c r="K87" i="68"/>
  <c r="K88" i="68"/>
  <c r="K89" i="68"/>
  <c r="K90" i="68"/>
  <c r="K91" i="68"/>
  <c r="K92" i="68"/>
  <c r="K5" i="68"/>
  <c r="R10" i="68"/>
  <c r="R9" i="68"/>
  <c r="R12" i="68"/>
  <c r="R17" i="68"/>
  <c r="R20" i="68"/>
  <c r="R28" i="68"/>
  <c r="R29" i="68"/>
  <c r="R36" i="68"/>
  <c r="R44" i="68"/>
  <c r="R52" i="68"/>
  <c r="R76" i="68"/>
  <c r="R77" i="68"/>
  <c r="R84" i="68"/>
  <c r="R3" i="68"/>
  <c r="R4" i="68"/>
  <c r="R5" i="68"/>
  <c r="R6" i="68"/>
  <c r="R7" i="68"/>
  <c r="R8" i="68"/>
  <c r="R11" i="68"/>
  <c r="R14" i="68"/>
  <c r="R15" i="68"/>
  <c r="R16" i="68"/>
  <c r="R18" i="68"/>
  <c r="R19" i="68"/>
  <c r="R22" i="68"/>
  <c r="R23" i="68"/>
  <c r="R24" i="68"/>
  <c r="R25" i="68"/>
  <c r="R26" i="68"/>
  <c r="R27" i="68"/>
  <c r="R30" i="68"/>
  <c r="R31" i="68"/>
  <c r="R32" i="68"/>
  <c r="R33" i="68"/>
  <c r="R34" i="68"/>
  <c r="R35" i="68"/>
  <c r="R38" i="68"/>
  <c r="R39" i="68"/>
  <c r="R40" i="68"/>
  <c r="R41" i="68"/>
  <c r="R42" i="68"/>
  <c r="R43" i="68"/>
  <c r="R46" i="68"/>
  <c r="R47" i="68"/>
  <c r="R48" i="68"/>
  <c r="R49" i="68"/>
  <c r="R50" i="68"/>
  <c r="R51" i="68"/>
  <c r="R54" i="68"/>
  <c r="R55" i="68"/>
  <c r="R56" i="68"/>
  <c r="R57" i="68"/>
  <c r="R58" i="68"/>
  <c r="R59" i="68"/>
  <c r="R60" i="68"/>
  <c r="R62" i="68"/>
  <c r="R63" i="68"/>
  <c r="R64" i="68"/>
  <c r="R65" i="68"/>
  <c r="R66" i="68"/>
  <c r="R67" i="68"/>
  <c r="R68" i="68"/>
  <c r="R70" i="68"/>
  <c r="R71" i="68"/>
  <c r="R72" i="68"/>
  <c r="R73" i="68"/>
  <c r="R74" i="68"/>
  <c r="R75" i="68"/>
  <c r="R78" i="68"/>
  <c r="R79" i="68"/>
  <c r="R80" i="68"/>
  <c r="R81" i="68"/>
  <c r="R82" i="68"/>
  <c r="R83" i="68"/>
  <c r="R86" i="68"/>
  <c r="R87" i="68"/>
  <c r="R88" i="68"/>
  <c r="R89" i="68"/>
  <c r="R90" i="68"/>
  <c r="R91" i="68"/>
  <c r="R92" i="68"/>
  <c r="R2" i="68"/>
  <c r="R1" i="68"/>
  <c r="N1" i="69"/>
  <c r="J3" i="67"/>
  <c r="J4" i="67"/>
  <c r="J5" i="67"/>
  <c r="J6" i="67"/>
  <c r="J7" i="67"/>
  <c r="J8" i="67"/>
  <c r="J9" i="67"/>
  <c r="J10" i="67"/>
  <c r="J11" i="67"/>
  <c r="J12" i="67"/>
  <c r="J13" i="67"/>
  <c r="J14" i="67"/>
  <c r="J15" i="67"/>
  <c r="J16" i="67"/>
  <c r="J17" i="67"/>
  <c r="J18" i="67"/>
  <c r="J19" i="67"/>
  <c r="J20" i="67"/>
  <c r="J21" i="67"/>
  <c r="J22" i="67"/>
  <c r="J23" i="67"/>
  <c r="J24" i="67"/>
  <c r="J25" i="67"/>
  <c r="J26" i="67"/>
  <c r="J27" i="67"/>
  <c r="J28" i="67"/>
  <c r="J29" i="67"/>
  <c r="J30" i="67"/>
  <c r="J31" i="67"/>
  <c r="J32" i="67"/>
  <c r="J33" i="67"/>
  <c r="J34" i="67"/>
  <c r="J35" i="67"/>
  <c r="J36" i="67"/>
  <c r="J37" i="67"/>
  <c r="J38" i="67"/>
  <c r="J39" i="67"/>
  <c r="J40" i="67"/>
  <c r="J41" i="67"/>
  <c r="J42" i="67"/>
  <c r="J43" i="67"/>
  <c r="J44" i="67"/>
  <c r="J45" i="67"/>
  <c r="J46" i="67"/>
  <c r="J47" i="67"/>
  <c r="J48" i="67"/>
  <c r="J49" i="67"/>
  <c r="J50" i="67"/>
  <c r="J51" i="67"/>
  <c r="J52" i="67"/>
  <c r="J53" i="67"/>
  <c r="J54" i="67"/>
  <c r="J55" i="67"/>
  <c r="J56" i="67"/>
  <c r="J57" i="67"/>
  <c r="J58" i="67"/>
  <c r="J59" i="67"/>
  <c r="J60" i="67"/>
  <c r="J61" i="67"/>
  <c r="J62" i="67"/>
  <c r="J63" i="67"/>
  <c r="J64" i="67"/>
  <c r="J65" i="67"/>
  <c r="J66" i="67"/>
  <c r="J67" i="67"/>
  <c r="J68" i="67"/>
  <c r="J69" i="67"/>
  <c r="J70" i="67"/>
  <c r="J71" i="67"/>
  <c r="J72" i="67"/>
  <c r="J73" i="67"/>
  <c r="J74" i="67"/>
  <c r="J75" i="67"/>
  <c r="J76" i="67"/>
  <c r="J77" i="67"/>
  <c r="J78" i="67"/>
  <c r="J79" i="67"/>
  <c r="J80" i="67"/>
  <c r="J81" i="67"/>
  <c r="J82" i="67"/>
  <c r="J83" i="67"/>
  <c r="J84" i="67"/>
  <c r="J85" i="67"/>
  <c r="J86" i="67"/>
  <c r="J87" i="67"/>
  <c r="J88" i="67"/>
  <c r="J89" i="67"/>
  <c r="J90" i="67"/>
  <c r="J91" i="67"/>
  <c r="J92" i="67"/>
  <c r="J2" i="67"/>
  <c r="J1" i="67"/>
  <c r="N7" i="69" l="1"/>
  <c r="N98" i="69"/>
  <c r="N99" i="69"/>
  <c r="N100" i="69"/>
  <c r="N93" i="69"/>
  <c r="N94" i="69"/>
  <c r="N95" i="69"/>
  <c r="N96" i="69"/>
  <c r="N97" i="69"/>
  <c r="N54" i="69"/>
  <c r="N12" i="69"/>
  <c r="N70" i="69"/>
  <c r="N14" i="69"/>
  <c r="N85" i="69"/>
  <c r="N45" i="69"/>
  <c r="N3" i="69"/>
  <c r="N78" i="69"/>
  <c r="N38" i="69"/>
  <c r="N69" i="69"/>
  <c r="N13" i="69"/>
  <c r="N18" i="69"/>
  <c r="N62" i="69"/>
  <c r="N22" i="69"/>
  <c r="N2" i="69"/>
  <c r="N53" i="69"/>
  <c r="N21" i="69"/>
  <c r="N84" i="69"/>
  <c r="N60" i="69"/>
  <c r="N28" i="69"/>
  <c r="N75" i="69"/>
  <c r="N51" i="69"/>
  <c r="N27" i="69"/>
  <c r="N82" i="69"/>
  <c r="N50" i="69"/>
  <c r="N26" i="69"/>
  <c r="N81" i="69"/>
  <c r="N65" i="69"/>
  <c r="N49" i="69"/>
  <c r="N41" i="69"/>
  <c r="N33" i="69"/>
  <c r="N25" i="69"/>
  <c r="N17" i="69"/>
  <c r="N9" i="69"/>
  <c r="N86" i="69"/>
  <c r="N30" i="69"/>
  <c r="N77" i="69"/>
  <c r="N37" i="69"/>
  <c r="N5" i="69"/>
  <c r="N68" i="69"/>
  <c r="N44" i="69"/>
  <c r="N4" i="69"/>
  <c r="N83" i="69"/>
  <c r="N59" i="69"/>
  <c r="N35" i="69"/>
  <c r="N11" i="69"/>
  <c r="N90" i="69"/>
  <c r="N66" i="69"/>
  <c r="N42" i="69"/>
  <c r="N89" i="69"/>
  <c r="N57" i="69"/>
  <c r="N88" i="69"/>
  <c r="N80" i="69"/>
  <c r="N72" i="69"/>
  <c r="N64" i="69"/>
  <c r="N56" i="69"/>
  <c r="N48" i="69"/>
  <c r="N40" i="69"/>
  <c r="N32" i="69"/>
  <c r="N24" i="69"/>
  <c r="N16" i="69"/>
  <c r="N8" i="69"/>
  <c r="N46" i="69"/>
  <c r="N6" i="69"/>
  <c r="N61" i="69"/>
  <c r="N29" i="69"/>
  <c r="N92" i="69"/>
  <c r="N76" i="69"/>
  <c r="N52" i="69"/>
  <c r="N36" i="69"/>
  <c r="N20" i="69"/>
  <c r="N91" i="69"/>
  <c r="N67" i="69"/>
  <c r="N43" i="69"/>
  <c r="N19" i="69"/>
  <c r="N74" i="69"/>
  <c r="N58" i="69"/>
  <c r="N34" i="69"/>
  <c r="N10" i="69"/>
  <c r="N73" i="69"/>
  <c r="N87" i="69"/>
  <c r="N79" i="69"/>
  <c r="N71" i="69"/>
  <c r="N63" i="69"/>
  <c r="N55" i="69"/>
  <c r="N47" i="69"/>
  <c r="N39" i="69"/>
  <c r="N31" i="69"/>
  <c r="N23" i="69"/>
  <c r="N15" i="69"/>
  <c r="K2" i="6"/>
  <c r="J2" i="6"/>
  <c r="I2" i="6"/>
  <c r="S2" i="123" l="1"/>
  <c r="R2" i="123"/>
  <c r="Q2" i="123"/>
  <c r="P2" i="123"/>
  <c r="O2" i="123"/>
  <c r="N2" i="123"/>
  <c r="Q34" i="15" l="1"/>
  <c r="N34" i="15"/>
  <c r="O34" i="15"/>
  <c r="P34" i="15"/>
  <c r="R34" i="15"/>
  <c r="S2" i="118" l="1"/>
  <c r="R2" i="118"/>
  <c r="Q2" i="118"/>
  <c r="P2" i="118"/>
  <c r="O2" i="118"/>
  <c r="N2" i="118"/>
  <c r="S2" i="117" l="1"/>
  <c r="R2" i="117"/>
  <c r="Q2" i="117"/>
  <c r="P2" i="117"/>
  <c r="O2" i="117"/>
  <c r="N2" i="117"/>
  <c r="S2" i="116"/>
  <c r="R2" i="116"/>
  <c r="Q2" i="116"/>
  <c r="P2" i="116"/>
  <c r="O2" i="116"/>
  <c r="N2" i="116"/>
  <c r="S2" i="115"/>
  <c r="R2" i="115"/>
  <c r="Q2" i="115"/>
  <c r="P2" i="115"/>
  <c r="O2" i="115"/>
  <c r="N2" i="115"/>
  <c r="S2" i="113"/>
  <c r="R2" i="113"/>
  <c r="Q2" i="113"/>
  <c r="P2" i="113"/>
  <c r="O2" i="113"/>
  <c r="N2" i="113"/>
  <c r="S2" i="114"/>
  <c r="R2" i="114"/>
  <c r="Q2" i="114"/>
  <c r="P2" i="114"/>
  <c r="O2" i="114"/>
  <c r="N2" i="114"/>
  <c r="S2" i="112"/>
  <c r="R2" i="112"/>
  <c r="Q2" i="112"/>
  <c r="P2" i="112"/>
  <c r="O2" i="112"/>
  <c r="N2" i="112"/>
  <c r="S2" i="111"/>
  <c r="R2" i="111"/>
  <c r="Q2" i="111"/>
  <c r="P2" i="111"/>
  <c r="O2" i="111"/>
  <c r="N2" i="111"/>
  <c r="S2" i="110"/>
  <c r="R2" i="110"/>
  <c r="Q2" i="110"/>
  <c r="P2" i="110"/>
  <c r="O2" i="110"/>
  <c r="N2" i="110"/>
  <c r="Q35" i="15" l="1"/>
  <c r="N35" i="15"/>
  <c r="O35" i="15"/>
  <c r="P35" i="15"/>
  <c r="R35" i="15"/>
  <c r="S12" i="26" l="1"/>
  <c r="R12" i="26"/>
  <c r="Q12" i="26"/>
  <c r="P12" i="26"/>
  <c r="O12" i="26"/>
  <c r="N12" i="26"/>
  <c r="S11" i="26"/>
  <c r="R11" i="26"/>
  <c r="Q11" i="26"/>
  <c r="P11" i="26"/>
  <c r="O11" i="26"/>
  <c r="N11" i="26"/>
  <c r="S10" i="26"/>
  <c r="R10" i="26"/>
  <c r="Q10" i="26"/>
  <c r="P10" i="26"/>
  <c r="O10" i="26"/>
  <c r="N10" i="26"/>
  <c r="S9" i="26"/>
  <c r="R9" i="26"/>
  <c r="Q9" i="26"/>
  <c r="P9" i="26"/>
  <c r="O9" i="26"/>
  <c r="N9" i="26"/>
  <c r="S7" i="26"/>
  <c r="R7" i="26"/>
  <c r="Q7" i="26"/>
  <c r="P7" i="26"/>
  <c r="O7" i="26"/>
  <c r="N7" i="26"/>
  <c r="S6" i="26"/>
  <c r="R6" i="26"/>
  <c r="Q6" i="26"/>
  <c r="P6" i="26"/>
  <c r="O6" i="26"/>
  <c r="N6" i="26"/>
  <c r="S5" i="26"/>
  <c r="R5" i="26"/>
  <c r="Q5" i="26"/>
  <c r="P5" i="26"/>
  <c r="O5" i="26"/>
  <c r="N5" i="26"/>
  <c r="S4" i="26"/>
  <c r="R4" i="26"/>
  <c r="Q4" i="26"/>
  <c r="P4" i="26"/>
  <c r="O4" i="26"/>
  <c r="N4" i="26"/>
  <c r="S2" i="26"/>
  <c r="R2" i="26"/>
  <c r="Q2" i="26"/>
  <c r="P2" i="26"/>
  <c r="O2" i="26"/>
  <c r="N2" i="26"/>
  <c r="J12" i="51" l="1"/>
  <c r="J11" i="51"/>
  <c r="J14" i="39" l="1"/>
  <c r="J15" i="39"/>
  <c r="J16" i="39"/>
  <c r="J17" i="39"/>
  <c r="J18" i="39"/>
  <c r="J19" i="39"/>
  <c r="J20" i="39"/>
  <c r="J21" i="39"/>
  <c r="J22" i="39"/>
  <c r="J23" i="39"/>
  <c r="J24" i="39"/>
  <c r="J25" i="39"/>
  <c r="J26" i="39"/>
  <c r="J27" i="39"/>
  <c r="J28" i="39"/>
  <c r="J29" i="39"/>
  <c r="M1" i="46" l="1"/>
  <c r="M1043" i="46" s="1"/>
  <c r="M21" i="46" l="1"/>
  <c r="M69" i="46"/>
  <c r="M118" i="46"/>
  <c r="M180" i="46"/>
  <c r="M251" i="46"/>
  <c r="M321" i="46"/>
  <c r="M385" i="46"/>
  <c r="M541" i="46"/>
  <c r="M722" i="46"/>
  <c r="M794" i="46"/>
  <c r="M14" i="46"/>
  <c r="M62" i="46"/>
  <c r="M70" i="46"/>
  <c r="M94" i="46"/>
  <c r="M102" i="46"/>
  <c r="M110" i="46"/>
  <c r="M120" i="46"/>
  <c r="M129" i="46"/>
  <c r="M139" i="46"/>
  <c r="M149" i="46"/>
  <c r="M161" i="46"/>
  <c r="M171" i="46"/>
  <c r="M181" i="46"/>
  <c r="M193" i="46"/>
  <c r="M203" i="46"/>
  <c r="M214" i="46"/>
  <c r="M227" i="46"/>
  <c r="M241" i="46"/>
  <c r="M252" i="46"/>
  <c r="M266" i="46"/>
  <c r="M278" i="46"/>
  <c r="M291" i="46"/>
  <c r="M306" i="46"/>
  <c r="M322" i="46"/>
  <c r="M338" i="46"/>
  <c r="M354" i="46"/>
  <c r="M370" i="46"/>
  <c r="M386" i="46"/>
  <c r="M404" i="46"/>
  <c r="M434" i="46"/>
  <c r="M462" i="46"/>
  <c r="M489" i="46"/>
  <c r="M518" i="46"/>
  <c r="M548" i="46"/>
  <c r="M573" i="46"/>
  <c r="M604" i="46"/>
  <c r="M634" i="46"/>
  <c r="M659" i="46"/>
  <c r="M694" i="46"/>
  <c r="M730" i="46"/>
  <c r="M761" i="46"/>
  <c r="M796" i="46"/>
  <c r="M841" i="46"/>
  <c r="M878" i="46"/>
  <c r="M923" i="46"/>
  <c r="M971" i="46"/>
  <c r="M1025" i="46"/>
  <c r="M13" i="46"/>
  <c r="M53" i="46"/>
  <c r="M109" i="46"/>
  <c r="M170" i="46"/>
  <c r="M226" i="46"/>
  <c r="M276" i="46"/>
  <c r="M353" i="46"/>
  <c r="M486" i="46"/>
  <c r="M572" i="46"/>
  <c r="M758" i="46"/>
  <c r="M830" i="46"/>
  <c r="M6" i="46"/>
  <c r="M54" i="46"/>
  <c r="M78" i="46"/>
  <c r="M7" i="46"/>
  <c r="M15" i="46"/>
  <c r="M23" i="46"/>
  <c r="M31" i="46"/>
  <c r="M39" i="46"/>
  <c r="M47" i="46"/>
  <c r="M55" i="46"/>
  <c r="M63" i="46"/>
  <c r="M71" i="46"/>
  <c r="M79" i="46"/>
  <c r="M87" i="46"/>
  <c r="M95" i="46"/>
  <c r="M103" i="46"/>
  <c r="M112" i="46"/>
  <c r="M121" i="46"/>
  <c r="M130" i="46"/>
  <c r="M140" i="46"/>
  <c r="M150" i="46"/>
  <c r="M162" i="46"/>
  <c r="M172" i="46"/>
  <c r="M182" i="46"/>
  <c r="M194" i="46"/>
  <c r="M204" i="46"/>
  <c r="M217" i="46"/>
  <c r="M228" i="46"/>
  <c r="M242" i="46"/>
  <c r="M254" i="46"/>
  <c r="M267" i="46"/>
  <c r="M281" i="46"/>
  <c r="M292" i="46"/>
  <c r="M307" i="46"/>
  <c r="M323" i="46"/>
  <c r="M339" i="46"/>
  <c r="M355" i="46"/>
  <c r="M371" i="46"/>
  <c r="M387" i="46"/>
  <c r="M410" i="46"/>
  <c r="M435" i="46"/>
  <c r="M466" i="46"/>
  <c r="M494" i="46"/>
  <c r="M521" i="46"/>
  <c r="M550" i="46"/>
  <c r="M580" i="46"/>
  <c r="M605" i="46"/>
  <c r="M636" i="46"/>
  <c r="M666" i="46"/>
  <c r="M697" i="46"/>
  <c r="M732" i="46"/>
  <c r="M769" i="46"/>
  <c r="M798" i="46"/>
  <c r="M843" i="46"/>
  <c r="M889" i="46"/>
  <c r="M926" i="46"/>
  <c r="M978" i="46"/>
  <c r="M1035" i="46"/>
  <c r="M37" i="46"/>
  <c r="M85" i="46"/>
  <c r="M138" i="46"/>
  <c r="M238" i="46"/>
  <c r="M337" i="46"/>
  <c r="M457" i="46"/>
  <c r="M658" i="46"/>
  <c r="M961" i="46"/>
  <c r="M30" i="46"/>
  <c r="M86" i="46"/>
  <c r="M8" i="46"/>
  <c r="M16" i="46"/>
  <c r="M24" i="46"/>
  <c r="M32" i="46"/>
  <c r="M40" i="46"/>
  <c r="M48" i="46"/>
  <c r="M56" i="46"/>
  <c r="M64" i="46"/>
  <c r="M72" i="46"/>
  <c r="M80" i="46"/>
  <c r="M88" i="46"/>
  <c r="M96" i="46"/>
  <c r="M104" i="46"/>
  <c r="M113" i="46"/>
  <c r="M122" i="46"/>
  <c r="M131" i="46"/>
  <c r="M141" i="46"/>
  <c r="M153" i="46"/>
  <c r="M163" i="46"/>
  <c r="M173" i="46"/>
  <c r="M185" i="46"/>
  <c r="M195" i="46"/>
  <c r="M205" i="46"/>
  <c r="M218" i="46"/>
  <c r="M230" i="46"/>
  <c r="M243" i="46"/>
  <c r="M257" i="46"/>
  <c r="M268" i="46"/>
  <c r="M282" i="46"/>
  <c r="M294" i="46"/>
  <c r="M308" i="46"/>
  <c r="M324" i="46"/>
  <c r="M340" i="46"/>
  <c r="M356" i="46"/>
  <c r="M372" i="46"/>
  <c r="M388" i="46"/>
  <c r="M412" i="46"/>
  <c r="M442" i="46"/>
  <c r="M467" i="46"/>
  <c r="M498" i="46"/>
  <c r="M526" i="46"/>
  <c r="M553" i="46"/>
  <c r="M582" i="46"/>
  <c r="M612" i="46"/>
  <c r="M637" i="46"/>
  <c r="M668" i="46"/>
  <c r="M705" i="46"/>
  <c r="M734" i="46"/>
  <c r="M771" i="46"/>
  <c r="M809" i="46"/>
  <c r="M846" i="46"/>
  <c r="M891" i="46"/>
  <c r="M937" i="46"/>
  <c r="M979" i="46"/>
  <c r="M1042" i="46"/>
  <c r="M45" i="46"/>
  <c r="M77" i="46"/>
  <c r="M128" i="46"/>
  <c r="M202" i="46"/>
  <c r="M305" i="46"/>
  <c r="M430" i="46"/>
  <c r="M602" i="46"/>
  <c r="M875" i="46"/>
  <c r="M38" i="46"/>
  <c r="M41" i="46"/>
  <c r="M73" i="46"/>
  <c r="M97" i="46"/>
  <c r="M105" i="46"/>
  <c r="M114" i="46"/>
  <c r="M123" i="46"/>
  <c r="M132" i="46"/>
  <c r="M142" i="46"/>
  <c r="M154" i="46"/>
  <c r="M164" i="46"/>
  <c r="M174" i="46"/>
  <c r="M186" i="46"/>
  <c r="M196" i="46"/>
  <c r="M206" i="46"/>
  <c r="M219" i="46"/>
  <c r="M233" i="46"/>
  <c r="M244" i="46"/>
  <c r="M258" i="46"/>
  <c r="M270" i="46"/>
  <c r="M283" i="46"/>
  <c r="M297" i="46"/>
  <c r="M313" i="46"/>
  <c r="M329" i="46"/>
  <c r="M345" i="46"/>
  <c r="M361" i="46"/>
  <c r="M377" i="46"/>
  <c r="M393" i="46"/>
  <c r="M413" i="46"/>
  <c r="M444" i="46"/>
  <c r="M474" i="46"/>
  <c r="M499" i="46"/>
  <c r="M530" i="46"/>
  <c r="M558" i="46"/>
  <c r="M585" i="46"/>
  <c r="M614" i="46"/>
  <c r="M644" i="46"/>
  <c r="M670" i="46"/>
  <c r="M707" i="46"/>
  <c r="M742" i="46"/>
  <c r="M772" i="46"/>
  <c r="M811" i="46"/>
  <c r="M857" i="46"/>
  <c r="M894" i="46"/>
  <c r="M939" i="46"/>
  <c r="M994" i="46"/>
  <c r="M1080" i="46"/>
  <c r="M1072" i="46"/>
  <c r="M1064" i="46"/>
  <c r="M1056" i="46"/>
  <c r="M1048" i="46"/>
  <c r="M1040" i="46"/>
  <c r="M1032" i="46"/>
  <c r="M1024" i="46"/>
  <c r="M1016" i="46"/>
  <c r="M1008" i="46"/>
  <c r="M1000" i="46"/>
  <c r="M992" i="46"/>
  <c r="M984" i="46"/>
  <c r="M976" i="46"/>
  <c r="M968" i="46"/>
  <c r="M960" i="46"/>
  <c r="M952" i="46"/>
  <c r="M944" i="46"/>
  <c r="M936" i="46"/>
  <c r="M928" i="46"/>
  <c r="M920" i="46"/>
  <c r="M912" i="46"/>
  <c r="M904" i="46"/>
  <c r="M896" i="46"/>
  <c r="M888" i="46"/>
  <c r="M880" i="46"/>
  <c r="M872" i="46"/>
  <c r="M864" i="46"/>
  <c r="M856" i="46"/>
  <c r="M848" i="46"/>
  <c r="M840" i="46"/>
  <c r="M832" i="46"/>
  <c r="M824" i="46"/>
  <c r="M816" i="46"/>
  <c r="M808" i="46"/>
  <c r="M800" i="46"/>
  <c r="M792" i="46"/>
  <c r="M784" i="46"/>
  <c r="M776" i="46"/>
  <c r="M768" i="46"/>
  <c r="M760" i="46"/>
  <c r="M752" i="46"/>
  <c r="M744" i="46"/>
  <c r="M736" i="46"/>
  <c r="M728" i="46"/>
  <c r="M720" i="46"/>
  <c r="M712" i="46"/>
  <c r="M704" i="46"/>
  <c r="M696" i="46"/>
  <c r="M688" i="46"/>
  <c r="M680" i="46"/>
  <c r="M672" i="46"/>
  <c r="M664" i="46"/>
  <c r="M656" i="46"/>
  <c r="M648" i="46"/>
  <c r="M640" i="46"/>
  <c r="M632" i="46"/>
  <c r="M624" i="46"/>
  <c r="M616" i="46"/>
  <c r="M608" i="46"/>
  <c r="M600" i="46"/>
  <c r="M592" i="46"/>
  <c r="M584" i="46"/>
  <c r="M576" i="46"/>
  <c r="M568" i="46"/>
  <c r="M560" i="46"/>
  <c r="M552" i="46"/>
  <c r="M544" i="46"/>
  <c r="M536" i="46"/>
  <c r="M528" i="46"/>
  <c r="M520" i="46"/>
  <c r="M512" i="46"/>
  <c r="M504" i="46"/>
  <c r="M496" i="46"/>
  <c r="M488" i="46"/>
  <c r="M480" i="46"/>
  <c r="M472" i="46"/>
  <c r="M464" i="46"/>
  <c r="M456" i="46"/>
  <c r="M448" i="46"/>
  <c r="M440" i="46"/>
  <c r="M432" i="46"/>
  <c r="M424" i="46"/>
  <c r="M416" i="46"/>
  <c r="M1079" i="46"/>
  <c r="M1071" i="46"/>
  <c r="M1063" i="46"/>
  <c r="M1055" i="46"/>
  <c r="M1047" i="46"/>
  <c r="M1039" i="46"/>
  <c r="M1031" i="46"/>
  <c r="M1023" i="46"/>
  <c r="M1015" i="46"/>
  <c r="M1007" i="46"/>
  <c r="M999" i="46"/>
  <c r="M991" i="46"/>
  <c r="M983" i="46"/>
  <c r="M975" i="46"/>
  <c r="M967" i="46"/>
  <c r="M959" i="46"/>
  <c r="M951" i="46"/>
  <c r="M943" i="46"/>
  <c r="M935" i="46"/>
  <c r="M927" i="46"/>
  <c r="M919" i="46"/>
  <c r="M911" i="46"/>
  <c r="M903" i="46"/>
  <c r="M895" i="46"/>
  <c r="M887" i="46"/>
  <c r="M879" i="46"/>
  <c r="M871" i="46"/>
  <c r="M863" i="46"/>
  <c r="M855" i="46"/>
  <c r="M847" i="46"/>
  <c r="M839" i="46"/>
  <c r="M831" i="46"/>
  <c r="M823" i="46"/>
  <c r="M815" i="46"/>
  <c r="M807" i="46"/>
  <c r="M799" i="46"/>
  <c r="M791" i="46"/>
  <c r="M783" i="46"/>
  <c r="M775" i="46"/>
  <c r="M767" i="46"/>
  <c r="M759" i="46"/>
  <c r="M751" i="46"/>
  <c r="M743" i="46"/>
  <c r="M735" i="46"/>
  <c r="M727" i="46"/>
  <c r="M719" i="46"/>
  <c r="M711" i="46"/>
  <c r="M703" i="46"/>
  <c r="M695" i="46"/>
  <c r="M687" i="46"/>
  <c r="M679" i="46"/>
  <c r="M671" i="46"/>
  <c r="M663" i="46"/>
  <c r="M655" i="46"/>
  <c r="M647" i="46"/>
  <c r="M639" i="46"/>
  <c r="M631" i="46"/>
  <c r="M623" i="46"/>
  <c r="M615" i="46"/>
  <c r="M607" i="46"/>
  <c r="M599" i="46"/>
  <c r="M591" i="46"/>
  <c r="M583" i="46"/>
  <c r="M575" i="46"/>
  <c r="M567" i="46"/>
  <c r="M559" i="46"/>
  <c r="M551" i="46"/>
  <c r="M543" i="46"/>
  <c r="M535" i="46"/>
  <c r="M527" i="46"/>
  <c r="M519" i="46"/>
  <c r="M511" i="46"/>
  <c r="M503" i="46"/>
  <c r="M495" i="46"/>
  <c r="M487" i="46"/>
  <c r="M479" i="46"/>
  <c r="M471" i="46"/>
  <c r="M463" i="46"/>
  <c r="M455" i="46"/>
  <c r="M447" i="46"/>
  <c r="M439" i="46"/>
  <c r="M431" i="46"/>
  <c r="M423" i="46"/>
  <c r="M415" i="46"/>
  <c r="M407" i="46"/>
  <c r="M1078" i="46"/>
  <c r="M1070" i="46"/>
  <c r="M1062" i="46"/>
  <c r="M1054" i="46"/>
  <c r="M1046" i="46"/>
  <c r="M1038" i="46"/>
  <c r="M1030" i="46"/>
  <c r="M1022" i="46"/>
  <c r="M1014" i="46"/>
  <c r="M1006" i="46"/>
  <c r="M998" i="46"/>
  <c r="M990" i="46"/>
  <c r="M982" i="46"/>
  <c r="M974" i="46"/>
  <c r="M966" i="46"/>
  <c r="M958" i="46"/>
  <c r="M1077" i="46"/>
  <c r="M1069" i="46"/>
  <c r="M1061" i="46"/>
  <c r="M1053" i="46"/>
  <c r="M1045" i="46"/>
  <c r="M1037" i="46"/>
  <c r="M1029" i="46"/>
  <c r="M1021" i="46"/>
  <c r="M1013" i="46"/>
  <c r="M1005" i="46"/>
  <c r="M997" i="46"/>
  <c r="M989" i="46"/>
  <c r="M981" i="46"/>
  <c r="M973" i="46"/>
  <c r="M965" i="46"/>
  <c r="M957" i="46"/>
  <c r="M949" i="46"/>
  <c r="M941" i="46"/>
  <c r="M933" i="46"/>
  <c r="M925" i="46"/>
  <c r="M917" i="46"/>
  <c r="M909" i="46"/>
  <c r="M901" i="46"/>
  <c r="M893" i="46"/>
  <c r="M885" i="46"/>
  <c r="M877" i="46"/>
  <c r="M869" i="46"/>
  <c r="M861" i="46"/>
  <c r="M853" i="46"/>
  <c r="M845" i="46"/>
  <c r="M837" i="46"/>
  <c r="M829" i="46"/>
  <c r="M821" i="46"/>
  <c r="M813" i="46"/>
  <c r="M805" i="46"/>
  <c r="M797" i="46"/>
  <c r="M789" i="46"/>
  <c r="M781" i="46"/>
  <c r="M773" i="46"/>
  <c r="M765" i="46"/>
  <c r="M757" i="46"/>
  <c r="M749" i="46"/>
  <c r="M741" i="46"/>
  <c r="M733" i="46"/>
  <c r="M725" i="46"/>
  <c r="M717" i="46"/>
  <c r="M709" i="46"/>
  <c r="M701" i="46"/>
  <c r="M693" i="46"/>
  <c r="M685" i="46"/>
  <c r="M677" i="46"/>
  <c r="M669" i="46"/>
  <c r="M1076" i="46"/>
  <c r="M1068" i="46"/>
  <c r="M1060" i="46"/>
  <c r="M1052" i="46"/>
  <c r="M1044" i="46"/>
  <c r="M1036" i="46"/>
  <c r="M1028" i="46"/>
  <c r="M1020" i="46"/>
  <c r="M1012" i="46"/>
  <c r="M1004" i="46"/>
  <c r="M996" i="46"/>
  <c r="M988" i="46"/>
  <c r="M980" i="46"/>
  <c r="M972" i="46"/>
  <c r="M964" i="46"/>
  <c r="M956" i="46"/>
  <c r="M948" i="46"/>
  <c r="M940" i="46"/>
  <c r="M932" i="46"/>
  <c r="M924" i="46"/>
  <c r="M916" i="46"/>
  <c r="M908" i="46"/>
  <c r="M900" i="46"/>
  <c r="M892" i="46"/>
  <c r="M884" i="46"/>
  <c r="M876" i="46"/>
  <c r="M868" i="46"/>
  <c r="M860" i="46"/>
  <c r="M852" i="46"/>
  <c r="M844" i="46"/>
  <c r="M836" i="46"/>
  <c r="M828" i="46"/>
  <c r="M820" i="46"/>
  <c r="M812" i="46"/>
  <c r="M804" i="46"/>
  <c r="M1075" i="46"/>
  <c r="M1057" i="46"/>
  <c r="M1034" i="46"/>
  <c r="M1011" i="46"/>
  <c r="M993" i="46"/>
  <c r="M970" i="46"/>
  <c r="M950" i="46"/>
  <c r="M934" i="46"/>
  <c r="M918" i="46"/>
  <c r="M902" i="46"/>
  <c r="M886" i="46"/>
  <c r="M870" i="46"/>
  <c r="M854" i="46"/>
  <c r="M838" i="46"/>
  <c r="M822" i="46"/>
  <c r="M806" i="46"/>
  <c r="M793" i="46"/>
  <c r="M779" i="46"/>
  <c r="M766" i="46"/>
  <c r="M754" i="46"/>
  <c r="M740" i="46"/>
  <c r="M729" i="46"/>
  <c r="M715" i="46"/>
  <c r="M702" i="46"/>
  <c r="M690" i="46"/>
  <c r="M676" i="46"/>
  <c r="M665" i="46"/>
  <c r="M653" i="46"/>
  <c r="M643" i="46"/>
  <c r="M633" i="46"/>
  <c r="M621" i="46"/>
  <c r="M611" i="46"/>
  <c r="M601" i="46"/>
  <c r="M589" i="46"/>
  <c r="M579" i="46"/>
  <c r="M569" i="46"/>
  <c r="M557" i="46"/>
  <c r="M547" i="46"/>
  <c r="M537" i="46"/>
  <c r="M525" i="46"/>
  <c r="M515" i="46"/>
  <c r="M505" i="46"/>
  <c r="M493" i="46"/>
  <c r="M483" i="46"/>
  <c r="M473" i="46"/>
  <c r="M461" i="46"/>
  <c r="M451" i="46"/>
  <c r="M441" i="46"/>
  <c r="M429" i="46"/>
  <c r="M419" i="46"/>
  <c r="M409" i="46"/>
  <c r="M400" i="46"/>
  <c r="M392" i="46"/>
  <c r="M384" i="46"/>
  <c r="M376" i="46"/>
  <c r="M368" i="46"/>
  <c r="M360" i="46"/>
  <c r="M352" i="46"/>
  <c r="M344" i="46"/>
  <c r="M336" i="46"/>
  <c r="M328" i="46"/>
  <c r="M320" i="46"/>
  <c r="M312" i="46"/>
  <c r="M304" i="46"/>
  <c r="M296" i="46"/>
  <c r="M288" i="46"/>
  <c r="M280" i="46"/>
  <c r="M272" i="46"/>
  <c r="M264" i="46"/>
  <c r="M256" i="46"/>
  <c r="M248" i="46"/>
  <c r="M240" i="46"/>
  <c r="M232" i="46"/>
  <c r="M224" i="46"/>
  <c r="M216" i="46"/>
  <c r="M208" i="46"/>
  <c r="M200" i="46"/>
  <c r="M192" i="46"/>
  <c r="M184" i="46"/>
  <c r="M176" i="46"/>
  <c r="M168" i="46"/>
  <c r="M160" i="46"/>
  <c r="M152" i="46"/>
  <c r="M144" i="46"/>
  <c r="M136" i="46"/>
  <c r="M1074" i="46"/>
  <c r="M1051" i="46"/>
  <c r="M1033" i="46"/>
  <c r="M1010" i="46"/>
  <c r="M987" i="46"/>
  <c r="M969" i="46"/>
  <c r="M947" i="46"/>
  <c r="M931" i="46"/>
  <c r="M915" i="46"/>
  <c r="M899" i="46"/>
  <c r="M883" i="46"/>
  <c r="M867" i="46"/>
  <c r="M851" i="46"/>
  <c r="M835" i="46"/>
  <c r="M819" i="46"/>
  <c r="M803" i="46"/>
  <c r="M790" i="46"/>
  <c r="M778" i="46"/>
  <c r="M764" i="46"/>
  <c r="M753" i="46"/>
  <c r="M739" i="46"/>
  <c r="M726" i="46"/>
  <c r="M714" i="46"/>
  <c r="M700" i="46"/>
  <c r="M689" i="46"/>
  <c r="M675" i="46"/>
  <c r="M662" i="46"/>
  <c r="M652" i="46"/>
  <c r="M642" i="46"/>
  <c r="M630" i="46"/>
  <c r="M620" i="46"/>
  <c r="M610" i="46"/>
  <c r="M598" i="46"/>
  <c r="M588" i="46"/>
  <c r="M578" i="46"/>
  <c r="M566" i="46"/>
  <c r="M556" i="46"/>
  <c r="M546" i="46"/>
  <c r="M534" i="46"/>
  <c r="M524" i="46"/>
  <c r="M514" i="46"/>
  <c r="M502" i="46"/>
  <c r="M492" i="46"/>
  <c r="M482" i="46"/>
  <c r="M470" i="46"/>
  <c r="M460" i="46"/>
  <c r="M450" i="46"/>
  <c r="M438" i="46"/>
  <c r="M428" i="46"/>
  <c r="M418" i="46"/>
  <c r="M408" i="46"/>
  <c r="M399" i="46"/>
  <c r="M391" i="46"/>
  <c r="M383" i="46"/>
  <c r="M375" i="46"/>
  <c r="M367" i="46"/>
  <c r="M359" i="46"/>
  <c r="M351" i="46"/>
  <c r="M343" i="46"/>
  <c r="M335" i="46"/>
  <c r="M327" i="46"/>
  <c r="M319" i="46"/>
  <c r="M311" i="46"/>
  <c r="M303" i="46"/>
  <c r="M295" i="46"/>
  <c r="M287" i="46"/>
  <c r="M279" i="46"/>
  <c r="M271" i="46"/>
  <c r="M263" i="46"/>
  <c r="M255" i="46"/>
  <c r="M247" i="46"/>
  <c r="M239" i="46"/>
  <c r="M231" i="46"/>
  <c r="M223" i="46"/>
  <c r="M215" i="46"/>
  <c r="M207" i="46"/>
  <c r="M199" i="46"/>
  <c r="M191" i="46"/>
  <c r="M183" i="46"/>
  <c r="M175" i="46"/>
  <c r="M167" i="46"/>
  <c r="M159" i="46"/>
  <c r="M151" i="46"/>
  <c r="M143" i="46"/>
  <c r="M135" i="46"/>
  <c r="M127" i="46"/>
  <c r="M119" i="46"/>
  <c r="M111" i="46"/>
  <c r="M1073" i="46"/>
  <c r="M1050" i="46"/>
  <c r="M1027" i="46"/>
  <c r="M1009" i="46"/>
  <c r="M986" i="46"/>
  <c r="M963" i="46"/>
  <c r="M946" i="46"/>
  <c r="M930" i="46"/>
  <c r="M914" i="46"/>
  <c r="M898" i="46"/>
  <c r="M882" i="46"/>
  <c r="M866" i="46"/>
  <c r="M850" i="46"/>
  <c r="M834" i="46"/>
  <c r="M818" i="46"/>
  <c r="M802" i="46"/>
  <c r="M788" i="46"/>
  <c r="M777" i="46"/>
  <c r="M763" i="46"/>
  <c r="M750" i="46"/>
  <c r="M738" i="46"/>
  <c r="M724" i="46"/>
  <c r="M713" i="46"/>
  <c r="M699" i="46"/>
  <c r="M686" i="46"/>
  <c r="M674" i="46"/>
  <c r="M661" i="46"/>
  <c r="M651" i="46"/>
  <c r="M641" i="46"/>
  <c r="M629" i="46"/>
  <c r="M619" i="46"/>
  <c r="M609" i="46"/>
  <c r="M597" i="46"/>
  <c r="M587" i="46"/>
  <c r="M577" i="46"/>
  <c r="M565" i="46"/>
  <c r="M555" i="46"/>
  <c r="M545" i="46"/>
  <c r="M533" i="46"/>
  <c r="M523" i="46"/>
  <c r="M513" i="46"/>
  <c r="M501" i="46"/>
  <c r="M491" i="46"/>
  <c r="M481" i="46"/>
  <c r="M469" i="46"/>
  <c r="M459" i="46"/>
  <c r="M449" i="46"/>
  <c r="M437" i="46"/>
  <c r="M427" i="46"/>
  <c r="M417" i="46"/>
  <c r="M406" i="46"/>
  <c r="M398" i="46"/>
  <c r="M390" i="46"/>
  <c r="M382" i="46"/>
  <c r="M374" i="46"/>
  <c r="M366" i="46"/>
  <c r="M358" i="46"/>
  <c r="M350" i="46"/>
  <c r="M342" i="46"/>
  <c r="M334" i="46"/>
  <c r="M326" i="46"/>
  <c r="M318" i="46"/>
  <c r="M310" i="46"/>
  <c r="M302" i="46"/>
  <c r="M1067" i="46"/>
  <c r="M1049" i="46"/>
  <c r="M1026" i="46"/>
  <c r="M1003" i="46"/>
  <c r="M985" i="46"/>
  <c r="M962" i="46"/>
  <c r="M945" i="46"/>
  <c r="M929" i="46"/>
  <c r="M913" i="46"/>
  <c r="M897" i="46"/>
  <c r="M881" i="46"/>
  <c r="M865" i="46"/>
  <c r="M849" i="46"/>
  <c r="M833" i="46"/>
  <c r="M817" i="46"/>
  <c r="M801" i="46"/>
  <c r="M787" i="46"/>
  <c r="M774" i="46"/>
  <c r="M762" i="46"/>
  <c r="M748" i="46"/>
  <c r="M737" i="46"/>
  <c r="M723" i="46"/>
  <c r="M710" i="46"/>
  <c r="M698" i="46"/>
  <c r="M684" i="46"/>
  <c r="M673" i="46"/>
  <c r="M660" i="46"/>
  <c r="M650" i="46"/>
  <c r="M638" i="46"/>
  <c r="M628" i="46"/>
  <c r="M618" i="46"/>
  <c r="M606" i="46"/>
  <c r="M596" i="46"/>
  <c r="M586" i="46"/>
  <c r="M574" i="46"/>
  <c r="M564" i="46"/>
  <c r="M554" i="46"/>
  <c r="M542" i="46"/>
  <c r="M532" i="46"/>
  <c r="M522" i="46"/>
  <c r="M510" i="46"/>
  <c r="M500" i="46"/>
  <c r="M490" i="46"/>
  <c r="M478" i="46"/>
  <c r="M468" i="46"/>
  <c r="M458" i="46"/>
  <c r="M446" i="46"/>
  <c r="M436" i="46"/>
  <c r="M426" i="46"/>
  <c r="M414" i="46"/>
  <c r="M405" i="46"/>
  <c r="M397" i="46"/>
  <c r="M389" i="46"/>
  <c r="M381" i="46"/>
  <c r="M373" i="46"/>
  <c r="M365" i="46"/>
  <c r="M357" i="46"/>
  <c r="M349" i="46"/>
  <c r="M341" i="46"/>
  <c r="M333" i="46"/>
  <c r="M325" i="46"/>
  <c r="M317" i="46"/>
  <c r="M309" i="46"/>
  <c r="M301" i="46"/>
  <c r="M293" i="46"/>
  <c r="M285" i="46"/>
  <c r="M277" i="46"/>
  <c r="M269" i="46"/>
  <c r="M261" i="46"/>
  <c r="M253" i="46"/>
  <c r="M245" i="46"/>
  <c r="M237" i="46"/>
  <c r="M229" i="46"/>
  <c r="M221" i="46"/>
  <c r="M213" i="46"/>
  <c r="M1059" i="46"/>
  <c r="M1041" i="46"/>
  <c r="M1018" i="46"/>
  <c r="M995" i="46"/>
  <c r="M977" i="46"/>
  <c r="M954" i="46"/>
  <c r="M938" i="46"/>
  <c r="M922" i="46"/>
  <c r="M906" i="46"/>
  <c r="M890" i="46"/>
  <c r="M874" i="46"/>
  <c r="M858" i="46"/>
  <c r="M842" i="46"/>
  <c r="M826" i="46"/>
  <c r="M810" i="46"/>
  <c r="M795" i="46"/>
  <c r="M782" i="46"/>
  <c r="M770" i="46"/>
  <c r="M756" i="46"/>
  <c r="M745" i="46"/>
  <c r="M731" i="46"/>
  <c r="M718" i="46"/>
  <c r="M706" i="46"/>
  <c r="M692" i="46"/>
  <c r="M681" i="46"/>
  <c r="M667" i="46"/>
  <c r="M657" i="46"/>
  <c r="M645" i="46"/>
  <c r="M635" i="46"/>
  <c r="M625" i="46"/>
  <c r="M613" i="46"/>
  <c r="M603" i="46"/>
  <c r="M593" i="46"/>
  <c r="M581" i="46"/>
  <c r="M571" i="46"/>
  <c r="M561" i="46"/>
  <c r="M549" i="46"/>
  <c r="M539" i="46"/>
  <c r="M529" i="46"/>
  <c r="M517" i="46"/>
  <c r="M507" i="46"/>
  <c r="M497" i="46"/>
  <c r="M485" i="46"/>
  <c r="M475" i="46"/>
  <c r="M465" i="46"/>
  <c r="M453" i="46"/>
  <c r="M443" i="46"/>
  <c r="M433" i="46"/>
  <c r="M421" i="46"/>
  <c r="M411" i="46"/>
  <c r="M402" i="46"/>
  <c r="M394" i="46"/>
  <c r="M25" i="46"/>
  <c r="M65" i="46"/>
  <c r="M10" i="46"/>
  <c r="M26" i="46"/>
  <c r="M34" i="46"/>
  <c r="M42" i="46"/>
  <c r="M50" i="46"/>
  <c r="M58" i="46"/>
  <c r="M66" i="46"/>
  <c r="M74" i="46"/>
  <c r="M82" i="46"/>
  <c r="M90" i="46"/>
  <c r="M98" i="46"/>
  <c r="M106" i="46"/>
  <c r="M115" i="46"/>
  <c r="M124" i="46"/>
  <c r="M133" i="46"/>
  <c r="M145" i="46"/>
  <c r="M155" i="46"/>
  <c r="M165" i="46"/>
  <c r="M177" i="46"/>
  <c r="M187" i="46"/>
  <c r="M197" i="46"/>
  <c r="M209" i="46"/>
  <c r="M220" i="46"/>
  <c r="M234" i="46"/>
  <c r="M246" i="46"/>
  <c r="M259" i="46"/>
  <c r="M273" i="46"/>
  <c r="M284" i="46"/>
  <c r="M298" i="46"/>
  <c r="M314" i="46"/>
  <c r="M330" i="46"/>
  <c r="M346" i="46"/>
  <c r="M362" i="46"/>
  <c r="M378" i="46"/>
  <c r="M395" i="46"/>
  <c r="M420" i="46"/>
  <c r="M445" i="46"/>
  <c r="M476" i="46"/>
  <c r="M506" i="46"/>
  <c r="M531" i="46"/>
  <c r="M562" i="46"/>
  <c r="M590" i="46"/>
  <c r="M617" i="46"/>
  <c r="M646" i="46"/>
  <c r="M678" i="46"/>
  <c r="M708" i="46"/>
  <c r="M746" i="46"/>
  <c r="M780" i="46"/>
  <c r="M814" i="46"/>
  <c r="M859" i="46"/>
  <c r="M905" i="46"/>
  <c r="M942" i="46"/>
  <c r="M1001" i="46"/>
  <c r="M1058" i="46"/>
  <c r="M5" i="46"/>
  <c r="M61" i="46"/>
  <c r="M101" i="46"/>
  <c r="M148" i="46"/>
  <c r="M190" i="46"/>
  <c r="M265" i="46"/>
  <c r="M403" i="46"/>
  <c r="M627" i="46"/>
  <c r="M921" i="46"/>
  <c r="M46" i="46"/>
  <c r="M17" i="46"/>
  <c r="M33" i="46"/>
  <c r="M57" i="46"/>
  <c r="M89" i="46"/>
  <c r="M18" i="46"/>
  <c r="M3" i="46"/>
  <c r="M11" i="46"/>
  <c r="M19" i="46"/>
  <c r="M27" i="46"/>
  <c r="M35" i="46"/>
  <c r="M43" i="46"/>
  <c r="M51" i="46"/>
  <c r="M59" i="46"/>
  <c r="M67" i="46"/>
  <c r="M75" i="46"/>
  <c r="M83" i="46"/>
  <c r="M91" i="46"/>
  <c r="M99" i="46"/>
  <c r="M107" i="46"/>
  <c r="M116" i="46"/>
  <c r="M125" i="46"/>
  <c r="M134" i="46"/>
  <c r="M146" i="46"/>
  <c r="M156" i="46"/>
  <c r="M166" i="46"/>
  <c r="M178" i="46"/>
  <c r="M188" i="46"/>
  <c r="M198" i="46"/>
  <c r="M210" i="46"/>
  <c r="M222" i="46"/>
  <c r="M235" i="46"/>
  <c r="M249" i="46"/>
  <c r="M260" i="46"/>
  <c r="M274" i="46"/>
  <c r="M286" i="46"/>
  <c r="M299" i="46"/>
  <c r="M315" i="46"/>
  <c r="M331" i="46"/>
  <c r="M347" i="46"/>
  <c r="M363" i="46"/>
  <c r="M379" i="46"/>
  <c r="M396" i="46"/>
  <c r="M422" i="46"/>
  <c r="M452" i="46"/>
  <c r="M477" i="46"/>
  <c r="M508" i="46"/>
  <c r="M538" i="46"/>
  <c r="M563" i="46"/>
  <c r="M594" i="46"/>
  <c r="M622" i="46"/>
  <c r="M649" i="46"/>
  <c r="M682" i="46"/>
  <c r="M716" i="46"/>
  <c r="M747" i="46"/>
  <c r="M785" i="46"/>
  <c r="M825" i="46"/>
  <c r="M862" i="46"/>
  <c r="M907" i="46"/>
  <c r="M953" i="46"/>
  <c r="M1002" i="46"/>
  <c r="M1065" i="46"/>
  <c r="M29" i="46"/>
  <c r="M93" i="46"/>
  <c r="M158" i="46"/>
  <c r="M212" i="46"/>
  <c r="M290" i="46"/>
  <c r="M369" i="46"/>
  <c r="M516" i="46"/>
  <c r="M691" i="46"/>
  <c r="M1019" i="46"/>
  <c r="M22" i="46"/>
  <c r="M9" i="46"/>
  <c r="M49" i="46"/>
  <c r="M81" i="46"/>
  <c r="M2" i="46"/>
  <c r="M4" i="46"/>
  <c r="M12" i="46"/>
  <c r="M20" i="46"/>
  <c r="M28" i="46"/>
  <c r="M36" i="46"/>
  <c r="M44" i="46"/>
  <c r="M52" i="46"/>
  <c r="M60" i="46"/>
  <c r="M68" i="46"/>
  <c r="M76" i="46"/>
  <c r="M84" i="46"/>
  <c r="M92" i="46"/>
  <c r="M100" i="46"/>
  <c r="M108" i="46"/>
  <c r="M117" i="46"/>
  <c r="M126" i="46"/>
  <c r="M137" i="46"/>
  <c r="M147" i="46"/>
  <c r="M157" i="46"/>
  <c r="M169" i="46"/>
  <c r="M179" i="46"/>
  <c r="M189" i="46"/>
  <c r="M201" i="46"/>
  <c r="M211" i="46"/>
  <c r="M225" i="46"/>
  <c r="M236" i="46"/>
  <c r="M250" i="46"/>
  <c r="M262" i="46"/>
  <c r="M275" i="46"/>
  <c r="M289" i="46"/>
  <c r="M300" i="46"/>
  <c r="M316" i="46"/>
  <c r="M332" i="46"/>
  <c r="M348" i="46"/>
  <c r="M364" i="46"/>
  <c r="M380" i="46"/>
  <c r="M401" i="46"/>
  <c r="M425" i="46"/>
  <c r="M454" i="46"/>
  <c r="M484" i="46"/>
  <c r="M509" i="46"/>
  <c r="M540" i="46"/>
  <c r="M570" i="46"/>
  <c r="M595" i="46"/>
  <c r="M626" i="46"/>
  <c r="M654" i="46"/>
  <c r="M683" i="46"/>
  <c r="M721" i="46"/>
  <c r="M755" i="46"/>
  <c r="M786" i="46"/>
  <c r="M827" i="46"/>
  <c r="M873" i="46"/>
  <c r="M910" i="46"/>
  <c r="M955" i="46"/>
  <c r="M1017" i="46"/>
  <c r="M1066" i="46"/>
  <c r="J3" i="39"/>
  <c r="J4" i="39"/>
  <c r="J5" i="39"/>
  <c r="J6" i="39"/>
  <c r="J7" i="39"/>
  <c r="J8" i="39"/>
  <c r="J9" i="39"/>
  <c r="J10" i="39"/>
  <c r="J12" i="39"/>
  <c r="J13" i="39"/>
  <c r="J11" i="39"/>
  <c r="H2" i="6" l="1"/>
  <c r="N7" i="15" l="1"/>
  <c r="O7" i="15"/>
  <c r="P7" i="15"/>
  <c r="R7" i="15"/>
  <c r="S2" i="76" l="1"/>
  <c r="R2" i="76"/>
  <c r="Q2" i="76"/>
  <c r="P2" i="76"/>
  <c r="O2" i="76"/>
  <c r="N2" i="76"/>
  <c r="S9" i="76"/>
  <c r="R9" i="76"/>
  <c r="Q9" i="76"/>
  <c r="P9" i="76"/>
  <c r="O9" i="76"/>
  <c r="N9" i="76"/>
  <c r="S8" i="76"/>
  <c r="R8" i="76"/>
  <c r="Q8" i="76"/>
  <c r="P8" i="76"/>
  <c r="O8" i="76"/>
  <c r="N8" i="76"/>
  <c r="S7" i="76"/>
  <c r="R7" i="76"/>
  <c r="Q7" i="76"/>
  <c r="P7" i="76"/>
  <c r="O7" i="76"/>
  <c r="N7" i="76"/>
  <c r="S6" i="76"/>
  <c r="R6" i="76"/>
  <c r="Q6" i="76"/>
  <c r="P6" i="76"/>
  <c r="O6" i="76"/>
  <c r="N6" i="76"/>
  <c r="S3" i="76"/>
  <c r="R3" i="76"/>
  <c r="Q3" i="76"/>
  <c r="P3" i="76"/>
  <c r="O3" i="76"/>
  <c r="N3" i="76"/>
  <c r="S4" i="75" l="1"/>
  <c r="R4" i="75"/>
  <c r="Q4" i="75"/>
  <c r="P4" i="75"/>
  <c r="O4" i="75"/>
  <c r="N4" i="75"/>
  <c r="S2" i="65" l="1"/>
  <c r="R2" i="65"/>
  <c r="Q2" i="65"/>
  <c r="P2" i="65"/>
  <c r="O2" i="65"/>
  <c r="N2" i="65"/>
  <c r="S18" i="64"/>
  <c r="R18" i="64"/>
  <c r="Q18" i="64"/>
  <c r="P18" i="64"/>
  <c r="O18" i="64"/>
  <c r="N18" i="64"/>
  <c r="S17" i="64"/>
  <c r="R17" i="64"/>
  <c r="Q17" i="64"/>
  <c r="P17" i="64"/>
  <c r="O17" i="64"/>
  <c r="N17" i="64"/>
  <c r="S16" i="64"/>
  <c r="R16" i="64"/>
  <c r="Q16" i="64"/>
  <c r="P16" i="64"/>
  <c r="O16" i="64"/>
  <c r="N16" i="64"/>
  <c r="S15" i="64"/>
  <c r="R15" i="64"/>
  <c r="Q15" i="64"/>
  <c r="P15" i="64"/>
  <c r="O15" i="64"/>
  <c r="N15" i="64"/>
  <c r="S5" i="64"/>
  <c r="R5" i="64"/>
  <c r="Q5" i="64"/>
  <c r="P5" i="64"/>
  <c r="O5" i="64"/>
  <c r="N5" i="64"/>
  <c r="S4" i="64"/>
  <c r="R4" i="64"/>
  <c r="Q4" i="64"/>
  <c r="P4" i="64"/>
  <c r="O4" i="64"/>
  <c r="N4" i="64"/>
  <c r="S2" i="64"/>
  <c r="R2" i="64"/>
  <c r="Q2" i="64"/>
  <c r="P2" i="64"/>
  <c r="O2" i="64"/>
  <c r="N2" i="64"/>
  <c r="S2" i="31" l="1"/>
  <c r="R2" i="31"/>
  <c r="Q2" i="31"/>
  <c r="P2" i="31"/>
  <c r="O2" i="31"/>
  <c r="N2" i="31"/>
  <c r="S7" i="8" l="1"/>
  <c r="R7" i="8"/>
  <c r="Q7" i="8"/>
  <c r="P7" i="8"/>
  <c r="O7" i="8"/>
  <c r="N7" i="8"/>
  <c r="S2" i="36" l="1"/>
  <c r="R2" i="36"/>
  <c r="Q2" i="36"/>
  <c r="P2" i="36"/>
  <c r="O2" i="36"/>
  <c r="N2" i="36"/>
  <c r="S2" i="37"/>
  <c r="R2" i="37"/>
  <c r="Q2" i="37"/>
  <c r="P2" i="37"/>
  <c r="O2" i="37"/>
  <c r="N2" i="37"/>
  <c r="J2" i="39"/>
  <c r="K1" i="39" l="1"/>
  <c r="S2" i="24"/>
  <c r="R2" i="24"/>
  <c r="Q2" i="24"/>
  <c r="P2" i="24"/>
  <c r="O2" i="24"/>
  <c r="N2" i="24"/>
  <c r="S2" i="23"/>
  <c r="R2" i="23"/>
  <c r="Q2" i="23"/>
  <c r="P2" i="23"/>
  <c r="O2" i="23"/>
  <c r="N2" i="23"/>
  <c r="S2" i="29"/>
  <c r="R2" i="29"/>
  <c r="Q2" i="29"/>
  <c r="P2" i="29"/>
  <c r="O2" i="29"/>
  <c r="N2" i="29"/>
  <c r="S2" i="57"/>
  <c r="R2" i="57"/>
  <c r="Q2" i="57"/>
  <c r="P2" i="57"/>
  <c r="O2" i="57"/>
  <c r="N2" i="57"/>
  <c r="S2" i="30"/>
  <c r="R2" i="30"/>
  <c r="Q2" i="30"/>
  <c r="P2" i="30"/>
  <c r="O2" i="30"/>
  <c r="N2" i="30"/>
  <c r="S2" i="18"/>
  <c r="R2" i="18"/>
  <c r="Q2" i="18"/>
  <c r="P2" i="18"/>
  <c r="O2" i="18"/>
  <c r="N2" i="18"/>
  <c r="S2" i="9"/>
  <c r="R2" i="9"/>
  <c r="Q2" i="9"/>
  <c r="P2" i="9"/>
  <c r="O2" i="9"/>
  <c r="N2" i="9"/>
  <c r="S2" i="10"/>
  <c r="R2" i="10"/>
  <c r="Q2" i="10"/>
  <c r="P2" i="10"/>
  <c r="O2" i="10"/>
  <c r="N2" i="10"/>
  <c r="S2" i="13" l="1"/>
  <c r="R2" i="13"/>
  <c r="Q2" i="13"/>
  <c r="P2" i="13"/>
  <c r="O2" i="13"/>
  <c r="N2" i="13"/>
  <c r="S2" i="12"/>
  <c r="R2" i="12"/>
  <c r="Q2" i="12"/>
  <c r="P2" i="12"/>
  <c r="O2" i="12"/>
  <c r="N2" i="12"/>
  <c r="N3" i="8"/>
  <c r="O3" i="8"/>
  <c r="P3" i="8"/>
  <c r="Q3" i="8"/>
  <c r="R3" i="8"/>
  <c r="S3" i="8"/>
  <c r="N4" i="8"/>
  <c r="O4" i="8"/>
  <c r="P4" i="8"/>
  <c r="Q4" i="8"/>
  <c r="R4" i="8"/>
  <c r="S4" i="8"/>
  <c r="N5" i="8"/>
  <c r="O5" i="8"/>
  <c r="P5" i="8"/>
  <c r="Q5" i="8"/>
  <c r="R5" i="8"/>
  <c r="S5" i="8"/>
  <c r="N6" i="8"/>
  <c r="O6" i="8"/>
  <c r="P6" i="8"/>
  <c r="Q6" i="8"/>
  <c r="R6" i="8"/>
  <c r="S6" i="8"/>
  <c r="N8" i="8"/>
  <c r="O8" i="8"/>
  <c r="P8" i="8"/>
  <c r="Q8" i="8"/>
  <c r="R8" i="8"/>
  <c r="S8" i="8"/>
  <c r="N21" i="8"/>
  <c r="O21" i="8"/>
  <c r="P21" i="8"/>
  <c r="Q21" i="8"/>
  <c r="R21" i="8"/>
  <c r="S21" i="8"/>
  <c r="N22" i="8"/>
  <c r="O22" i="8"/>
  <c r="P22" i="8"/>
  <c r="Q22" i="8"/>
  <c r="R22" i="8"/>
  <c r="S22" i="8"/>
  <c r="N23" i="8"/>
  <c r="O23" i="8"/>
  <c r="P23" i="8"/>
  <c r="Q23" i="8"/>
  <c r="R23" i="8"/>
  <c r="S23" i="8"/>
  <c r="N24" i="8"/>
  <c r="O24" i="8"/>
  <c r="P24" i="8"/>
  <c r="Q24" i="8"/>
  <c r="R24" i="8"/>
  <c r="S24" i="8"/>
  <c r="S2" i="8"/>
  <c r="R2" i="8"/>
  <c r="Q2" i="8"/>
  <c r="P2" i="8"/>
  <c r="O2" i="8"/>
  <c r="N2" i="8"/>
  <c r="N11" i="19"/>
  <c r="O11" i="19"/>
  <c r="P11" i="19"/>
  <c r="Q11" i="19"/>
  <c r="R11" i="19"/>
  <c r="S11" i="19"/>
  <c r="N3" i="19"/>
  <c r="O3" i="19"/>
  <c r="P3" i="19"/>
  <c r="Q3" i="19"/>
  <c r="R3" i="19"/>
  <c r="S3" i="19"/>
  <c r="N4" i="19"/>
  <c r="O4" i="19"/>
  <c r="P4" i="19"/>
  <c r="Q4" i="19"/>
  <c r="R4" i="19"/>
  <c r="S4" i="19"/>
  <c r="N5" i="19"/>
  <c r="O5" i="19"/>
  <c r="P5" i="19"/>
  <c r="Q5" i="19"/>
  <c r="R5" i="19"/>
  <c r="S5" i="19"/>
  <c r="N7" i="19"/>
  <c r="O7" i="19"/>
  <c r="P7" i="19"/>
  <c r="Q7" i="19"/>
  <c r="R7" i="19"/>
  <c r="S7" i="19"/>
  <c r="N8" i="19"/>
  <c r="O8" i="19"/>
  <c r="P8" i="19"/>
  <c r="Q8" i="19"/>
  <c r="R8" i="19"/>
  <c r="S8" i="19"/>
  <c r="N9" i="19"/>
  <c r="O9" i="19"/>
  <c r="P9" i="19"/>
  <c r="Q9" i="19"/>
  <c r="R9" i="19"/>
  <c r="S9" i="19"/>
  <c r="N10" i="19"/>
  <c r="O10" i="19"/>
  <c r="P10" i="19"/>
  <c r="Q10" i="19"/>
  <c r="R10" i="19"/>
  <c r="S10" i="19"/>
  <c r="S2" i="19"/>
  <c r="R2" i="19"/>
  <c r="Q2" i="19"/>
  <c r="P2" i="19"/>
  <c r="O2" i="19"/>
  <c r="N2" i="19"/>
  <c r="S7" i="17"/>
  <c r="R7" i="17"/>
  <c r="Q7" i="17"/>
  <c r="P7" i="17"/>
  <c r="O7" i="17"/>
  <c r="N7" i="17"/>
  <c r="S6" i="17"/>
  <c r="R6" i="17"/>
  <c r="Q6" i="17"/>
  <c r="P6" i="17"/>
  <c r="O6" i="17"/>
  <c r="N6" i="17"/>
  <c r="S5" i="17"/>
  <c r="R5" i="17"/>
  <c r="Q5" i="17"/>
  <c r="P5" i="17"/>
  <c r="O5" i="17"/>
  <c r="N5" i="17"/>
  <c r="S4" i="17"/>
  <c r="R4" i="17"/>
  <c r="Q4" i="17"/>
  <c r="P4" i="17"/>
  <c r="O4" i="17"/>
  <c r="N4" i="17"/>
  <c r="S3" i="17"/>
  <c r="R3" i="17"/>
  <c r="Q3" i="17"/>
  <c r="P3" i="17"/>
  <c r="O3" i="17"/>
  <c r="N3" i="17"/>
  <c r="S2" i="17"/>
  <c r="R2" i="17"/>
  <c r="Q2" i="17"/>
  <c r="P2" i="17"/>
  <c r="O2" i="17"/>
  <c r="N2" i="17"/>
  <c r="S8" i="16"/>
  <c r="R8" i="16"/>
  <c r="Q8" i="16"/>
  <c r="P8" i="16"/>
  <c r="O8" i="16"/>
  <c r="N8" i="16"/>
  <c r="S7" i="16"/>
  <c r="R7" i="16"/>
  <c r="Q7" i="16"/>
  <c r="P7" i="16"/>
  <c r="O7" i="16"/>
  <c r="N7" i="16"/>
  <c r="S6" i="16"/>
  <c r="R6" i="16"/>
  <c r="Q6" i="16"/>
  <c r="P6" i="16"/>
  <c r="O6" i="16"/>
  <c r="N6" i="16"/>
  <c r="S5" i="16"/>
  <c r="R5" i="16"/>
  <c r="Q5" i="16"/>
  <c r="P5" i="16"/>
  <c r="O5" i="16"/>
  <c r="N5" i="16"/>
  <c r="S4" i="16"/>
  <c r="R4" i="16"/>
  <c r="Q4" i="16"/>
  <c r="P4" i="16"/>
  <c r="O4" i="16"/>
  <c r="N4" i="16"/>
  <c r="S3" i="16"/>
  <c r="R3" i="16"/>
  <c r="Q3" i="16"/>
  <c r="P3" i="16"/>
  <c r="O3" i="16"/>
  <c r="N3" i="16"/>
  <c r="S2" i="16"/>
  <c r="R2" i="16"/>
  <c r="Q2" i="16"/>
  <c r="P2" i="16"/>
  <c r="O2" i="16"/>
  <c r="N2" i="16"/>
  <c r="N4" i="15"/>
  <c r="O4" i="15"/>
  <c r="P4" i="15"/>
  <c r="Q4" i="15"/>
  <c r="R4" i="15"/>
  <c r="S4" i="15"/>
  <c r="N5" i="15"/>
  <c r="O5" i="15"/>
  <c r="P5" i="15"/>
  <c r="Q5" i="15"/>
  <c r="R5" i="15"/>
  <c r="S5" i="15"/>
  <c r="N6" i="15"/>
  <c r="O6" i="15"/>
  <c r="P6" i="15"/>
  <c r="Q6" i="15"/>
  <c r="R6" i="15"/>
  <c r="S6" i="15"/>
  <c r="N10" i="15"/>
  <c r="O10" i="15"/>
  <c r="P10" i="15"/>
  <c r="Q10" i="15"/>
  <c r="R10" i="15"/>
  <c r="S10" i="15"/>
  <c r="N11" i="15"/>
  <c r="O11" i="15"/>
  <c r="P11" i="15"/>
  <c r="Q11" i="15"/>
  <c r="R11" i="15"/>
  <c r="S11" i="15"/>
  <c r="N12" i="15"/>
  <c r="O12" i="15"/>
  <c r="P12" i="15"/>
  <c r="Q12" i="15"/>
  <c r="R12" i="15"/>
  <c r="S12" i="15"/>
  <c r="N13" i="15"/>
  <c r="O13" i="15"/>
  <c r="P13" i="15"/>
  <c r="Q13" i="15"/>
  <c r="R13" i="15"/>
  <c r="S13" i="15"/>
  <c r="N14" i="15"/>
  <c r="O14" i="15"/>
  <c r="P14" i="15"/>
  <c r="Q14" i="15"/>
  <c r="R14" i="15"/>
  <c r="S14" i="15"/>
  <c r="N15" i="15"/>
  <c r="O15" i="15"/>
  <c r="P15" i="15"/>
  <c r="Q15" i="15"/>
  <c r="R15" i="15"/>
  <c r="S15" i="15"/>
  <c r="N16" i="15"/>
  <c r="O16" i="15"/>
  <c r="P16" i="15"/>
  <c r="Q16" i="15"/>
  <c r="R16" i="15"/>
  <c r="S16" i="15"/>
  <c r="N19" i="15"/>
  <c r="O19" i="15"/>
  <c r="P19" i="15"/>
  <c r="Q19" i="15"/>
  <c r="R19" i="15"/>
  <c r="S19" i="15"/>
  <c r="N20" i="15"/>
  <c r="O20" i="15"/>
  <c r="P20" i="15"/>
  <c r="Q20" i="15"/>
  <c r="R20" i="15"/>
  <c r="S20" i="15"/>
  <c r="N21" i="15"/>
  <c r="O21" i="15"/>
  <c r="P21" i="15"/>
  <c r="Q21" i="15"/>
  <c r="R21" i="15"/>
  <c r="S21" i="15"/>
  <c r="N24" i="15"/>
  <c r="O24" i="15"/>
  <c r="P24" i="15"/>
  <c r="Q24" i="15"/>
  <c r="R24" i="15"/>
  <c r="S24" i="15"/>
  <c r="N25" i="15"/>
  <c r="O25" i="15"/>
  <c r="P25" i="15"/>
  <c r="Q25" i="15"/>
  <c r="R25" i="15"/>
  <c r="S25" i="15"/>
  <c r="N23" i="15"/>
  <c r="O23" i="15"/>
  <c r="P23" i="15"/>
  <c r="Q23" i="15"/>
  <c r="R23" i="15"/>
  <c r="S23" i="15"/>
  <c r="N26" i="15"/>
  <c r="O26" i="15"/>
  <c r="P26" i="15"/>
  <c r="Q26" i="15"/>
  <c r="R26" i="15"/>
  <c r="S26" i="15"/>
  <c r="N27" i="15"/>
  <c r="O27" i="15"/>
  <c r="P27" i="15"/>
  <c r="Q27" i="15"/>
  <c r="R27" i="15"/>
  <c r="S27" i="15"/>
  <c r="N28" i="15"/>
  <c r="O28" i="15"/>
  <c r="P28" i="15"/>
  <c r="Q28" i="15"/>
  <c r="R28" i="15"/>
  <c r="S28" i="15"/>
  <c r="N29" i="15"/>
  <c r="O29" i="15"/>
  <c r="P29" i="15"/>
  <c r="Q29" i="15"/>
  <c r="R29" i="15"/>
  <c r="S29" i="15"/>
  <c r="N30" i="15"/>
  <c r="O30" i="15"/>
  <c r="P30" i="15"/>
  <c r="Q30" i="15"/>
  <c r="R30" i="15"/>
  <c r="S30" i="15"/>
  <c r="N31" i="15"/>
  <c r="O31" i="15"/>
  <c r="P31" i="15"/>
  <c r="Q31" i="15"/>
  <c r="R31" i="15"/>
  <c r="S31" i="15"/>
  <c r="N32" i="15"/>
  <c r="O32" i="15"/>
  <c r="P32" i="15"/>
  <c r="Q32" i="15"/>
  <c r="R32" i="15"/>
  <c r="S32" i="15"/>
  <c r="N50" i="15"/>
  <c r="O50" i="15"/>
  <c r="P50" i="15"/>
  <c r="Q50" i="15"/>
  <c r="R50" i="15"/>
  <c r="S50" i="15"/>
  <c r="N51" i="15"/>
  <c r="O51" i="15"/>
  <c r="P51" i="15"/>
  <c r="Q51" i="15"/>
  <c r="R51" i="15"/>
  <c r="S51" i="15"/>
  <c r="N52" i="15"/>
  <c r="O52" i="15"/>
  <c r="P52" i="15"/>
  <c r="Q52" i="15"/>
  <c r="R52" i="15"/>
  <c r="S52" i="15"/>
  <c r="N53" i="15"/>
  <c r="O53" i="15"/>
  <c r="P53" i="15"/>
  <c r="Q53" i="15"/>
  <c r="R53" i="15"/>
  <c r="S53" i="15"/>
  <c r="N54" i="15"/>
  <c r="O54" i="15"/>
  <c r="P54" i="15"/>
  <c r="Q54" i="15"/>
  <c r="R54" i="15"/>
  <c r="S54" i="15"/>
  <c r="N3" i="15"/>
  <c r="O3" i="15"/>
  <c r="P3" i="15"/>
  <c r="Q3" i="15"/>
  <c r="R3" i="15"/>
  <c r="S3" i="15"/>
  <c r="Q2" i="15"/>
  <c r="P2" i="15"/>
  <c r="O2" i="15"/>
  <c r="N2" i="15"/>
  <c r="S2" i="15"/>
  <c r="R2" i="15"/>
</calcChain>
</file>

<file path=xl/sharedStrings.xml><?xml version="1.0" encoding="utf-8"?>
<sst xmlns="http://schemas.openxmlformats.org/spreadsheetml/2006/main" count="37422" uniqueCount="5005">
  <si>
    <t>CreateTime</t>
  </si>
  <si>
    <t>Creator</t>
  </si>
  <si>
    <t>Modifier</t>
  </si>
  <si>
    <t>欄位名稱</t>
    <phoneticPr fontId="3" type="noConversion"/>
  </si>
  <si>
    <t>資料類型</t>
    <phoneticPr fontId="3" type="noConversion"/>
  </si>
  <si>
    <t>主鍵</t>
    <phoneticPr fontId="3" type="noConversion"/>
  </si>
  <si>
    <t>允許Null</t>
    <phoneticPr fontId="3" type="noConversion"/>
  </si>
  <si>
    <t>描述</t>
    <phoneticPr fontId="3" type="noConversion"/>
  </si>
  <si>
    <t>規則</t>
    <phoneticPr fontId="3" type="noConversion"/>
  </si>
  <si>
    <t>char(3)</t>
  </si>
  <si>
    <t>smallint</t>
  </si>
  <si>
    <t>datetime</t>
  </si>
  <si>
    <t>保險公司代碼</t>
  </si>
  <si>
    <t>預設值</t>
    <phoneticPr fontId="3" type="noConversion"/>
  </si>
  <si>
    <t>PK</t>
    <phoneticPr fontId="3" type="noConversion"/>
  </si>
  <si>
    <t>char(1)</t>
  </si>
  <si>
    <t>Y</t>
    <phoneticPr fontId="3" type="noConversion"/>
  </si>
  <si>
    <t>InsCmpyCode</t>
  </si>
  <si>
    <t>資料表名稱</t>
    <phoneticPr fontId="3" type="noConversion"/>
  </si>
  <si>
    <t>ModifyTime</t>
  </si>
  <si>
    <t>(GETDATE())</t>
    <phoneticPr fontId="3" type="noConversion"/>
  </si>
  <si>
    <t>char(1)</t>
    <phoneticPr fontId="3" type="noConversion"/>
  </si>
  <si>
    <t>IsSamePerson</t>
    <phoneticPr fontId="3" type="noConversion"/>
  </si>
  <si>
    <t>int</t>
    <phoneticPr fontId="3" type="noConversion"/>
  </si>
  <si>
    <t>varchar(8)</t>
    <phoneticPr fontId="3" type="noConversion"/>
  </si>
  <si>
    <t>繳別</t>
    <phoneticPr fontId="3" type="noConversion"/>
  </si>
  <si>
    <t>首期繳費方式</t>
    <phoneticPr fontId="3" type="noConversion"/>
  </si>
  <si>
    <t>續期繳費方式</t>
    <phoneticPr fontId="3" type="noConversion"/>
  </si>
  <si>
    <t>nvarchar(6)</t>
    <phoneticPr fontId="3" type="noConversion"/>
  </si>
  <si>
    <t>是否有集體彙繳</t>
    <phoneticPr fontId="3" type="noConversion"/>
  </si>
  <si>
    <t>建立時間</t>
  </si>
  <si>
    <t>建立人員</t>
  </si>
  <si>
    <t>修改時間</t>
  </si>
  <si>
    <t>修改人員</t>
  </si>
  <si>
    <t>smallint</t>
    <phoneticPr fontId="3" type="noConversion"/>
  </si>
  <si>
    <t>nvarchar(10)</t>
    <phoneticPr fontId="3" type="noConversion"/>
  </si>
  <si>
    <t>回到目錄</t>
    <phoneticPr fontId="3" type="noConversion"/>
  </si>
  <si>
    <t>varchar(20)</t>
    <phoneticPr fontId="3" type="noConversion"/>
  </si>
  <si>
    <t>是否為躉繳</t>
    <phoneticPr fontId="3" type="noConversion"/>
  </si>
  <si>
    <t>保額下限</t>
    <phoneticPr fontId="3" type="noConversion"/>
  </si>
  <si>
    <t>保額上限</t>
    <phoneticPr fontId="3" type="noConversion"/>
  </si>
  <si>
    <t>IsGroupPay</t>
    <phoneticPr fontId="3" type="noConversion"/>
  </si>
  <si>
    <t>折扣率</t>
    <phoneticPr fontId="3" type="noConversion"/>
  </si>
  <si>
    <t>DiscountRate</t>
    <phoneticPr fontId="3" type="noConversion"/>
  </si>
  <si>
    <t>decimal(9,6)</t>
    <phoneticPr fontId="3" type="noConversion"/>
  </si>
  <si>
    <t>int</t>
    <phoneticPr fontId="3" type="noConversion"/>
  </si>
  <si>
    <t>AIRate</t>
    <phoneticPr fontId="3" type="noConversion"/>
  </si>
  <si>
    <t>char(1)</t>
    <phoneticPr fontId="3" type="noConversion"/>
  </si>
  <si>
    <t>AmtLimitType</t>
    <phoneticPr fontId="3" type="noConversion"/>
  </si>
  <si>
    <t>保額限制類型</t>
    <phoneticPr fontId="3" type="noConversion"/>
  </si>
  <si>
    <t>Sex</t>
    <phoneticPr fontId="3" type="noConversion"/>
  </si>
  <si>
    <t>char(1)</t>
    <phoneticPr fontId="3" type="noConversion"/>
  </si>
  <si>
    <t>性別</t>
    <phoneticPr fontId="3" type="noConversion"/>
  </si>
  <si>
    <t>AmtLimitType</t>
    <phoneticPr fontId="3" type="noConversion"/>
  </si>
  <si>
    <t>int</t>
    <phoneticPr fontId="3" type="noConversion"/>
  </si>
  <si>
    <t>JobGrade2Amt</t>
    <phoneticPr fontId="3" type="noConversion"/>
  </si>
  <si>
    <t>JobGrade3Amt</t>
    <phoneticPr fontId="3" type="noConversion"/>
  </si>
  <si>
    <t>JobGrade5Amt</t>
    <phoneticPr fontId="3" type="noConversion"/>
  </si>
  <si>
    <t>JobGrade4Amt</t>
    <phoneticPr fontId="3" type="noConversion"/>
  </si>
  <si>
    <t>JobGrade6Amt</t>
    <phoneticPr fontId="3" type="noConversion"/>
  </si>
  <si>
    <t>職業等級拒保保額</t>
    <phoneticPr fontId="3" type="noConversion"/>
  </si>
  <si>
    <t>職業等級1保額</t>
    <phoneticPr fontId="3" type="noConversion"/>
  </si>
  <si>
    <t>職業等級2保額</t>
    <phoneticPr fontId="3" type="noConversion"/>
  </si>
  <si>
    <t>職業等級3保額</t>
    <phoneticPr fontId="3" type="noConversion"/>
  </si>
  <si>
    <t>職業等級4保額</t>
    <phoneticPr fontId="3" type="noConversion"/>
  </si>
  <si>
    <t>職業等級5保額</t>
    <phoneticPr fontId="3" type="noConversion"/>
  </si>
  <si>
    <t>職業等級6保額</t>
    <phoneticPr fontId="3" type="noConversion"/>
  </si>
  <si>
    <t>幣別</t>
    <phoneticPr fontId="3" type="noConversion"/>
  </si>
  <si>
    <t>Creator</t>
    <phoneticPr fontId="3" type="noConversion"/>
  </si>
  <si>
    <t>CreateTime</t>
    <phoneticPr fontId="3" type="noConversion"/>
  </si>
  <si>
    <t>Modifier</t>
    <phoneticPr fontId="3" type="noConversion"/>
  </si>
  <si>
    <t>Y=是
N=否</t>
    <phoneticPr fontId="3" type="noConversion"/>
  </si>
  <si>
    <t>附約欄位，配偶附加</t>
    <phoneticPr fontId="3" type="noConversion"/>
  </si>
  <si>
    <t>附約欄位，子女附加</t>
    <phoneticPr fontId="3" type="noConversion"/>
  </si>
  <si>
    <t>年齡</t>
    <phoneticPr fontId="3" type="noConversion"/>
  </si>
  <si>
    <t>Age</t>
    <phoneticPr fontId="3" type="noConversion"/>
  </si>
  <si>
    <t>是否為多型別</t>
    <phoneticPr fontId="3" type="noConversion"/>
  </si>
  <si>
    <t>char(1)</t>
    <phoneticPr fontId="3" type="noConversion"/>
  </si>
  <si>
    <t>多型別</t>
    <phoneticPr fontId="3" type="noConversion"/>
  </si>
  <si>
    <t>N</t>
    <phoneticPr fontId="3" type="noConversion"/>
  </si>
  <si>
    <t>PlanCode</t>
    <phoneticPr fontId="3" type="noConversion"/>
  </si>
  <si>
    <t>險種代碼</t>
    <phoneticPr fontId="3" type="noConversion"/>
  </si>
  <si>
    <t>PlanType</t>
    <phoneticPr fontId="3" type="noConversion"/>
  </si>
  <si>
    <t>顯示險種類型</t>
    <phoneticPr fontId="3" type="noConversion"/>
  </si>
  <si>
    <t>DispAmtUnit</t>
    <phoneticPr fontId="3" type="noConversion"/>
  </si>
  <si>
    <t>顯示多型別</t>
    <phoneticPr fontId="3" type="noConversion"/>
  </si>
  <si>
    <t>PlanYear</t>
    <phoneticPr fontId="3" type="noConversion"/>
  </si>
  <si>
    <t>險種年期</t>
    <phoneticPr fontId="3" type="noConversion"/>
  </si>
  <si>
    <t>顯示險種年期</t>
    <phoneticPr fontId="3" type="noConversion"/>
  </si>
  <si>
    <t>DispPlanYear</t>
    <phoneticPr fontId="3" type="noConversion"/>
  </si>
  <si>
    <t>PK</t>
    <phoneticPr fontId="3" type="noConversion"/>
  </si>
  <si>
    <t>Y</t>
    <phoneticPr fontId="3" type="noConversion"/>
  </si>
  <si>
    <t>int</t>
    <phoneticPr fontId="3" type="noConversion"/>
  </si>
  <si>
    <t>Y</t>
    <phoneticPr fontId="3" type="noConversion"/>
  </si>
  <si>
    <t>CreateTime</t>
    <phoneticPr fontId="3" type="noConversion"/>
  </si>
  <si>
    <t>ActPremType</t>
    <phoneticPr fontId="3" type="noConversion"/>
  </si>
  <si>
    <t>精算保費類型</t>
    <phoneticPr fontId="3" type="noConversion"/>
  </si>
  <si>
    <t>序號</t>
    <phoneticPr fontId="3" type="noConversion"/>
  </si>
  <si>
    <t>匯款</t>
  </si>
  <si>
    <t>劃撥</t>
  </si>
  <si>
    <t>自動轉帳</t>
  </si>
  <si>
    <t>信用卡</t>
  </si>
  <si>
    <t>自行繳費</t>
    <phoneticPr fontId="3" type="noConversion"/>
  </si>
  <si>
    <t>是否集彙</t>
    <phoneticPr fontId="3" type="noConversion"/>
  </si>
  <si>
    <t>續期繳費方式</t>
    <phoneticPr fontId="3" type="noConversion"/>
  </si>
  <si>
    <t>共用代碼</t>
    <phoneticPr fontId="3" type="noConversion"/>
  </si>
  <si>
    <t>資料表描述</t>
    <phoneticPr fontId="3" type="noConversion"/>
  </si>
  <si>
    <t>壽險主檔</t>
  </si>
  <si>
    <t>壽險多型別檔</t>
  </si>
  <si>
    <t>壽險多幣別檔</t>
  </si>
  <si>
    <t>壽險保額計劃檔</t>
    <phoneticPr fontId="3" type="noConversion"/>
  </si>
  <si>
    <t>varchar(8)</t>
    <phoneticPr fontId="3" type="noConversion"/>
  </si>
  <si>
    <t>varchar(3)</t>
    <phoneticPr fontId="3" type="noConversion"/>
  </si>
  <si>
    <t>附加類型</t>
    <phoneticPr fontId="3" type="noConversion"/>
  </si>
  <si>
    <t>AddPlanCode</t>
    <phoneticPr fontId="3" type="noConversion"/>
  </si>
  <si>
    <t>附加險種代碼</t>
    <phoneticPr fontId="3" type="noConversion"/>
  </si>
  <si>
    <t>AddType</t>
    <phoneticPr fontId="3" type="noConversion"/>
  </si>
  <si>
    <t>PK</t>
    <phoneticPr fontId="3" type="noConversion"/>
  </si>
  <si>
    <t>varchar(17)</t>
    <phoneticPr fontId="3" type="noConversion"/>
  </si>
  <si>
    <t>varchar(17)</t>
    <phoneticPr fontId="3" type="noConversion"/>
  </si>
  <si>
    <t>Y</t>
    <phoneticPr fontId="3" type="noConversion"/>
  </si>
  <si>
    <t>JobGrade</t>
    <phoneticPr fontId="3" type="noConversion"/>
  </si>
  <si>
    <t>職業等級</t>
    <phoneticPr fontId="3" type="noConversion"/>
  </si>
  <si>
    <t>EndDate</t>
    <phoneticPr fontId="3" type="noConversion"/>
  </si>
  <si>
    <t>結束日期</t>
    <phoneticPr fontId="3" type="noConversion"/>
  </si>
  <si>
    <t>開始日期</t>
  </si>
  <si>
    <t>varchar(8)</t>
  </si>
  <si>
    <t>格式YYYYMMDD</t>
    <phoneticPr fontId="3" type="noConversion"/>
  </si>
  <si>
    <t>varchar(2)</t>
    <phoneticPr fontId="3" type="noConversion"/>
  </si>
  <si>
    <t>保費下限</t>
    <phoneticPr fontId="3" type="noConversion"/>
  </si>
  <si>
    <t>LifeInsUWRule</t>
    <phoneticPr fontId="3" type="noConversion"/>
  </si>
  <si>
    <t>參數名稱</t>
    <phoneticPr fontId="3" type="noConversion"/>
  </si>
  <si>
    <t>豁免保額類型</t>
    <phoneticPr fontId="3" type="noConversion"/>
  </si>
  <si>
    <t>ParamName</t>
    <phoneticPr fontId="3" type="noConversion"/>
  </si>
  <si>
    <t>nvarchar(30)</t>
    <phoneticPr fontId="3" type="noConversion"/>
  </si>
  <si>
    <t>char(1)</t>
    <phoneticPr fontId="3" type="noConversion"/>
  </si>
  <si>
    <t>壽險核保規則檔</t>
    <phoneticPr fontId="3" type="noConversion"/>
  </si>
  <si>
    <t>核保階段</t>
    <phoneticPr fontId="3" type="noConversion"/>
  </si>
  <si>
    <t>nvarchar(200)</t>
    <phoneticPr fontId="3" type="noConversion"/>
  </si>
  <si>
    <t>備註</t>
    <phoneticPr fontId="3" type="noConversion"/>
  </si>
  <si>
    <t>是否為集體彙繳</t>
    <phoneticPr fontId="3" type="noConversion"/>
  </si>
  <si>
    <t>多筆以|符號分隔，例如：1|2|3
1=匯款
2=劃撥
3=自動轉帳
4=信用卡
5=自行繳費</t>
    <phoneticPr fontId="3" type="noConversion"/>
  </si>
  <si>
    <t>多筆以|符號分隔，例如：1|2|3|4
1=年繳
2=半年繳
3=季繳
4=月繳
5=躉繳
6=彈性繳</t>
    <phoneticPr fontId="3" type="noConversion"/>
  </si>
  <si>
    <t>LifeInsJobCode</t>
    <phoneticPr fontId="3" type="noConversion"/>
  </si>
  <si>
    <t>職業代碼</t>
    <phoneticPr fontId="3" type="noConversion"/>
  </si>
  <si>
    <t>PK</t>
    <phoneticPr fontId="3" type="noConversion"/>
  </si>
  <si>
    <t>職業描述</t>
    <phoneticPr fontId="3" type="noConversion"/>
  </si>
  <si>
    <t>nvarchar(50)</t>
    <phoneticPr fontId="3" type="noConversion"/>
  </si>
  <si>
    <t>精算保額單位</t>
    <phoneticPr fontId="3" type="noConversion"/>
  </si>
  <si>
    <t>ActAmtUnit</t>
    <phoneticPr fontId="3" type="noConversion"/>
  </si>
  <si>
    <t>壽險職業代碼檔</t>
    <phoneticPr fontId="3" type="noConversion"/>
  </si>
  <si>
    <t>保費上限</t>
    <phoneticPr fontId="3" type="noConversion"/>
  </si>
  <si>
    <t>大於等於設定值，單位為元</t>
    <phoneticPr fontId="3" type="noConversion"/>
  </si>
  <si>
    <t>小於設定值，單位為元</t>
    <phoneticPr fontId="3" type="noConversion"/>
  </si>
  <si>
    <t>*</t>
    <phoneticPr fontId="3" type="noConversion"/>
  </si>
  <si>
    <t>nvarchar(50)</t>
    <phoneticPr fontId="3" type="noConversion"/>
  </si>
  <si>
    <t>PayFreq</t>
    <phoneticPr fontId="3" type="noConversion"/>
  </si>
  <si>
    <t>通路代碼</t>
    <phoneticPr fontId="3" type="noConversion"/>
  </si>
  <si>
    <t>次通路代碼</t>
    <phoneticPr fontId="3" type="noConversion"/>
  </si>
  <si>
    <t>次通路名稱</t>
    <phoneticPr fontId="3" type="noConversion"/>
  </si>
  <si>
    <t>Y</t>
    <phoneticPr fontId="3" type="noConversion"/>
  </si>
  <si>
    <t>PK</t>
    <phoneticPr fontId="3" type="noConversion"/>
  </si>
  <si>
    <t>varchar(12)</t>
    <phoneticPr fontId="3" type="noConversion"/>
  </si>
  <si>
    <t>PackageName</t>
    <phoneticPr fontId="3" type="noConversion"/>
  </si>
  <si>
    <t>套裝名稱</t>
    <phoneticPr fontId="3" type="noConversion"/>
  </si>
  <si>
    <t>PackageCode</t>
    <phoneticPr fontId="3" type="noConversion"/>
  </si>
  <si>
    <t>套裝代碼</t>
    <phoneticPr fontId="3" type="noConversion"/>
  </si>
  <si>
    <t>對應dbo.ChlPlanPackage.PackageCode</t>
    <phoneticPr fontId="3" type="noConversion"/>
  </si>
  <si>
    <t>*=沒有次通路設定，使用標準版</t>
    <phoneticPr fontId="3" type="noConversion"/>
  </si>
  <si>
    <t>FM</t>
    <phoneticPr fontId="3" type="noConversion"/>
  </si>
  <si>
    <t>1|2|3|4</t>
    <phoneticPr fontId="3" type="noConversion"/>
  </si>
  <si>
    <t>PlanCode</t>
  </si>
  <si>
    <t>HI</t>
  </si>
  <si>
    <t>HS</t>
  </si>
  <si>
    <t>NR</t>
  </si>
  <si>
    <t>A1</t>
  </si>
  <si>
    <t>A2</t>
  </si>
  <si>
    <t>A3</t>
  </si>
  <si>
    <t>分行代碼</t>
    <phoneticPr fontId="3" type="noConversion"/>
  </si>
  <si>
    <t>分行名稱</t>
    <phoneticPr fontId="3" type="noConversion"/>
  </si>
  <si>
    <t>BranchCode</t>
    <phoneticPr fontId="3" type="noConversion"/>
  </si>
  <si>
    <t>BranchName</t>
    <phoneticPr fontId="3" type="noConversion"/>
  </si>
  <si>
    <t>通路險種檢視檔</t>
    <phoneticPr fontId="3" type="noConversion"/>
  </si>
  <si>
    <t>控制通路設定險種的可視時間
格式YYYYMMDD</t>
    <phoneticPr fontId="3" type="noConversion"/>
  </si>
  <si>
    <t>HS</t>
    <phoneticPr fontId="3" type="noConversion"/>
  </si>
  <si>
    <t>使用者建議書主檔</t>
    <phoneticPr fontId="3" type="noConversion"/>
  </si>
  <si>
    <t>使用者建議書投保對象檔</t>
    <phoneticPr fontId="3" type="noConversion"/>
  </si>
  <si>
    <t>使用者建議書險種資料檔</t>
    <phoneticPr fontId="3" type="noConversion"/>
  </si>
  <si>
    <t>DIRate</t>
  </si>
  <si>
    <t>FstAddedBonusType</t>
  </si>
  <si>
    <t>UserProposalPlan</t>
    <phoneticPr fontId="3" type="noConversion"/>
  </si>
  <si>
    <t>壽險險種輸入欄位主檔</t>
    <phoneticPr fontId="3" type="noConversion"/>
  </si>
  <si>
    <t>BenefitPayPercentage</t>
    <phoneticPr fontId="3" type="noConversion"/>
  </si>
  <si>
    <t>MortgageYear</t>
    <phoneticPr fontId="3" type="noConversion"/>
  </si>
  <si>
    <t>AnnuityAddedPrem</t>
    <phoneticPr fontId="3" type="noConversion"/>
  </si>
  <si>
    <t>AnnuityAddedPremStartYear</t>
    <phoneticPr fontId="3" type="noConversion"/>
  </si>
  <si>
    <t>AnnuityAddedPremEndYear</t>
    <phoneticPr fontId="3" type="noConversion"/>
  </si>
  <si>
    <t>SndAddedBonusType</t>
  </si>
  <si>
    <t>BenefitPayType</t>
  </si>
  <si>
    <t>SurvivalPayAge</t>
  </si>
  <si>
    <t>MortgageAmt</t>
  </si>
  <si>
    <t>AnnuityPayAge</t>
  </si>
  <si>
    <t>AnnuityPayFreq</t>
  </si>
  <si>
    <t>AnnuityPayYear</t>
  </si>
  <si>
    <t>欄位名稱</t>
  </si>
  <si>
    <t>欄位說明</t>
  </si>
  <si>
    <t>指定保險金給付方式</t>
    <phoneticPr fontId="3" type="noConversion"/>
  </si>
  <si>
    <t>房貸貸款年期</t>
    <phoneticPr fontId="3" type="noConversion"/>
  </si>
  <si>
    <t>年金開始給付年齡</t>
    <phoneticPr fontId="3" type="noConversion"/>
  </si>
  <si>
    <t>年金給付週期</t>
    <phoneticPr fontId="3" type="noConversion"/>
  </si>
  <si>
    <t>年金保證期間</t>
    <phoneticPr fontId="3" type="noConversion"/>
  </si>
  <si>
    <t>1=抵繳保險費
2=購買增額保險
3=現金給付
4=儲存生息</t>
    <phoneticPr fontId="3" type="noConversion"/>
  </si>
  <si>
    <t>1=年給付
2=半年給付
3=季給付
4=月給付</t>
    <phoneticPr fontId="3" type="noConversion"/>
  </si>
  <si>
    <t>1=一次給付
2=分期給付</t>
    <phoneticPr fontId="3" type="noConversion"/>
  </si>
  <si>
    <t>varchar(32)</t>
    <phoneticPr fontId="3" type="noConversion"/>
  </si>
  <si>
    <t>varchar(10)</t>
    <phoneticPr fontId="3" type="noConversion"/>
  </si>
  <si>
    <t>varchar(30)</t>
    <phoneticPr fontId="3" type="noConversion"/>
  </si>
  <si>
    <t>code_seq</t>
    <phoneticPr fontId="3" type="noConversion"/>
  </si>
  <si>
    <t>cde_group</t>
    <phoneticPr fontId="3" type="noConversion"/>
  </si>
  <si>
    <t>cde_type_id</t>
    <phoneticPr fontId="3" type="noConversion"/>
  </si>
  <si>
    <t>description</t>
    <phoneticPr fontId="3" type="noConversion"/>
  </si>
  <si>
    <t>colum1</t>
    <phoneticPr fontId="3" type="noConversion"/>
  </si>
  <si>
    <t>colum2</t>
    <phoneticPr fontId="3" type="noConversion"/>
  </si>
  <si>
    <t>language</t>
    <phoneticPr fontId="3" type="noConversion"/>
  </si>
  <si>
    <t>createtime</t>
    <phoneticPr fontId="3" type="noConversion"/>
  </si>
  <si>
    <t>creator</t>
    <phoneticPr fontId="3" type="noConversion"/>
  </si>
  <si>
    <t>lastupdate</t>
    <phoneticPr fontId="3" type="noConversion"/>
  </si>
  <si>
    <t>modifier</t>
    <phoneticPr fontId="3" type="noConversion"/>
  </si>
  <si>
    <t>int</t>
    <phoneticPr fontId="3" type="noConversion"/>
  </si>
  <si>
    <t>char(3)</t>
    <phoneticPr fontId="3" type="noConversion"/>
  </si>
  <si>
    <t>varchar(32)</t>
    <phoneticPr fontId="3" type="noConversion"/>
  </si>
  <si>
    <t>code</t>
    <phoneticPr fontId="3" type="noConversion"/>
  </si>
  <si>
    <t>nvarchar(100)</t>
    <phoneticPr fontId="3" type="noConversion"/>
  </si>
  <si>
    <t>nvarchar(8)</t>
    <phoneticPr fontId="3" type="noConversion"/>
  </si>
  <si>
    <t>glb_type</t>
    <phoneticPr fontId="3" type="noConversion"/>
  </si>
  <si>
    <t>memo</t>
    <phoneticPr fontId="3" type="noConversion"/>
  </si>
  <si>
    <t>pram_value1</t>
    <phoneticPr fontId="3" type="noConversion"/>
  </si>
  <si>
    <t>pram_value2</t>
    <phoneticPr fontId="3" type="noConversion"/>
  </si>
  <si>
    <t>varchar(30)</t>
    <phoneticPr fontId="3" type="noConversion"/>
  </si>
  <si>
    <t>varchar(20)</t>
    <phoneticPr fontId="3" type="noConversion"/>
  </si>
  <si>
    <t>dbo</t>
    <phoneticPr fontId="3" type="noConversion"/>
  </si>
  <si>
    <t>COM</t>
    <phoneticPr fontId="3" type="noConversion"/>
  </si>
  <si>
    <t>varchar(6)</t>
    <phoneticPr fontId="3" type="noConversion"/>
  </si>
  <si>
    <t>險種販售開始時間
格式YYYYMMDD</t>
    <phoneticPr fontId="3" type="noConversion"/>
  </si>
  <si>
    <t>險種販售結束時間
格式YYYYMMDD</t>
    <phoneticPr fontId="3" type="noConversion"/>
  </si>
  <si>
    <t>序號</t>
  </si>
  <si>
    <t>項目</t>
    <phoneticPr fontId="3" type="noConversion"/>
  </si>
  <si>
    <t>說明</t>
  </si>
  <si>
    <t>說明</t>
    <phoneticPr fontId="3" type="noConversion"/>
  </si>
  <si>
    <t>投保商品文字說明</t>
    <phoneticPr fontId="3" type="noConversion"/>
  </si>
  <si>
    <t>與報表文字共用，暫不開欄位。</t>
    <phoneticPr fontId="3" type="noConversion"/>
  </si>
  <si>
    <t>IsEdit</t>
    <phoneticPr fontId="3" type="noConversion"/>
  </si>
  <si>
    <t>varchar(30)</t>
    <phoneticPr fontId="3" type="noConversion"/>
  </si>
  <si>
    <t>Y</t>
    <phoneticPr fontId="3" type="noConversion"/>
  </si>
  <si>
    <t>1|2</t>
    <phoneticPr fontId="3" type="noConversion"/>
  </si>
  <si>
    <t>1|2</t>
    <phoneticPr fontId="3" type="noConversion"/>
  </si>
  <si>
    <t>55|60|65</t>
    <phoneticPr fontId="3" type="noConversion"/>
  </si>
  <si>
    <t>55歲、60歲、65歲</t>
    <phoneticPr fontId="3" type="noConversion"/>
  </si>
  <si>
    <t>年金增額保費繳費起年</t>
    <phoneticPr fontId="3" type="noConversion"/>
  </si>
  <si>
    <t>年金增額保費繳費訖年</t>
    <phoneticPr fontId="3" type="noConversion"/>
  </si>
  <si>
    <t>char(1)</t>
    <phoneticPr fontId="3" type="noConversion"/>
  </si>
  <si>
    <t>是否編輯</t>
    <phoneticPr fontId="3" type="noConversion"/>
  </si>
  <si>
    <t>多筆以|符號分隔，例如：1|2|3|4</t>
    <phoneticPr fontId="3" type="noConversion"/>
  </si>
  <si>
    <t>PPL.000.003</t>
  </si>
  <si>
    <t>PPL.000.001</t>
  </si>
  <si>
    <t>PPL.000.005</t>
    <phoneticPr fontId="3" type="noConversion"/>
  </si>
  <si>
    <t>多筆以|符號分隔，例如：1|2|3|4</t>
    <phoneticPr fontId="3" type="noConversion"/>
  </si>
  <si>
    <t>PPL.000.006</t>
  </si>
  <si>
    <t>PPL.000.007</t>
    <phoneticPr fontId="3" type="noConversion"/>
  </si>
  <si>
    <t>PPL.000.008</t>
    <phoneticPr fontId="3" type="noConversion"/>
  </si>
  <si>
    <t>PPL.000.009</t>
    <phoneticPr fontId="3" type="noConversion"/>
  </si>
  <si>
    <t>PPL.000.010</t>
    <phoneticPr fontId="3" type="noConversion"/>
  </si>
  <si>
    <t>PPL.000.011</t>
    <phoneticPr fontId="3" type="noConversion"/>
  </si>
  <si>
    <t>PPL.000.001</t>
    <phoneticPr fontId="3" type="noConversion"/>
  </si>
  <si>
    <t>IsGroupPay=Y，畫面下拉選單讀共用代碼PPL.000.012</t>
    <phoneticPr fontId="3" type="noConversion"/>
  </si>
  <si>
    <t>PPL.000.013</t>
    <phoneticPr fontId="3" type="noConversion"/>
  </si>
  <si>
    <t>PPL.000.014</t>
    <phoneticPr fontId="3" type="noConversion"/>
  </si>
  <si>
    <t>PPL.000.001</t>
    <phoneticPr fontId="3" type="noConversion"/>
  </si>
  <si>
    <t>PPL.000.015</t>
    <phoneticPr fontId="3" type="noConversion"/>
  </si>
  <si>
    <t>險種基礎資料日期控制</t>
    <phoneticPr fontId="3" type="noConversion"/>
  </si>
  <si>
    <t>通路設定險種日期控制</t>
    <phoneticPr fontId="3" type="noConversion"/>
  </si>
  <si>
    <t>PPL.000.011</t>
    <phoneticPr fontId="3" type="noConversion"/>
  </si>
  <si>
    <t>不可用不須設定</t>
    <phoneticPr fontId="3" type="noConversion"/>
  </si>
  <si>
    <t>PPL.000.016</t>
    <phoneticPr fontId="3" type="noConversion"/>
  </si>
  <si>
    <t>decimal(19,6)</t>
  </si>
  <si>
    <t>decimal(19,6)</t>
    <phoneticPr fontId="3" type="noConversion"/>
  </si>
  <si>
    <t>類型</t>
  </si>
  <si>
    <t>資料表</t>
  </si>
  <si>
    <t>使用Upper Camel Case方式命名</t>
  </si>
  <si>
    <t>資料表名稱，最前方使用前贅詞，做類型區分</t>
  </si>
  <si>
    <t>資料表名稱與中文描述盡量保持一致，語意不可差異太大</t>
  </si>
  <si>
    <t>欄位</t>
  </si>
  <si>
    <t>每張資料表皆保留建立時間、建立人員、修改時間、修改人員四個欄位</t>
  </si>
  <si>
    <t>適當使用縮寫，避免欄位名稱過長，例如：保險=Ins (Insurance的縮寫)</t>
  </si>
  <si>
    <t>欄位名稱與中文描述盡量保持一致，語意不可差異太大</t>
  </si>
  <si>
    <t>同一張資料表內，定義較相近的欄位請做排列，例如：商品代號與商品顯示代號，可排在一起</t>
  </si>
  <si>
    <t>除了ESOAF平台的資料表，結構描述一律使用dbo</t>
    <phoneticPr fontId="3" type="noConversion"/>
  </si>
  <si>
    <t>專有名詞可使用全大寫，例如：保價金=PV、減額繳清=RPU</t>
    <phoneticPr fontId="3" type="noConversion"/>
  </si>
  <si>
    <t>新增定義時，請先用SQL查詢，盡量保持命名規則與資料類型一致性</t>
    <phoneticPr fontId="3" type="noConversion"/>
  </si>
  <si>
    <t>字典</t>
    <phoneticPr fontId="3" type="noConversion"/>
  </si>
  <si>
    <t>PPL.000.017</t>
    <phoneticPr fontId="3" type="noConversion"/>
  </si>
  <si>
    <t>PPL.000.018</t>
    <phoneticPr fontId="3" type="noConversion"/>
  </si>
  <si>
    <t>JobCode</t>
  </si>
  <si>
    <t>JobGrade</t>
  </si>
  <si>
    <t>JobDescription</t>
  </si>
  <si>
    <t>00010010</t>
  </si>
  <si>
    <t>一般職業</t>
  </si>
  <si>
    <t>機關團體公司行號</t>
  </si>
  <si>
    <t>內勤人員</t>
  </si>
  <si>
    <t>00010020</t>
  </si>
  <si>
    <t>外勤人員</t>
  </si>
  <si>
    <t>01010010</t>
  </si>
  <si>
    <t>01010020</t>
  </si>
  <si>
    <t>農夫</t>
  </si>
  <si>
    <t>01010030</t>
  </si>
  <si>
    <t>長短工</t>
  </si>
  <si>
    <t>select * from dbo.LifeInsJobCode</t>
  </si>
  <si>
    <t>select distinct JobGroupCode1, JobGroupName1 from dbo.LifeInsJobCode where JobGroupCode1 &gt; ''</t>
  </si>
  <si>
    <t>select distinct JobGroupCode2, JobGroupName2 from dbo.LifeInsJobCode where JobGroupCode2 &gt; ''</t>
  </si>
  <si>
    <t>第一層選單</t>
    <phoneticPr fontId="3" type="noConversion"/>
  </si>
  <si>
    <t>第二層選單</t>
    <phoneticPr fontId="3" type="noConversion"/>
  </si>
  <si>
    <t>JobGroupName1</t>
  </si>
  <si>
    <t>JobGroupName1</t>
    <phoneticPr fontId="3" type="noConversion"/>
  </si>
  <si>
    <t>JobGroupName2</t>
  </si>
  <si>
    <t>JobGroupName2</t>
    <phoneticPr fontId="3" type="noConversion"/>
  </si>
  <si>
    <t>JobGroupCode1</t>
  </si>
  <si>
    <t>JobGroupCode1</t>
    <phoneticPr fontId="3" type="noConversion"/>
  </si>
  <si>
    <t>JobGroupCode2</t>
  </si>
  <si>
    <t>JobGroupCode2</t>
    <phoneticPr fontId="3" type="noConversion"/>
  </si>
  <si>
    <t>畜牧工作人員</t>
  </si>
  <si>
    <t>char(4)</t>
    <phoneticPr fontId="3" type="noConversion"/>
  </si>
  <si>
    <t>char(2)</t>
    <phoneticPr fontId="3" type="noConversion"/>
  </si>
  <si>
    <t>職業群組代碼1</t>
    <phoneticPr fontId="3" type="noConversion"/>
  </si>
  <si>
    <t>職業群組代碼2</t>
    <phoneticPr fontId="3" type="noConversion"/>
  </si>
  <si>
    <t>職業群組名稱1</t>
    <phoneticPr fontId="3" type="noConversion"/>
  </si>
  <si>
    <t>職業群組名稱2</t>
    <phoneticPr fontId="3" type="noConversion"/>
  </si>
  <si>
    <t>PPL.000.020</t>
    <phoneticPr fontId="3" type="noConversion"/>
  </si>
  <si>
    <t>PPL.000.021</t>
    <phoneticPr fontId="3" type="noConversion"/>
  </si>
  <si>
    <t>PPL.000.022</t>
    <phoneticPr fontId="3" type="noConversion"/>
  </si>
  <si>
    <t>PPL.000.023</t>
    <phoneticPr fontId="3" type="noConversion"/>
  </si>
  <si>
    <t>PPL.000.001</t>
    <phoneticPr fontId="3" type="noConversion"/>
  </si>
  <si>
    <t>欄位屬性</t>
    <phoneticPr fontId="3" type="noConversion"/>
  </si>
  <si>
    <t>TXT</t>
    <phoneticPr fontId="3" type="noConversion"/>
  </si>
  <si>
    <t>DDL</t>
    <phoneticPr fontId="3" type="noConversion"/>
  </si>
  <si>
    <t>varchar(3)</t>
    <phoneticPr fontId="3" type="noConversion"/>
  </si>
  <si>
    <t>年金增額保費(元)</t>
    <phoneticPr fontId="3" type="noConversion"/>
  </si>
  <si>
    <t>生存金給付年齡</t>
    <phoneticPr fontId="3" type="noConversion"/>
  </si>
  <si>
    <t>LAB</t>
    <phoneticPr fontId="3" type="noConversion"/>
  </si>
  <si>
    <t>PPL.000.024</t>
    <phoneticPr fontId="3" type="noConversion"/>
  </si>
  <si>
    <t>多主約問題</t>
    <phoneticPr fontId="3" type="noConversion"/>
  </si>
  <si>
    <t>dbo</t>
    <phoneticPr fontId="3" type="noConversion"/>
  </si>
  <si>
    <t>建議書編號</t>
    <phoneticPr fontId="3" type="noConversion"/>
  </si>
  <si>
    <t>更新日期</t>
    <phoneticPr fontId="3" type="noConversion"/>
  </si>
  <si>
    <t>投保對象</t>
    <phoneticPr fontId="3" type="noConversion"/>
  </si>
  <si>
    <t>姓名</t>
    <phoneticPr fontId="3" type="noConversion"/>
  </si>
  <si>
    <t>性別</t>
    <phoneticPr fontId="3" type="noConversion"/>
  </si>
  <si>
    <t>生日</t>
    <phoneticPr fontId="3" type="noConversion"/>
  </si>
  <si>
    <t>保險年齡</t>
    <phoneticPr fontId="3" type="noConversion"/>
  </si>
  <si>
    <t>身分別</t>
    <phoneticPr fontId="3" type="noConversion"/>
  </si>
  <si>
    <t>UpdateDate</t>
    <phoneticPr fontId="3" type="noConversion"/>
  </si>
  <si>
    <t>varchar(8)</t>
    <phoneticPr fontId="3" type="noConversion"/>
  </si>
  <si>
    <t>ProposalNo</t>
    <phoneticPr fontId="3" type="noConversion"/>
  </si>
  <si>
    <t>PK</t>
    <phoneticPr fontId="3" type="noConversion"/>
  </si>
  <si>
    <t>Name</t>
    <phoneticPr fontId="3" type="noConversion"/>
  </si>
  <si>
    <t>Sex</t>
    <phoneticPr fontId="3" type="noConversion"/>
  </si>
  <si>
    <t>Birthday</t>
    <phoneticPr fontId="3" type="noConversion"/>
  </si>
  <si>
    <t>InsAge</t>
    <phoneticPr fontId="3" type="noConversion"/>
  </si>
  <si>
    <t>smallint</t>
    <phoneticPr fontId="3" type="noConversion"/>
  </si>
  <si>
    <t>Identification</t>
    <phoneticPr fontId="3" type="noConversion"/>
  </si>
  <si>
    <t>nvarchar(100)</t>
    <phoneticPr fontId="3" type="noConversion"/>
  </si>
  <si>
    <t>PPL.000.025</t>
    <phoneticPr fontId="3" type="noConversion"/>
  </si>
  <si>
    <t>投保對象</t>
    <phoneticPr fontId="3" type="noConversion"/>
  </si>
  <si>
    <t>SerNo</t>
    <phoneticPr fontId="3" type="noConversion"/>
  </si>
  <si>
    <t>int</t>
    <phoneticPr fontId="3" type="noConversion"/>
  </si>
  <si>
    <t>投保保額</t>
    <phoneticPr fontId="3" type="noConversion"/>
  </si>
  <si>
    <t>decimal(9,6)</t>
    <phoneticPr fontId="3" type="noConversion"/>
  </si>
  <si>
    <t>宣告利率</t>
    <phoneticPr fontId="3" type="noConversion"/>
  </si>
  <si>
    <t>第一階段增值回饋金領取方式</t>
    <phoneticPr fontId="3" type="noConversion"/>
  </si>
  <si>
    <t>第二階段增值回饋金領取方式</t>
    <phoneticPr fontId="3" type="noConversion"/>
  </si>
  <si>
    <t>FstAddedBonusType</t>
    <phoneticPr fontId="3" type="noConversion"/>
  </si>
  <si>
    <t>SndAddedBonusType</t>
    <phoneticPr fontId="3" type="noConversion"/>
  </si>
  <si>
    <t>char(1)</t>
    <phoneticPr fontId="3" type="noConversion"/>
  </si>
  <si>
    <t>DIRate</t>
    <phoneticPr fontId="3" type="noConversion"/>
  </si>
  <si>
    <t>smallint</t>
    <phoneticPr fontId="3" type="noConversion"/>
  </si>
  <si>
    <t>房貸貸款金額(元)</t>
    <phoneticPr fontId="3" type="noConversion"/>
  </si>
  <si>
    <t>Y</t>
    <phoneticPr fontId="3" type="noConversion"/>
  </si>
  <si>
    <t>PPL.000.014</t>
    <phoneticPr fontId="3" type="noConversion"/>
  </si>
  <si>
    <t>建議書備註</t>
    <phoneticPr fontId="3" type="noConversion"/>
  </si>
  <si>
    <t>ProposalMemo</t>
    <phoneticPr fontId="3" type="noConversion"/>
  </si>
  <si>
    <t>nvarchar(50)</t>
    <phoneticPr fontId="3" type="noConversion"/>
  </si>
  <si>
    <t>次通路名稱</t>
    <phoneticPr fontId="3" type="noConversion"/>
  </si>
  <si>
    <t>分行代碼</t>
    <phoneticPr fontId="3" type="noConversion"/>
  </si>
  <si>
    <t>電子郵件</t>
    <phoneticPr fontId="3" type="noConversion"/>
  </si>
  <si>
    <t>登入來源</t>
    <phoneticPr fontId="3" type="noConversion"/>
  </si>
  <si>
    <t>服務單位電話</t>
    <phoneticPr fontId="3" type="noConversion"/>
  </si>
  <si>
    <t>服務單位</t>
    <phoneticPr fontId="3" type="noConversion"/>
  </si>
  <si>
    <t>職稱</t>
    <phoneticPr fontId="3" type="noConversion"/>
  </si>
  <si>
    <t>行動電話</t>
    <phoneticPr fontId="3" type="noConversion"/>
  </si>
  <si>
    <t>傳真</t>
    <phoneticPr fontId="3" type="noConversion"/>
  </si>
  <si>
    <t>Fax</t>
    <phoneticPr fontId="3" type="noConversion"/>
  </si>
  <si>
    <t>Email</t>
    <phoneticPr fontId="3" type="noConversion"/>
  </si>
  <si>
    <t>Y</t>
    <phoneticPr fontId="3" type="noConversion"/>
  </si>
  <si>
    <t>Title</t>
    <phoneticPr fontId="3" type="noConversion"/>
  </si>
  <si>
    <t>ServiceUnit</t>
    <phoneticPr fontId="3" type="noConversion"/>
  </si>
  <si>
    <t>ServiceUnitTel</t>
    <phoneticPr fontId="3" type="noConversion"/>
  </si>
  <si>
    <t>Mobile</t>
    <phoneticPr fontId="3" type="noConversion"/>
  </si>
  <si>
    <t>登錄證字號</t>
    <phoneticPr fontId="3" type="noConversion"/>
  </si>
  <si>
    <t>LoginAccount</t>
    <phoneticPr fontId="3" type="noConversion"/>
  </si>
  <si>
    <t>LoginSource</t>
    <phoneticPr fontId="3" type="noConversion"/>
  </si>
  <si>
    <t>char(1)</t>
    <phoneticPr fontId="3" type="noConversion"/>
  </si>
  <si>
    <t>varchar(20)</t>
    <phoneticPr fontId="3" type="noConversion"/>
  </si>
  <si>
    <t>登入帳號</t>
    <phoneticPr fontId="3" type="noConversion"/>
  </si>
  <si>
    <t>系統登入資訊檔</t>
    <phoneticPr fontId="3" type="noConversion"/>
  </si>
  <si>
    <t>SysLoginInfo</t>
    <phoneticPr fontId="3" type="noConversion"/>
  </si>
  <si>
    <t>ServiceUnitAddr</t>
    <phoneticPr fontId="3" type="noConversion"/>
  </si>
  <si>
    <t>服務單位地址</t>
    <phoneticPr fontId="3" type="noConversion"/>
  </si>
  <si>
    <t>待確認</t>
    <phoneticPr fontId="3" type="noConversion"/>
  </si>
  <si>
    <t>PlanCode</t>
    <phoneticPr fontId="3" type="noConversion"/>
  </si>
  <si>
    <t>DispPlanType</t>
    <phoneticPr fontId="3" type="noConversion"/>
  </si>
  <si>
    <t>Cuy</t>
    <phoneticPr fontId="3" type="noConversion"/>
  </si>
  <si>
    <t>Sex</t>
    <phoneticPr fontId="3" type="noConversion"/>
  </si>
  <si>
    <t>配偶最低年齡為足歲</t>
    <phoneticPr fontId="3" type="noConversion"/>
  </si>
  <si>
    <t>AmtInputType</t>
    <phoneticPr fontId="3" type="noConversion"/>
  </si>
  <si>
    <t>WaiverAmtType</t>
    <phoneticPr fontId="3" type="noConversion"/>
  </si>
  <si>
    <t>PayFreq</t>
    <phoneticPr fontId="3" type="noConversion"/>
  </si>
  <si>
    <t>CreateTime</t>
    <phoneticPr fontId="3" type="noConversion"/>
  </si>
  <si>
    <t>Creator</t>
    <phoneticPr fontId="3" type="noConversion"/>
  </si>
  <si>
    <t>ModifyTime</t>
    <phoneticPr fontId="3" type="noConversion"/>
  </si>
  <si>
    <t>Modifier</t>
    <phoneticPr fontId="3" type="noConversion"/>
  </si>
  <si>
    <t>varchar(8)</t>
    <phoneticPr fontId="3" type="noConversion"/>
  </si>
  <si>
    <t>險種類型</t>
    <phoneticPr fontId="3" type="noConversion"/>
  </si>
  <si>
    <t>是否為主約</t>
    <phoneticPr fontId="3" type="noConversion"/>
  </si>
  <si>
    <t>是否為多幣別</t>
    <phoneticPr fontId="3" type="noConversion"/>
  </si>
  <si>
    <t>幣別</t>
    <phoneticPr fontId="3" type="noConversion"/>
  </si>
  <si>
    <t>投保對象</t>
    <phoneticPr fontId="3" type="noConversion"/>
  </si>
  <si>
    <t>主被保人最低年齡</t>
    <phoneticPr fontId="3" type="noConversion"/>
  </si>
  <si>
    <t>主被保人最高年齡</t>
    <phoneticPr fontId="3" type="noConversion"/>
  </si>
  <si>
    <t>主被保人最低年齡為足歲</t>
    <phoneticPr fontId="3" type="noConversion"/>
  </si>
  <si>
    <t>配偶最低年齡</t>
    <phoneticPr fontId="3" type="noConversion"/>
  </si>
  <si>
    <t>配偶最高年齡</t>
    <phoneticPr fontId="3" type="noConversion"/>
  </si>
  <si>
    <t>子女最低年齡</t>
    <phoneticPr fontId="3" type="noConversion"/>
  </si>
  <si>
    <t>子女最高年齡</t>
    <phoneticPr fontId="3" type="noConversion"/>
  </si>
  <si>
    <t>子女最低年齡為足歲</t>
    <phoneticPr fontId="3" type="noConversion"/>
  </si>
  <si>
    <t>保額輸入類型</t>
    <phoneticPr fontId="3" type="noConversion"/>
  </si>
  <si>
    <t>顯示保額單位</t>
    <phoneticPr fontId="3" type="noConversion"/>
  </si>
  <si>
    <t>顯示保額文字</t>
    <phoneticPr fontId="3" type="noConversion"/>
  </si>
  <si>
    <t>首期繳費方式</t>
    <phoneticPr fontId="3" type="noConversion"/>
  </si>
  <si>
    <t>續期繳費方式</t>
    <phoneticPr fontId="3" type="noConversion"/>
  </si>
  <si>
    <t>是否有集體彙繳</t>
    <phoneticPr fontId="3" type="noConversion"/>
  </si>
  <si>
    <t>保費類型</t>
    <phoneticPr fontId="3" type="noConversion"/>
  </si>
  <si>
    <t>建立時間</t>
    <phoneticPr fontId="3" type="noConversion"/>
  </si>
  <si>
    <t>建立人員</t>
    <phoneticPr fontId="3" type="noConversion"/>
  </si>
  <si>
    <t>修改時間</t>
    <phoneticPr fontId="3" type="noConversion"/>
  </si>
  <si>
    <t>修改人員</t>
    <phoneticPr fontId="3" type="noConversion"/>
  </si>
  <si>
    <t>datetime</t>
    <phoneticPr fontId="3" type="noConversion"/>
  </si>
  <si>
    <t>PlanCode</t>
    <phoneticPr fontId="3" type="noConversion"/>
  </si>
  <si>
    <t>varchar(8)</t>
    <phoneticPr fontId="3" type="noConversion"/>
  </si>
  <si>
    <t>多型別</t>
    <phoneticPr fontId="3" type="noConversion"/>
  </si>
  <si>
    <t>IsSinglePay</t>
    <phoneticPr fontId="3" type="noConversion"/>
  </si>
  <si>
    <t>varchar(8)</t>
    <phoneticPr fontId="3" type="noConversion"/>
  </si>
  <si>
    <t>險種代碼</t>
    <phoneticPr fontId="3" type="noConversion"/>
  </si>
  <si>
    <t>多型別</t>
    <phoneticPr fontId="3" type="noConversion"/>
  </si>
  <si>
    <t>壽險年期檔</t>
    <phoneticPr fontId="3" type="noConversion"/>
  </si>
  <si>
    <t>AmtPlan</t>
    <phoneticPr fontId="3" type="noConversion"/>
  </si>
  <si>
    <t>保額計劃</t>
    <phoneticPr fontId="3" type="noConversion"/>
  </si>
  <si>
    <t>DispAmtPlan</t>
    <phoneticPr fontId="3" type="noConversion"/>
  </si>
  <si>
    <t>顯示保額計劃</t>
    <phoneticPr fontId="3" type="noConversion"/>
  </si>
  <si>
    <t>備註</t>
    <phoneticPr fontId="3" type="noConversion"/>
  </si>
  <si>
    <t>dbo</t>
    <phoneticPr fontId="3" type="noConversion"/>
  </si>
  <si>
    <t>PPL.000.002</t>
    <phoneticPr fontId="3" type="noConversion"/>
  </si>
  <si>
    <t>刪除描述</t>
    <phoneticPr fontId="3" type="noConversion"/>
  </si>
  <si>
    <t>刪除規則</t>
    <phoneticPr fontId="3" type="noConversion"/>
  </si>
  <si>
    <t>刪除備註</t>
    <phoneticPr fontId="3" type="noConversion"/>
  </si>
  <si>
    <t>新增描述</t>
    <phoneticPr fontId="3" type="noConversion"/>
  </si>
  <si>
    <t>新增規則</t>
    <phoneticPr fontId="3" type="noConversion"/>
  </si>
  <si>
    <t>新增備註</t>
    <phoneticPr fontId="3" type="noConversion"/>
  </si>
  <si>
    <t>險種代碼</t>
    <phoneticPr fontId="3" type="noConversion"/>
  </si>
  <si>
    <t>顯示險種代碼</t>
    <phoneticPr fontId="3" type="noConversion"/>
  </si>
  <si>
    <t>LifeInsAmtPlan</t>
    <phoneticPr fontId="3" type="noConversion"/>
  </si>
  <si>
    <t>LifeInsYear</t>
    <phoneticPr fontId="3" type="noConversion"/>
  </si>
  <si>
    <t>LifeInsAgeAmtLimit</t>
    <phoneticPr fontId="3" type="noConversion"/>
  </si>
  <si>
    <t>0歲</t>
    <phoneticPr fontId="3" type="noConversion"/>
  </si>
  <si>
    <t>JobGrade1Amt</t>
    <phoneticPr fontId="3" type="noConversion"/>
  </si>
  <si>
    <t>0歲值</t>
    <phoneticPr fontId="3" type="noConversion"/>
  </si>
  <si>
    <t>LifeInsActPrem</t>
    <phoneticPr fontId="3" type="noConversion"/>
  </si>
  <si>
    <t>LifeInsActFactor</t>
    <phoneticPr fontId="3" type="noConversion"/>
  </si>
  <si>
    <t>LifeInsAddRuleMaster</t>
    <phoneticPr fontId="3" type="noConversion"/>
  </si>
  <si>
    <t>壽險主約附加規則檔</t>
    <phoneticPr fontId="3" type="noConversion"/>
  </si>
  <si>
    <t>壽險附約附加規則檔</t>
    <phoneticPr fontId="3" type="noConversion"/>
  </si>
  <si>
    <t>備註</t>
    <phoneticPr fontId="3" type="noConversion"/>
  </si>
  <si>
    <t>LifeInsDiscountPayWay</t>
    <phoneticPr fontId="3" type="noConversion"/>
  </si>
  <si>
    <t>LifeInsAmtLimitJobGrade</t>
    <phoneticPr fontId="3" type="noConversion"/>
  </si>
  <si>
    <t>LifeInsAddRuleRider</t>
    <phoneticPr fontId="3" type="noConversion"/>
  </si>
  <si>
    <t>*=不分性別</t>
    <phoneticPr fontId="3" type="noConversion"/>
  </si>
  <si>
    <t>AmtInputType=2，搭配dbo.LifeInsAmtPlan設定</t>
    <phoneticPr fontId="3" type="noConversion"/>
  </si>
  <si>
    <t>KEY值可自定義***
對應dbo.LifeInsActPrem.ActPremType</t>
    <phoneticPr fontId="3" type="noConversion"/>
  </si>
  <si>
    <t>*=不分職業等級</t>
    <phoneticPr fontId="3" type="noConversion"/>
  </si>
  <si>
    <t>KEY值可自定義***
對應dbo.LifeInsActPrem.ActPremType***
雖然元大目前用不到，因為是KEY仍需定義一個值</t>
    <phoneticPr fontId="3" type="noConversion"/>
  </si>
  <si>
    <t>*=不依險種</t>
    <phoneticPr fontId="3" type="noConversion"/>
  </si>
  <si>
    <t>核保類型</t>
    <phoneticPr fontId="3" type="noConversion"/>
  </si>
  <si>
    <t>UWType</t>
    <phoneticPr fontId="3" type="noConversion"/>
  </si>
  <si>
    <t>UWStage</t>
    <phoneticPr fontId="3" type="noConversion"/>
  </si>
  <si>
    <t>PR</t>
  </si>
  <si>
    <t>LW</t>
  </si>
  <si>
    <t>TM</t>
  </si>
  <si>
    <t>JR</t>
  </si>
  <si>
    <t>SH</t>
  </si>
  <si>
    <t>CY</t>
  </si>
  <si>
    <t>DD</t>
  </si>
  <si>
    <t>DP</t>
  </si>
  <si>
    <t>C4</t>
  </si>
  <si>
    <t>DJ</t>
  </si>
  <si>
    <t>MI</t>
  </si>
  <si>
    <t>QR</t>
  </si>
  <si>
    <t>WB</t>
  </si>
  <si>
    <t>WD</t>
  </si>
  <si>
    <t>WH</t>
  </si>
  <si>
    <t>WI</t>
  </si>
  <si>
    <t>EW</t>
  </si>
  <si>
    <t>FM</t>
  </si>
  <si>
    <t>範例</t>
    <phoneticPr fontId="3" type="noConversion"/>
  </si>
  <si>
    <t>房貸貸款金額(元)，畫面單位為萬元</t>
    <phoneticPr fontId="3" type="noConversion"/>
  </si>
  <si>
    <t>Alvin</t>
  </si>
  <si>
    <t>Alvin</t>
    <phoneticPr fontId="3" type="noConversion"/>
  </si>
  <si>
    <t>AddPlanCode</t>
  </si>
  <si>
    <t>AddType</t>
  </si>
  <si>
    <t>*</t>
  </si>
  <si>
    <t>RL</t>
  </si>
  <si>
    <t>PlanYear</t>
  </si>
  <si>
    <t>ActPremType</t>
  </si>
  <si>
    <t>DiscountRate</t>
  </si>
  <si>
    <t>DispPlanYear</t>
  </si>
  <si>
    <t>IsSinglePay</t>
  </si>
  <si>
    <t>6年期</t>
  </si>
  <si>
    <t>N</t>
  </si>
  <si>
    <t>10年期</t>
  </si>
  <si>
    <t>20年期</t>
  </si>
  <si>
    <t>待確認</t>
    <phoneticPr fontId="3" type="noConversion"/>
  </si>
  <si>
    <t>登入密碼</t>
    <phoneticPr fontId="3" type="noConversion"/>
  </si>
  <si>
    <t>Y</t>
  </si>
  <si>
    <t>主被保人保障最高年度</t>
    <phoneticPr fontId="3" type="noConversion"/>
  </si>
  <si>
    <t>配偶保障最高年度</t>
    <phoneticPr fontId="3" type="noConversion"/>
  </si>
  <si>
    <t>子女保障最高年度</t>
    <phoneticPr fontId="3" type="noConversion"/>
  </si>
  <si>
    <t>TM</t>
    <phoneticPr fontId="3" type="noConversion"/>
  </si>
  <si>
    <t>8年期</t>
  </si>
  <si>
    <t>30年期</t>
  </si>
  <si>
    <t>NULL</t>
    <phoneticPr fontId="3" type="noConversion"/>
  </si>
  <si>
    <t>P1</t>
    <phoneticPr fontId="3" type="noConversion"/>
  </si>
  <si>
    <t>P2</t>
    <phoneticPr fontId="3" type="noConversion"/>
  </si>
  <si>
    <t>PPL.000.001</t>
    <phoneticPr fontId="3" type="noConversion"/>
  </si>
  <si>
    <t>附約不需設定***
多筆以|符號分隔，例如：1|2|3</t>
    <phoneticPr fontId="3" type="noConversion"/>
  </si>
  <si>
    <t>AmtPlan</t>
  </si>
  <si>
    <t>DispAmtPlan</t>
  </si>
  <si>
    <t>HI</t>
    <phoneticPr fontId="3" type="noConversion"/>
  </si>
  <si>
    <t>A3</t>
    <phoneticPr fontId="3" type="noConversion"/>
  </si>
  <si>
    <t>C</t>
    <phoneticPr fontId="3" type="noConversion"/>
  </si>
  <si>
    <t>C</t>
    <phoneticPr fontId="3" type="noConversion"/>
  </si>
  <si>
    <t>HI</t>
    <phoneticPr fontId="3" type="noConversion"/>
  </si>
  <si>
    <t>*</t>
    <phoneticPr fontId="3" type="noConversion"/>
  </si>
  <si>
    <t>1年期</t>
    <phoneticPr fontId="3" type="noConversion"/>
  </si>
  <si>
    <t>Y</t>
    <phoneticPr fontId="3" type="noConversion"/>
  </si>
  <si>
    <t>N</t>
    <phoneticPr fontId="3" type="noConversion"/>
  </si>
  <si>
    <t>HS</t>
    <phoneticPr fontId="3" type="noConversion"/>
  </si>
  <si>
    <t>系統畫面日期</t>
    <phoneticPr fontId="3" type="noConversion"/>
  </si>
  <si>
    <t>(1).生日一律使用民國年
(2).其他日期一律使用西元年</t>
    <phoneticPr fontId="3" type="noConversion"/>
  </si>
  <si>
    <t>WB</t>
    <phoneticPr fontId="3" type="noConversion"/>
  </si>
  <si>
    <t>WD</t>
    <phoneticPr fontId="3" type="noConversion"/>
  </si>
  <si>
    <t>5年期</t>
  </si>
  <si>
    <t>7年期</t>
  </si>
  <si>
    <t>9年期</t>
  </si>
  <si>
    <t>11年期</t>
  </si>
  <si>
    <t>12年期</t>
  </si>
  <si>
    <t>13年期</t>
  </si>
  <si>
    <t>14年期</t>
  </si>
  <si>
    <t>15年期</t>
  </si>
  <si>
    <t>16年期</t>
  </si>
  <si>
    <t>17年期</t>
  </si>
  <si>
    <t>18年期</t>
  </si>
  <si>
    <t>19年期</t>
  </si>
  <si>
    <t>21年期</t>
  </si>
  <si>
    <t>22年期</t>
  </si>
  <si>
    <t>23年期</t>
  </si>
  <si>
    <t>24年期</t>
  </si>
  <si>
    <t>25年期</t>
  </si>
  <si>
    <t>26年期</t>
  </si>
  <si>
    <t>27年期</t>
  </si>
  <si>
    <t>28年期</t>
  </si>
  <si>
    <t>29年期</t>
  </si>
  <si>
    <t>Y</t>
    <phoneticPr fontId="3" type="noConversion"/>
  </si>
  <si>
    <t>IsPayByAge</t>
    <phoneticPr fontId="3" type="noConversion"/>
  </si>
  <si>
    <t>IsCovByAge</t>
    <phoneticPr fontId="3" type="noConversion"/>
  </si>
  <si>
    <t>是否保障依年齡</t>
    <phoneticPr fontId="3" type="noConversion"/>
  </si>
  <si>
    <t>是否繳費依年齡</t>
    <phoneticPr fontId="3" type="noConversion"/>
  </si>
  <si>
    <t>IsCovByAge=Y，計算最高年度=保障最高年度-保險年齡+1***
IsCovByAge=N，計算最高年度=保障最高年度</t>
    <phoneticPr fontId="3" type="noConversion"/>
  </si>
  <si>
    <t>JobGrade7Amt</t>
    <phoneticPr fontId="3" type="noConversion"/>
  </si>
  <si>
    <t>投保最低職業等級</t>
    <phoneticPr fontId="3" type="noConversion"/>
  </si>
  <si>
    <t>投保最高職業等級</t>
    <phoneticPr fontId="3" type="noConversion"/>
  </si>
  <si>
    <t>險種銷售開始時間***
格式YYYYMMDD</t>
    <phoneticPr fontId="3" type="noConversion"/>
  </si>
  <si>
    <t>險種銷售結束時間***
格式YYYYMMDD</t>
    <phoneticPr fontId="3" type="noConversion"/>
  </si>
  <si>
    <t>PlanCode</t>
    <phoneticPr fontId="3" type="noConversion"/>
  </si>
  <si>
    <t>險種代碼</t>
    <phoneticPr fontId="3" type="noConversion"/>
  </si>
  <si>
    <t>FM</t>
    <phoneticPr fontId="3" type="noConversion"/>
  </si>
  <si>
    <t>WB</t>
    <phoneticPr fontId="3" type="noConversion"/>
  </si>
  <si>
    <t>Col0</t>
    <phoneticPr fontId="3" type="noConversion"/>
  </si>
  <si>
    <t>Col1</t>
    <phoneticPr fontId="3" type="noConversion"/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</si>
  <si>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</si>
  <si>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</si>
  <si>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</si>
  <si>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</si>
  <si>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</si>
  <si>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</si>
  <si>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</si>
  <si>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</si>
  <si>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</si>
  <si>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</si>
  <si>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</si>
  <si>
    <t>Col13</t>
  </si>
  <si>
    <t>Col14</t>
  </si>
  <si>
    <t>Col15</t>
  </si>
  <si>
    <t>Col16</t>
  </si>
  <si>
    <t>Col17</t>
  </si>
  <si>
    <t>Col18</t>
  </si>
  <si>
    <t>Col19</t>
  </si>
  <si>
    <t>Col20</t>
  </si>
  <si>
    <t>Col21</t>
  </si>
  <si>
    <t>Col22</t>
  </si>
  <si>
    <t>Col23</t>
  </si>
  <si>
    <t>Col24</t>
  </si>
  <si>
    <t>Col25</t>
  </si>
  <si>
    <t>Col26</t>
  </si>
  <si>
    <t>Col27</t>
  </si>
  <si>
    <t>Col28</t>
  </si>
  <si>
    <t>Col29</t>
  </si>
  <si>
    <t>Col30</t>
  </si>
  <si>
    <t>Col31</t>
  </si>
  <si>
    <t>Col32</t>
  </si>
  <si>
    <t>Col33</t>
  </si>
  <si>
    <t>Col34</t>
  </si>
  <si>
    <t>Col35</t>
  </si>
  <si>
    <t>Col36</t>
  </si>
  <si>
    <t>Col37</t>
  </si>
  <si>
    <t>Col38</t>
  </si>
  <si>
    <t>Col39</t>
  </si>
  <si>
    <t>Col40</t>
  </si>
  <si>
    <t>Col41</t>
  </si>
  <si>
    <t>Col42</t>
  </si>
  <si>
    <t>Col43</t>
  </si>
  <si>
    <t>Col44</t>
  </si>
  <si>
    <t>Col45</t>
  </si>
  <si>
    <t>Col46</t>
  </si>
  <si>
    <t>Col47</t>
  </si>
  <si>
    <t>Col48</t>
  </si>
  <si>
    <t>Col49</t>
  </si>
  <si>
    <t>Col50</t>
  </si>
  <si>
    <t>Col51</t>
  </si>
  <si>
    <t>Col52</t>
  </si>
  <si>
    <t>Col53</t>
  </si>
  <si>
    <t>Col54</t>
  </si>
  <si>
    <t>Col55</t>
  </si>
  <si>
    <t>Col56</t>
  </si>
  <si>
    <t>Col57</t>
  </si>
  <si>
    <t>Col58</t>
  </si>
  <si>
    <t>Col59</t>
  </si>
  <si>
    <t>Col60</t>
  </si>
  <si>
    <t>Col61</t>
  </si>
  <si>
    <t>Col62</t>
  </si>
  <si>
    <t>Col63</t>
  </si>
  <si>
    <t>Col64</t>
  </si>
  <si>
    <t>Col65</t>
  </si>
  <si>
    <t>Col66</t>
  </si>
  <si>
    <t>Col67</t>
  </si>
  <si>
    <t>Col68</t>
  </si>
  <si>
    <t>Col69</t>
  </si>
  <si>
    <t>Col70</t>
  </si>
  <si>
    <t>Col71</t>
  </si>
  <si>
    <t>Col72</t>
  </si>
  <si>
    <t>Col73</t>
  </si>
  <si>
    <t>Col74</t>
  </si>
  <si>
    <t>Col75</t>
  </si>
  <si>
    <t>Col76</t>
  </si>
  <si>
    <t>Col77</t>
  </si>
  <si>
    <t>Col78</t>
  </si>
  <si>
    <t>Col79</t>
  </si>
  <si>
    <t>Col80</t>
  </si>
  <si>
    <t>Col81</t>
  </si>
  <si>
    <t>Col82</t>
  </si>
  <si>
    <t>Col83</t>
  </si>
  <si>
    <t>Col84</t>
  </si>
  <si>
    <t>Col85</t>
  </si>
  <si>
    <t>Col86</t>
  </si>
  <si>
    <t>Col87</t>
  </si>
  <si>
    <t>Col88</t>
  </si>
  <si>
    <t>Col89</t>
  </si>
  <si>
    <t>Col90</t>
  </si>
  <si>
    <t>Col91</t>
  </si>
  <si>
    <t>Col92</t>
  </si>
  <si>
    <t>Col93</t>
  </si>
  <si>
    <t>Col94</t>
  </si>
  <si>
    <t>Col95</t>
  </si>
  <si>
    <t>Col96</t>
  </si>
  <si>
    <t>Col97</t>
  </si>
  <si>
    <t>Col98</t>
  </si>
  <si>
    <t>Col99</t>
  </si>
  <si>
    <t>Col100</t>
  </si>
  <si>
    <t>Col101</t>
  </si>
  <si>
    <t>Col102</t>
  </si>
  <si>
    <t>Col103</t>
  </si>
  <si>
    <t>Col104</t>
  </si>
  <si>
    <t>Col105</t>
  </si>
  <si>
    <t>Col106</t>
  </si>
  <si>
    <t>Col107</t>
  </si>
  <si>
    <t>Col108</t>
  </si>
  <si>
    <t>Col109</t>
  </si>
  <si>
    <t>Col110</t>
  </si>
  <si>
    <t>Col111</t>
  </si>
  <si>
    <t>Col112</t>
  </si>
  <si>
    <t>Col113</t>
  </si>
  <si>
    <t>Col114</t>
  </si>
  <si>
    <t>Col115</t>
  </si>
  <si>
    <t>IsEdit</t>
  </si>
  <si>
    <t>ColName</t>
  </si>
  <si>
    <t>ColName</t>
    <phoneticPr fontId="3" type="noConversion"/>
  </si>
  <si>
    <t>ColAttr</t>
  </si>
  <si>
    <t>ColAttr</t>
    <phoneticPr fontId="3" type="noConversion"/>
  </si>
  <si>
    <t>ColDescription</t>
  </si>
  <si>
    <t>ColDescription</t>
    <phoneticPr fontId="3" type="noConversion"/>
  </si>
  <si>
    <t>壽險保額限制檔(年齡)</t>
    <phoneticPr fontId="3" type="noConversion"/>
  </si>
  <si>
    <t>壽險折扣檔(高保額)</t>
    <phoneticPr fontId="3" type="noConversion"/>
  </si>
  <si>
    <t>壽險折扣檔(高保費)</t>
    <phoneticPr fontId="3" type="noConversion"/>
  </si>
  <si>
    <t>壽險折扣檔(繳費方式)</t>
    <phoneticPr fontId="3" type="noConversion"/>
  </si>
  <si>
    <t>通路套裝險種年期檔</t>
    <phoneticPr fontId="3" type="noConversion"/>
  </si>
  <si>
    <t>通路套裝保額限制檔(年齡)</t>
    <phoneticPr fontId="3" type="noConversion"/>
  </si>
  <si>
    <t>通路套裝險種主檔</t>
    <phoneticPr fontId="3" type="noConversion"/>
  </si>
  <si>
    <t>AIRate</t>
    <phoneticPr fontId="3" type="noConversion"/>
  </si>
  <si>
    <t>階段二</t>
    <phoneticPr fontId="3" type="noConversion"/>
  </si>
  <si>
    <t>預定利率</t>
    <phoneticPr fontId="3" type="noConversion"/>
  </si>
  <si>
    <t>第三階段增值回饋金領取方式</t>
    <phoneticPr fontId="3" type="noConversion"/>
  </si>
  <si>
    <t>ThdAddedBonusType</t>
    <phoneticPr fontId="3" type="noConversion"/>
  </si>
  <si>
    <t>ThdAddedBonusType</t>
    <phoneticPr fontId="3" type="noConversion"/>
  </si>
  <si>
    <t>ProposalId</t>
    <phoneticPr fontId="3" type="noConversion"/>
  </si>
  <si>
    <t>建議書Id</t>
    <phoneticPr fontId="3" type="noConversion"/>
  </si>
  <si>
    <t>bigint</t>
    <phoneticPr fontId="3" type="noConversion"/>
  </si>
  <si>
    <t>JobCode</t>
    <phoneticPr fontId="3" type="noConversion"/>
  </si>
  <si>
    <t>UserProposalPrem</t>
    <phoneticPr fontId="3" type="noConversion"/>
  </si>
  <si>
    <t>使用者建議書保費資料檔</t>
    <phoneticPr fontId="3" type="noConversion"/>
  </si>
  <si>
    <t>原始保費</t>
    <phoneticPr fontId="3" type="noConversion"/>
  </si>
  <si>
    <t>高保額折扣後保費</t>
    <phoneticPr fontId="3" type="noConversion"/>
  </si>
  <si>
    <t>首期折扣後保費</t>
    <phoneticPr fontId="3" type="noConversion"/>
  </si>
  <si>
    <t>續期折扣後保費</t>
    <phoneticPr fontId="3" type="noConversion"/>
  </si>
  <si>
    <t>BNK</t>
    <phoneticPr fontId="3" type="noConversion"/>
  </si>
  <si>
    <t>*</t>
    <phoneticPr fontId="3" type="noConversion"/>
  </si>
  <si>
    <t>CITI</t>
    <phoneticPr fontId="3" type="noConversion"/>
  </si>
  <si>
    <t>DispPlanCode</t>
    <phoneticPr fontId="3" type="noConversion"/>
  </si>
  <si>
    <t>DispPlanName</t>
    <phoneticPr fontId="3" type="noConversion"/>
  </si>
  <si>
    <t>顯示險種名稱</t>
    <phoneticPr fontId="3" type="noConversion"/>
  </si>
  <si>
    <t>Alvin</t>
    <phoneticPr fontId="3" type="noConversion"/>
  </si>
  <si>
    <t>00</t>
  </si>
  <si>
    <t>0001</t>
  </si>
  <si>
    <t/>
  </si>
  <si>
    <t>01</t>
  </si>
  <si>
    <t>農牧業</t>
  </si>
  <si>
    <t>0101</t>
  </si>
  <si>
    <t>農業</t>
  </si>
  <si>
    <t>01010040</t>
  </si>
  <si>
    <t>果農</t>
  </si>
  <si>
    <t>01010050</t>
  </si>
  <si>
    <t>苗圃栽培人員</t>
  </si>
  <si>
    <t>01010060</t>
  </si>
  <si>
    <t>花圃栽培人員</t>
  </si>
  <si>
    <t>01010070</t>
  </si>
  <si>
    <t>飼養家禽家畜人員</t>
  </si>
  <si>
    <t>01010080</t>
  </si>
  <si>
    <t>農業技師、指導員</t>
  </si>
  <si>
    <t>01010090</t>
  </si>
  <si>
    <t>農業機械之操作或修護人員</t>
  </si>
  <si>
    <t>01010100</t>
  </si>
  <si>
    <t>農具商</t>
  </si>
  <si>
    <t>01010110</t>
  </si>
  <si>
    <t>01010111</t>
  </si>
  <si>
    <t>01010120</t>
  </si>
  <si>
    <t>茶農</t>
  </si>
  <si>
    <t>01010130</t>
  </si>
  <si>
    <t>檳榔種植、採檳榔</t>
  </si>
  <si>
    <t>01010140</t>
  </si>
  <si>
    <t>農會指導員、推廣員</t>
  </si>
  <si>
    <t>01010150</t>
  </si>
  <si>
    <t>養鴿、放鴿人員</t>
  </si>
  <si>
    <t>01010160</t>
  </si>
  <si>
    <t>01010170</t>
  </si>
  <si>
    <t>01010180</t>
  </si>
  <si>
    <t>病蟲害防治人員</t>
  </si>
  <si>
    <t>01020010</t>
  </si>
  <si>
    <t>0102</t>
  </si>
  <si>
    <t>牧業</t>
  </si>
  <si>
    <t>01020020</t>
  </si>
  <si>
    <t>01020040</t>
  </si>
  <si>
    <t>01020050</t>
  </si>
  <si>
    <t>訓犬人員</t>
  </si>
  <si>
    <t>01020060</t>
  </si>
  <si>
    <t>動物養殖人員</t>
  </si>
  <si>
    <t>01020080</t>
  </si>
  <si>
    <t>屠宰場工人</t>
  </si>
  <si>
    <t>02010010</t>
  </si>
  <si>
    <t>02</t>
  </si>
  <si>
    <t>漁業</t>
  </si>
  <si>
    <t>0201</t>
  </si>
  <si>
    <t>內陸漁業</t>
  </si>
  <si>
    <t>02010011</t>
  </si>
  <si>
    <t>02010020</t>
  </si>
  <si>
    <t>02010021</t>
  </si>
  <si>
    <t>02010030</t>
  </si>
  <si>
    <t>水族館經營者</t>
  </si>
  <si>
    <t>02010040</t>
  </si>
  <si>
    <t>02010041</t>
  </si>
  <si>
    <t>02010050</t>
  </si>
  <si>
    <t>02010051</t>
  </si>
  <si>
    <t>02010060</t>
  </si>
  <si>
    <t>海邊撈魚苗者</t>
  </si>
  <si>
    <t>02010070</t>
  </si>
  <si>
    <t>漁產加工業實驗人員</t>
  </si>
  <si>
    <t>02010071</t>
  </si>
  <si>
    <t>漁產加工業品管員</t>
  </si>
  <si>
    <t>02010080</t>
  </si>
  <si>
    <t>釣魚、釣蝦場經營者、工作人員</t>
  </si>
  <si>
    <t>02010090</t>
  </si>
  <si>
    <t>漁產加工業領班、一般工人</t>
  </si>
  <si>
    <t>02020010</t>
  </si>
  <si>
    <t>遠洋漁船船員</t>
  </si>
  <si>
    <t>0202</t>
  </si>
  <si>
    <t>海上漁業</t>
  </si>
  <si>
    <t>02020020</t>
  </si>
  <si>
    <t>近海漁船船員</t>
  </si>
  <si>
    <t>02020030</t>
  </si>
  <si>
    <t>海釣船人員</t>
  </si>
  <si>
    <t>03010010</t>
  </si>
  <si>
    <t>領班</t>
  </si>
  <si>
    <t>03</t>
  </si>
  <si>
    <t>木材森林業</t>
  </si>
  <si>
    <t>0301</t>
  </si>
  <si>
    <t>森林砍伐業</t>
  </si>
  <si>
    <t>03010020</t>
  </si>
  <si>
    <t>監工</t>
  </si>
  <si>
    <t>03010030</t>
  </si>
  <si>
    <t>伐木工人</t>
  </si>
  <si>
    <t>03010040</t>
  </si>
  <si>
    <t>鋸木工人</t>
  </si>
  <si>
    <t>03010050</t>
  </si>
  <si>
    <t>運材車輛之司機及押運人員</t>
  </si>
  <si>
    <t>03010060</t>
  </si>
  <si>
    <t>起重機之操作人員</t>
  </si>
  <si>
    <t>03010070</t>
  </si>
  <si>
    <t>裝運工人</t>
  </si>
  <si>
    <t>03020010</t>
  </si>
  <si>
    <t>木材工廠現場之職員</t>
  </si>
  <si>
    <t>0302</t>
  </si>
  <si>
    <t>木材加工業</t>
  </si>
  <si>
    <t>03020020</t>
  </si>
  <si>
    <t>03020030</t>
  </si>
  <si>
    <t>分級員</t>
  </si>
  <si>
    <t>03020040</t>
  </si>
  <si>
    <t>檢查員</t>
  </si>
  <si>
    <t>03020050</t>
  </si>
  <si>
    <t>標記員</t>
  </si>
  <si>
    <t>03020060</t>
  </si>
  <si>
    <t>磅秤員</t>
  </si>
  <si>
    <t>03020070</t>
  </si>
  <si>
    <t>03020080</t>
  </si>
  <si>
    <t>防腐劑工人</t>
  </si>
  <si>
    <t>03020090</t>
  </si>
  <si>
    <t>木材儲藏槽工人</t>
  </si>
  <si>
    <t>03020100</t>
  </si>
  <si>
    <t>木材搬運工人</t>
  </si>
  <si>
    <t>03020110</t>
  </si>
  <si>
    <t>吊車操作人員</t>
  </si>
  <si>
    <t>03020120</t>
  </si>
  <si>
    <t>合板製造工人</t>
  </si>
  <si>
    <t>03020130</t>
  </si>
  <si>
    <t>木材工廠負責人</t>
  </si>
  <si>
    <t>03020140</t>
  </si>
  <si>
    <t>木材工廠品管員</t>
  </si>
  <si>
    <t>03030010</t>
  </si>
  <si>
    <t>0303</t>
  </si>
  <si>
    <t>造林業</t>
  </si>
  <si>
    <t>03030020</t>
  </si>
  <si>
    <t>山地造林工人</t>
  </si>
  <si>
    <t>03030030</t>
  </si>
  <si>
    <t>山林管理人員</t>
  </si>
  <si>
    <t>03030040</t>
  </si>
  <si>
    <t>森林防火人員</t>
  </si>
  <si>
    <t>03030050</t>
  </si>
  <si>
    <t>平地育苗工人</t>
  </si>
  <si>
    <t>03030060</t>
  </si>
  <si>
    <t>實驗室育苗栽培人員</t>
  </si>
  <si>
    <t>03030070</t>
  </si>
  <si>
    <t>救難人員</t>
  </si>
  <si>
    <t>03030080</t>
  </si>
  <si>
    <t>導覽解說員</t>
  </si>
  <si>
    <t>04010010</t>
  </si>
  <si>
    <t>礦工</t>
  </si>
  <si>
    <t>04</t>
  </si>
  <si>
    <t>礦業採石業</t>
  </si>
  <si>
    <t>0401</t>
  </si>
  <si>
    <t>坑道內作業</t>
  </si>
  <si>
    <t>04020010</t>
  </si>
  <si>
    <t>1</t>
  </si>
  <si>
    <t>0402</t>
  </si>
  <si>
    <t>坑外作業</t>
  </si>
  <si>
    <t>04020020</t>
  </si>
  <si>
    <t>04020030</t>
  </si>
  <si>
    <t>經理人員、行政人員</t>
  </si>
  <si>
    <t>04020040</t>
  </si>
  <si>
    <t>4</t>
  </si>
  <si>
    <t>礦業工程師、技師、領班</t>
  </si>
  <si>
    <t>04020050</t>
  </si>
  <si>
    <t>5</t>
  </si>
  <si>
    <t>工人</t>
  </si>
  <si>
    <t>04020060</t>
  </si>
  <si>
    <t>工礦安全人員</t>
  </si>
  <si>
    <t>04030010</t>
  </si>
  <si>
    <t>6</t>
  </si>
  <si>
    <t>所有作業人員(潛水人員拒保)</t>
  </si>
  <si>
    <t>0403</t>
  </si>
  <si>
    <t>海上作業</t>
  </si>
  <si>
    <t>04040010</t>
  </si>
  <si>
    <t>採石業工人(河床)</t>
  </si>
  <si>
    <t>0404</t>
  </si>
  <si>
    <t>採砂石業</t>
  </si>
  <si>
    <t>04040011</t>
  </si>
  <si>
    <t>採石業工人(山地)</t>
  </si>
  <si>
    <t>04040020</t>
  </si>
  <si>
    <t>採砂業工人</t>
  </si>
  <si>
    <t>04040030</t>
  </si>
  <si>
    <t>砂石場負責人</t>
  </si>
  <si>
    <t>04040040</t>
  </si>
  <si>
    <t>採石爆破人員</t>
  </si>
  <si>
    <t>04040050</t>
  </si>
  <si>
    <t>石材切割工人(大理石、花崗石)</t>
  </si>
  <si>
    <t>04040060</t>
  </si>
  <si>
    <t>石材磨光工人(大理石、花崗石)</t>
  </si>
  <si>
    <t>04040070</t>
  </si>
  <si>
    <t>採石輸送帶機器操作人員</t>
  </si>
  <si>
    <t>04050010</t>
  </si>
  <si>
    <t>行政人員</t>
  </si>
  <si>
    <t>0405</t>
  </si>
  <si>
    <t>陸上油礦開採業</t>
  </si>
  <si>
    <t>04050020</t>
  </si>
  <si>
    <t>3</t>
  </si>
  <si>
    <t>04050030</t>
  </si>
  <si>
    <t>技術員</t>
  </si>
  <si>
    <t>04050040</t>
  </si>
  <si>
    <t>油氣井清潔保養修護工</t>
  </si>
  <si>
    <t>04050050</t>
  </si>
  <si>
    <t>鑽勘設備安裝換修保養工</t>
  </si>
  <si>
    <t>04050060</t>
  </si>
  <si>
    <t>鑽油井工人</t>
  </si>
  <si>
    <t>04050070</t>
  </si>
  <si>
    <t>儲油槽清潔工</t>
  </si>
  <si>
    <t>04060010</t>
  </si>
  <si>
    <t>工程師</t>
  </si>
  <si>
    <t>0406</t>
  </si>
  <si>
    <t>海上油礦開採業</t>
  </si>
  <si>
    <t>04060020</t>
  </si>
  <si>
    <t>04060030</t>
  </si>
  <si>
    <t>04060040</t>
  </si>
  <si>
    <t>04060050</t>
  </si>
  <si>
    <t>05010010</t>
  </si>
  <si>
    <t>05</t>
  </si>
  <si>
    <t>交通運輸業</t>
  </si>
  <si>
    <t>0501</t>
  </si>
  <si>
    <t>陸運</t>
  </si>
  <si>
    <t>05010020</t>
  </si>
  <si>
    <t>外務員</t>
  </si>
  <si>
    <t>05010030</t>
  </si>
  <si>
    <t>內勤工作人員</t>
  </si>
  <si>
    <t>05010040</t>
  </si>
  <si>
    <t>自用小客車司機</t>
  </si>
  <si>
    <t>05010050</t>
  </si>
  <si>
    <t>自用大客車司機</t>
  </si>
  <si>
    <t>05010060</t>
  </si>
  <si>
    <t>計程車司機</t>
  </si>
  <si>
    <t>05010070</t>
  </si>
  <si>
    <t>遊覽車司機及服務員</t>
  </si>
  <si>
    <t>05010080</t>
  </si>
  <si>
    <t>客運車司機及服務員</t>
  </si>
  <si>
    <t>05010090</t>
  </si>
  <si>
    <t>小型客貨兩用車司機</t>
  </si>
  <si>
    <t>05010100</t>
  </si>
  <si>
    <t>自用貨車司機、隨車工人、小型自用貨車司機</t>
  </si>
  <si>
    <t>05010110</t>
  </si>
  <si>
    <t>人力三輪車伕</t>
  </si>
  <si>
    <t>05010120</t>
  </si>
  <si>
    <t>鐵牛車駕駛人員</t>
  </si>
  <si>
    <t>05010130</t>
  </si>
  <si>
    <t>機動三輪車伕</t>
  </si>
  <si>
    <t>05010140</t>
  </si>
  <si>
    <t>櫃臺售票員</t>
  </si>
  <si>
    <t>05010150</t>
  </si>
  <si>
    <t>客運車稽核人員</t>
  </si>
  <si>
    <t>05010160</t>
  </si>
  <si>
    <t>營業用貨車司機</t>
  </si>
  <si>
    <t>05010170</t>
  </si>
  <si>
    <t>營業用貨車隨車工人</t>
  </si>
  <si>
    <t>05010180</t>
  </si>
  <si>
    <t>搬運、搬家工人司機、隨車工人</t>
  </si>
  <si>
    <t>05010190</t>
  </si>
  <si>
    <t>砂石車司機、隨車工人</t>
  </si>
  <si>
    <t>05010200</t>
  </si>
  <si>
    <t>工程卡車司機、隨車工人</t>
  </si>
  <si>
    <t>05010210</t>
  </si>
  <si>
    <t>液化、氣化、油罐車司機、隨車工人</t>
  </si>
  <si>
    <t>05010220</t>
  </si>
  <si>
    <t>貨櫃車司機、隨車工人</t>
  </si>
  <si>
    <t>05010230</t>
  </si>
  <si>
    <t>纜車操縱員</t>
  </si>
  <si>
    <t>05010240</t>
  </si>
  <si>
    <t>垃圾車(司機及隨車人員)</t>
  </si>
  <si>
    <t>05010250</t>
  </si>
  <si>
    <t>靈車司機</t>
  </si>
  <si>
    <t>05010260</t>
  </si>
  <si>
    <t>05010261</t>
  </si>
  <si>
    <t>快遞送貨(機車)</t>
  </si>
  <si>
    <t>05010270</t>
  </si>
  <si>
    <t>05010271</t>
  </si>
  <si>
    <t>05010280</t>
  </si>
  <si>
    <t>05010290</t>
  </si>
  <si>
    <t>貨櫃場管理員</t>
  </si>
  <si>
    <t>05010300</t>
  </si>
  <si>
    <t>娃娃車司機</t>
  </si>
  <si>
    <t>05010310</t>
  </si>
  <si>
    <t>救護車司機</t>
  </si>
  <si>
    <t>05010320</t>
  </si>
  <si>
    <t>消防車司機</t>
  </si>
  <si>
    <t>05010330</t>
  </si>
  <si>
    <t>貨櫃場吊車駕駛</t>
  </si>
  <si>
    <t>05010340</t>
  </si>
  <si>
    <t>拖板車司機、隨車人員</t>
  </si>
  <si>
    <t>05010350</t>
  </si>
  <si>
    <t>混凝土預拌車司機、隨車工人</t>
  </si>
  <si>
    <t>05010360</t>
  </si>
  <si>
    <t>拼裝車司機</t>
  </si>
  <si>
    <t>05010370</t>
  </si>
  <si>
    <t>聯結車司機、隨車工人</t>
  </si>
  <si>
    <t>05010380</t>
  </si>
  <si>
    <t>吊車司機、隨車工人</t>
  </si>
  <si>
    <t>05010390</t>
  </si>
  <si>
    <t>曳引車司機、隨車工人</t>
  </si>
  <si>
    <t>05010400</t>
  </si>
  <si>
    <t>教練車教練</t>
  </si>
  <si>
    <t>05010410</t>
  </si>
  <si>
    <t>送外賣機車駕駛</t>
  </si>
  <si>
    <t>05010430</t>
  </si>
  <si>
    <t>環保資源回收車司機、隨車人員</t>
  </si>
  <si>
    <t>05010440</t>
  </si>
  <si>
    <t>道路工程車司機、機械操作員</t>
  </si>
  <si>
    <t>05010450</t>
  </si>
  <si>
    <t>挖土機(怪手)操作員</t>
  </si>
  <si>
    <t>05010460</t>
  </si>
  <si>
    <t>鏟土機駕駛</t>
  </si>
  <si>
    <t>05020010</t>
  </si>
  <si>
    <t>站長</t>
  </si>
  <si>
    <t>0502</t>
  </si>
  <si>
    <t>鐵路、捷運、高鐵</t>
  </si>
  <si>
    <t>05020020</t>
  </si>
  <si>
    <t>票房工作人員</t>
  </si>
  <si>
    <t>05020030</t>
  </si>
  <si>
    <t>播音員</t>
  </si>
  <si>
    <t>05020040</t>
  </si>
  <si>
    <t>一般內勤人員</t>
  </si>
  <si>
    <t>05020050</t>
  </si>
  <si>
    <t>車站剪票員</t>
  </si>
  <si>
    <t>05020060</t>
  </si>
  <si>
    <t>服務臺人員</t>
  </si>
  <si>
    <t>05020070</t>
  </si>
  <si>
    <t>月臺工作人員</t>
  </si>
  <si>
    <t>05020080</t>
  </si>
  <si>
    <t>行李搬運工人</t>
  </si>
  <si>
    <t>05020090</t>
  </si>
  <si>
    <t>車站清潔人員</t>
  </si>
  <si>
    <t>05020100</t>
  </si>
  <si>
    <t>05020110</t>
  </si>
  <si>
    <t>駕駛員</t>
  </si>
  <si>
    <t>05020120</t>
  </si>
  <si>
    <t>燃料填充員</t>
  </si>
  <si>
    <t>05020130</t>
  </si>
  <si>
    <t>機工</t>
  </si>
  <si>
    <t>05020140</t>
  </si>
  <si>
    <t>電工</t>
  </si>
  <si>
    <t>05020150</t>
  </si>
  <si>
    <t>修護廠廠長</t>
  </si>
  <si>
    <t>05020160</t>
  </si>
  <si>
    <t>修護廠一般內勤人員</t>
  </si>
  <si>
    <t>05020170</t>
  </si>
  <si>
    <t>修護廠工程師</t>
  </si>
  <si>
    <t>05020180</t>
  </si>
  <si>
    <t>修護廠技工</t>
  </si>
  <si>
    <t>05020190</t>
  </si>
  <si>
    <t>修路工</t>
  </si>
  <si>
    <t>05020200</t>
  </si>
  <si>
    <t>維護工</t>
  </si>
  <si>
    <t>05020210</t>
  </si>
  <si>
    <t>平交道看守人員</t>
  </si>
  <si>
    <t>05020220</t>
  </si>
  <si>
    <t>貨運：領班</t>
  </si>
  <si>
    <t>05020230</t>
  </si>
  <si>
    <t>貨運：搬運工人</t>
  </si>
  <si>
    <t>05020240</t>
  </si>
  <si>
    <t>巡查人員</t>
  </si>
  <si>
    <t>05030010</t>
  </si>
  <si>
    <t>A-客貨輪：船長</t>
  </si>
  <si>
    <t>0503</t>
  </si>
  <si>
    <t>航運</t>
  </si>
  <si>
    <t>05030020</t>
  </si>
  <si>
    <t>A-客貨輪：輪機長</t>
  </si>
  <si>
    <t>05030030</t>
  </si>
  <si>
    <t>高級船員：大副</t>
  </si>
  <si>
    <t>05030040</t>
  </si>
  <si>
    <t>高級船員：二副</t>
  </si>
  <si>
    <t>05030050</t>
  </si>
  <si>
    <t>高級船員：三副</t>
  </si>
  <si>
    <t>05030060</t>
  </si>
  <si>
    <t>高級船員：大管輪</t>
  </si>
  <si>
    <t>05030070</t>
  </si>
  <si>
    <t>高級船員：二管輪</t>
  </si>
  <si>
    <t>05030080</t>
  </si>
  <si>
    <t>高級船員：三管輪</t>
  </si>
  <si>
    <t>05030090</t>
  </si>
  <si>
    <t>高級船員：報務員</t>
  </si>
  <si>
    <t>05030100</t>
  </si>
  <si>
    <t>高級船員：事務長</t>
  </si>
  <si>
    <t>05030110</t>
  </si>
  <si>
    <t>高級船員：醫務人員</t>
  </si>
  <si>
    <t>05030120</t>
  </si>
  <si>
    <t>一般船員：水手長</t>
  </si>
  <si>
    <t>05030130</t>
  </si>
  <si>
    <t>一般船員：水手</t>
  </si>
  <si>
    <t>05030140</t>
  </si>
  <si>
    <t>一般船員：銅匠</t>
  </si>
  <si>
    <t>05030150</t>
  </si>
  <si>
    <t>一般船員：木匠</t>
  </si>
  <si>
    <t>05030160</t>
  </si>
  <si>
    <t>一般船員：泵匠</t>
  </si>
  <si>
    <t>05030170</t>
  </si>
  <si>
    <t>一般船員：電機師</t>
  </si>
  <si>
    <t>05030180</t>
  </si>
  <si>
    <t>一般船員：廚師</t>
  </si>
  <si>
    <t>05030190</t>
  </si>
  <si>
    <t>一般船員：服務生</t>
  </si>
  <si>
    <t>05030200</t>
  </si>
  <si>
    <t>一般船員：實習生</t>
  </si>
  <si>
    <t>05030210</t>
  </si>
  <si>
    <t>B-遊覽船及小汽艇：遊覽船之駕駛及工作人員</t>
  </si>
  <si>
    <t>05030220</t>
  </si>
  <si>
    <t>B-遊覽船及小汽艇：小汽艇之駕駛及工作人員</t>
  </si>
  <si>
    <t>05030230</t>
  </si>
  <si>
    <t>C-港口作業：碼頭工人及領班</t>
  </si>
  <si>
    <t>05030240</t>
  </si>
  <si>
    <t>C-港口作業：推高機操作員</t>
  </si>
  <si>
    <t>05030250</t>
  </si>
  <si>
    <t>C-港口作業：倉庫管理人</t>
  </si>
  <si>
    <t>05030260</t>
  </si>
  <si>
    <t>C-港口作業：領航員</t>
  </si>
  <si>
    <t>05030270</t>
  </si>
  <si>
    <t>C-港口作業：引水人</t>
  </si>
  <si>
    <t>05030280</t>
  </si>
  <si>
    <t>C-港口作業：關務人員</t>
  </si>
  <si>
    <t>05030290</t>
  </si>
  <si>
    <t>C-港口作業：稽查人員</t>
  </si>
  <si>
    <t>05030300</t>
  </si>
  <si>
    <t>C-港口作業：緝私人員</t>
  </si>
  <si>
    <t>05030310</t>
  </si>
  <si>
    <t>D-拖船駕駛員及工作人員</t>
  </si>
  <si>
    <t>05030320</t>
  </si>
  <si>
    <t>渡輪駕駛員及工作人員</t>
  </si>
  <si>
    <t>05030330</t>
  </si>
  <si>
    <t>E-救難船員</t>
  </si>
  <si>
    <t>05030340</t>
  </si>
  <si>
    <t>港口疏濬</t>
  </si>
  <si>
    <t>05030350</t>
  </si>
  <si>
    <t>碼頭吊車操作人員</t>
  </si>
  <si>
    <t>05030360</t>
  </si>
  <si>
    <t>05040010</t>
  </si>
  <si>
    <t>A-航空站：站長</t>
  </si>
  <si>
    <t>0504</t>
  </si>
  <si>
    <t>空運</t>
  </si>
  <si>
    <t>05040020</t>
  </si>
  <si>
    <t>A-航空站：播音員</t>
  </si>
  <si>
    <t>05040030</t>
  </si>
  <si>
    <t>A-航空站：服務臺人員</t>
  </si>
  <si>
    <t>05040040</t>
  </si>
  <si>
    <t>A-航空站：一般內勤人員</t>
  </si>
  <si>
    <t>05040050</t>
  </si>
  <si>
    <t>A-航空站：塔臺工作人員</t>
  </si>
  <si>
    <t>05040060</t>
  </si>
  <si>
    <t>A-航空站：關務人員</t>
  </si>
  <si>
    <t>05040070</t>
  </si>
  <si>
    <t>A-航空站：檢查人員</t>
  </si>
  <si>
    <t>05040080</t>
  </si>
  <si>
    <t>A-航空站：運務人員</t>
  </si>
  <si>
    <t>05040090</t>
  </si>
  <si>
    <t>A-航空站：緝私人員</t>
  </si>
  <si>
    <t>05040100</t>
  </si>
  <si>
    <t>A-航空站：站內清潔人員</t>
  </si>
  <si>
    <t>05040110</t>
  </si>
  <si>
    <t>A-航空站：機場內交通車司機、空橋車駕駛</t>
  </si>
  <si>
    <t>05040120</t>
  </si>
  <si>
    <t>A-航空站：行李貨運搬運工人</t>
  </si>
  <si>
    <t>05040130</t>
  </si>
  <si>
    <t>A-航空站：加添燃料員</t>
  </si>
  <si>
    <t>05040140</t>
  </si>
  <si>
    <t>A-航空站：飛機洗刷人員</t>
  </si>
  <si>
    <t>05040150</t>
  </si>
  <si>
    <t>05040160</t>
  </si>
  <si>
    <t>A-航空站：跑道維護工</t>
  </si>
  <si>
    <t>05040170</t>
  </si>
  <si>
    <t>A-航空站：機械員</t>
  </si>
  <si>
    <t>05040180</t>
  </si>
  <si>
    <t>A-航空站：飛機修護人員</t>
  </si>
  <si>
    <t>05040181</t>
  </si>
  <si>
    <t>A-航空站：地面導航人員</t>
  </si>
  <si>
    <t>05040190</t>
  </si>
  <si>
    <t>B-航空公司：辦事處人員</t>
  </si>
  <si>
    <t>05040200</t>
  </si>
  <si>
    <t>B-航空公司：票務人員</t>
  </si>
  <si>
    <t>05040210</t>
  </si>
  <si>
    <t>B-航空公司：機場櫃臺人員</t>
  </si>
  <si>
    <t>05040220</t>
  </si>
  <si>
    <t>B-航空公司：清艙員</t>
  </si>
  <si>
    <t>05040221</t>
  </si>
  <si>
    <t>B-航空公司：櫃檯行李員</t>
  </si>
  <si>
    <t>05040230</t>
  </si>
  <si>
    <t>C-航空貨運：一般內勤人員</t>
  </si>
  <si>
    <t>05040240</t>
  </si>
  <si>
    <t>C-航空貨運：外務員</t>
  </si>
  <si>
    <t>05040250</t>
  </si>
  <si>
    <t>C-航空貨運：報關人員</t>
  </si>
  <si>
    <t>05040260</t>
  </si>
  <si>
    <t>C-航空貨運：理貨員</t>
  </si>
  <si>
    <t>05040270</t>
  </si>
  <si>
    <t>D-空勤人員：民航機飛行人員</t>
  </si>
  <si>
    <t>05040280</t>
  </si>
  <si>
    <t>D-空勤人員：機上服務員</t>
  </si>
  <si>
    <t>05040290</t>
  </si>
  <si>
    <t>D-空勤人員：直昇機飛行人員(含輕型航空器駕駛人員)</t>
  </si>
  <si>
    <t>05040291</t>
  </si>
  <si>
    <t>D-空勤人員：民航機培訓人員(航空公司飛行訓練學員)</t>
  </si>
  <si>
    <t>05040292</t>
  </si>
  <si>
    <t>D-空勤人員：民航機飛行空安官</t>
  </si>
  <si>
    <t>05040293</t>
  </si>
  <si>
    <t>D-空勤人員：民航機試飛員</t>
  </si>
  <si>
    <t>06010010</t>
  </si>
  <si>
    <t>06</t>
  </si>
  <si>
    <t>餐旅業</t>
  </si>
  <si>
    <t>0601</t>
  </si>
  <si>
    <t>旅遊業</t>
  </si>
  <si>
    <t>06010020</t>
  </si>
  <si>
    <t>06010030</t>
  </si>
  <si>
    <t>導遊、領隊</t>
  </si>
  <si>
    <t>06010040</t>
  </si>
  <si>
    <t>送機人員</t>
  </si>
  <si>
    <t>06010050</t>
  </si>
  <si>
    <t>機場接送人員、泊車人員</t>
  </si>
  <si>
    <t>06010060</t>
  </si>
  <si>
    <t>登山嚮導</t>
  </si>
  <si>
    <t>06010070</t>
  </si>
  <si>
    <t>國內泛舟安全人員</t>
  </si>
  <si>
    <t>06010080</t>
  </si>
  <si>
    <t>06020010</t>
  </si>
  <si>
    <t>負責人</t>
  </si>
  <si>
    <t>0602</t>
  </si>
  <si>
    <t>旅館業</t>
  </si>
  <si>
    <t>06020020</t>
  </si>
  <si>
    <t>06020030</t>
  </si>
  <si>
    <t>06020040</t>
  </si>
  <si>
    <t>收帳員</t>
  </si>
  <si>
    <t>06020050</t>
  </si>
  <si>
    <t>06020060</t>
  </si>
  <si>
    <t>搬運行李服務人員</t>
  </si>
  <si>
    <t>06020070</t>
  </si>
  <si>
    <t>客房服務人員</t>
  </si>
  <si>
    <t>06020080</t>
  </si>
  <si>
    <t>清潔工</t>
  </si>
  <si>
    <t>06020090</t>
  </si>
  <si>
    <t>洗衣人員</t>
  </si>
  <si>
    <t>06020100</t>
  </si>
  <si>
    <t>水電、機電工</t>
  </si>
  <si>
    <t>06020110</t>
  </si>
  <si>
    <t>飯店保全人員</t>
  </si>
  <si>
    <t>06020120</t>
  </si>
  <si>
    <t>泊車人員</t>
  </si>
  <si>
    <t>06030010</t>
  </si>
  <si>
    <t>經理人員</t>
  </si>
  <si>
    <t>0603</t>
  </si>
  <si>
    <t>餐飲業</t>
  </si>
  <si>
    <t>06030020</t>
  </si>
  <si>
    <t>一般內勤工作人員</t>
  </si>
  <si>
    <t>06030030</t>
  </si>
  <si>
    <t>櫃臺人員</t>
  </si>
  <si>
    <t>06030040</t>
  </si>
  <si>
    <t>06030050</t>
  </si>
  <si>
    <t>採購人員</t>
  </si>
  <si>
    <t>06030060</t>
  </si>
  <si>
    <t>廚師</t>
  </si>
  <si>
    <t>06030070</t>
  </si>
  <si>
    <t>服務人員</t>
  </si>
  <si>
    <t>06030080</t>
  </si>
  <si>
    <t>洗碗工</t>
  </si>
  <si>
    <t>06030090</t>
  </si>
  <si>
    <t>06030100</t>
  </si>
  <si>
    <t>調酒師</t>
  </si>
  <si>
    <t>06030110</t>
  </si>
  <si>
    <t>06030120</t>
  </si>
  <si>
    <t>06030130</t>
  </si>
  <si>
    <t>自助餐工作人員</t>
  </si>
  <si>
    <t>06030140</t>
  </si>
  <si>
    <t>領檯帶位人員</t>
  </si>
  <si>
    <t>06030150</t>
  </si>
  <si>
    <t>速食店工作人員</t>
  </si>
  <si>
    <t>06030160</t>
  </si>
  <si>
    <t>小吃店人員</t>
  </si>
  <si>
    <t>06030170</t>
  </si>
  <si>
    <t>外燴辦桌人員</t>
  </si>
  <si>
    <t>06030180</t>
  </si>
  <si>
    <t>咖啡店人員</t>
  </si>
  <si>
    <t>06030190</t>
  </si>
  <si>
    <t>泡沫茶店人員</t>
  </si>
  <si>
    <t>06030200</t>
  </si>
  <si>
    <t>行動咖啡車工作人員</t>
  </si>
  <si>
    <t>06030210</t>
  </si>
  <si>
    <t>飲食攤販</t>
  </si>
  <si>
    <t>07010010</t>
  </si>
  <si>
    <t>建築師</t>
  </si>
  <si>
    <t>07</t>
  </si>
  <si>
    <t>建築工程業</t>
  </si>
  <si>
    <t>0701</t>
  </si>
  <si>
    <t>建築公司、土木工程</t>
  </si>
  <si>
    <t>07010020</t>
  </si>
  <si>
    <t>製圖員</t>
  </si>
  <si>
    <t>07010030</t>
  </si>
  <si>
    <t>07010040</t>
  </si>
  <si>
    <t>測量員</t>
  </si>
  <si>
    <t>07010050</t>
  </si>
  <si>
    <t>07010060</t>
  </si>
  <si>
    <t>07010070</t>
  </si>
  <si>
    <t>業務員</t>
  </si>
  <si>
    <t>07010080</t>
  </si>
  <si>
    <t>引導參觀工地之服務人員</t>
  </si>
  <si>
    <t>07010090</t>
  </si>
  <si>
    <t>07010100</t>
  </si>
  <si>
    <t>模板工</t>
  </si>
  <si>
    <t>07010110</t>
  </si>
  <si>
    <t>木匠</t>
  </si>
  <si>
    <t>07010120</t>
  </si>
  <si>
    <t>泥水匠</t>
  </si>
  <si>
    <t>07010140</t>
  </si>
  <si>
    <t>油漆工</t>
  </si>
  <si>
    <t>07010150</t>
  </si>
  <si>
    <t>水電工</t>
  </si>
  <si>
    <t>07010170</t>
  </si>
  <si>
    <t>鋼骨結構架設工人</t>
  </si>
  <si>
    <t>07010180</t>
  </si>
  <si>
    <t>鷹架架設工人</t>
  </si>
  <si>
    <t>07010190</t>
  </si>
  <si>
    <t>焊工</t>
  </si>
  <si>
    <t>07010200</t>
  </si>
  <si>
    <t>建築工程車輛駕駛員</t>
  </si>
  <si>
    <t>07010210</t>
  </si>
  <si>
    <t>建築工程車輛機械操作員</t>
  </si>
  <si>
    <t>07010220</t>
  </si>
  <si>
    <t>07010230</t>
  </si>
  <si>
    <t>磨石工人</t>
  </si>
  <si>
    <t>07010240</t>
  </si>
  <si>
    <t>洗石工人</t>
  </si>
  <si>
    <t>07010250</t>
  </si>
  <si>
    <t>石棉瓦或浪板安裝工人</t>
  </si>
  <si>
    <t>07010260</t>
  </si>
  <si>
    <t>鋁門窗裝修人員</t>
  </si>
  <si>
    <t>07010270</t>
  </si>
  <si>
    <t>排水工程人員</t>
  </si>
  <si>
    <t>07010280</t>
  </si>
  <si>
    <t>防水工程人員</t>
  </si>
  <si>
    <t>07010290</t>
  </si>
  <si>
    <t>防熱工程人員</t>
  </si>
  <si>
    <t>07010300</t>
  </si>
  <si>
    <t>營造廠負責人</t>
  </si>
  <si>
    <t>07010310</t>
  </si>
  <si>
    <t>挑磚工人</t>
  </si>
  <si>
    <t>07010320</t>
  </si>
  <si>
    <t>07010321</t>
  </si>
  <si>
    <t>07010330</t>
  </si>
  <si>
    <t>帆布鐵架架設</t>
  </si>
  <si>
    <t>07010340</t>
  </si>
  <si>
    <t>空調風管架設人員</t>
  </si>
  <si>
    <t>07010350</t>
  </si>
  <si>
    <t>拆屋、遷屋工人</t>
  </si>
  <si>
    <t>07010360</t>
  </si>
  <si>
    <t>輕鋼架架設人員</t>
  </si>
  <si>
    <t>07010370</t>
  </si>
  <si>
    <t>07010380</t>
  </si>
  <si>
    <t>07010390</t>
  </si>
  <si>
    <t>寺廟彩繪人員</t>
  </si>
  <si>
    <t>07010400</t>
  </si>
  <si>
    <t>大樓玻璃帷幕安裝</t>
  </si>
  <si>
    <t>07010410</t>
  </si>
  <si>
    <t>雜工、臨時工</t>
  </si>
  <si>
    <t>07010420</t>
  </si>
  <si>
    <t>綁鐵工、鐵工</t>
  </si>
  <si>
    <t>07010430</t>
  </si>
  <si>
    <t>建築機具維修工</t>
  </si>
  <si>
    <t>07010440</t>
  </si>
  <si>
    <t>工地清潔工</t>
  </si>
  <si>
    <t>07010450</t>
  </si>
  <si>
    <t>鐵塔架設人員</t>
  </si>
  <si>
    <t>07010460</t>
  </si>
  <si>
    <t>搭設舞台人員</t>
  </si>
  <si>
    <t>07010470</t>
  </si>
  <si>
    <t>圍牆鐵網搭建</t>
  </si>
  <si>
    <t>07010480</t>
  </si>
  <si>
    <t>擋土牆施工</t>
  </si>
  <si>
    <t>07010490</t>
  </si>
  <si>
    <t>園藝造景人員</t>
  </si>
  <si>
    <t>07020010</t>
  </si>
  <si>
    <t>0702</t>
  </si>
  <si>
    <t>道路鋪設</t>
  </si>
  <si>
    <t>07020020</t>
  </si>
  <si>
    <t>領班、監工</t>
  </si>
  <si>
    <t>07020030</t>
  </si>
  <si>
    <t>山地舖設工人</t>
  </si>
  <si>
    <t>07020031</t>
  </si>
  <si>
    <t>平地舖設工人</t>
  </si>
  <si>
    <t>07020040</t>
  </si>
  <si>
    <t>維護工人</t>
  </si>
  <si>
    <t>07020050</t>
  </si>
  <si>
    <t>電線架設及維護工人</t>
  </si>
  <si>
    <t>07020060</t>
  </si>
  <si>
    <t>管道舖設及維護工人</t>
  </si>
  <si>
    <t>07020070</t>
  </si>
  <si>
    <t>07020080</t>
  </si>
  <si>
    <t>交通號誌裝設及標線人員</t>
  </si>
  <si>
    <t>07020090</t>
  </si>
  <si>
    <t>07020100</t>
  </si>
  <si>
    <t>高速公路工程監工</t>
  </si>
  <si>
    <t>07030010</t>
  </si>
  <si>
    <t>0703</t>
  </si>
  <si>
    <t>造修船業</t>
  </si>
  <si>
    <t>07030020</t>
  </si>
  <si>
    <t>07030030</t>
  </si>
  <si>
    <t>07030040</t>
  </si>
  <si>
    <t>修護遊艇工人</t>
  </si>
  <si>
    <t>07030050</t>
  </si>
  <si>
    <t>船體切割人員(陸上)</t>
  </si>
  <si>
    <t>07030060</t>
  </si>
  <si>
    <t>船體切割人員(海上)</t>
  </si>
  <si>
    <t>07030070</t>
  </si>
  <si>
    <t>船舶驗收人員</t>
  </si>
  <si>
    <t>07040010</t>
  </si>
  <si>
    <t>按裝工人</t>
  </si>
  <si>
    <t>0704</t>
  </si>
  <si>
    <t>電梯昇降梯</t>
  </si>
  <si>
    <t>07040020</t>
  </si>
  <si>
    <t>修理及維護工人</t>
  </si>
  <si>
    <t>07040030</t>
  </si>
  <si>
    <t>操作員(不包括礦場使用者)</t>
  </si>
  <si>
    <t>07050010</t>
  </si>
  <si>
    <t>設計製圖人員</t>
  </si>
  <si>
    <t>0705</t>
  </si>
  <si>
    <t>裝璜業</t>
  </si>
  <si>
    <t>07050020</t>
  </si>
  <si>
    <t>地毯之裝設人員</t>
  </si>
  <si>
    <t>07050030</t>
  </si>
  <si>
    <t>室內裝璜人員</t>
  </si>
  <si>
    <t>07050040</t>
  </si>
  <si>
    <t>室外裝璜人員</t>
  </si>
  <si>
    <t>07050050</t>
  </si>
  <si>
    <t>承包商、監工</t>
  </si>
  <si>
    <t>07060010</t>
  </si>
  <si>
    <t>0706</t>
  </si>
  <si>
    <t>其他工程業</t>
  </si>
  <si>
    <t>07060011</t>
  </si>
  <si>
    <t>07060020</t>
  </si>
  <si>
    <t>工地看守員</t>
  </si>
  <si>
    <t>07060030</t>
  </si>
  <si>
    <t>海灣港口工程人員</t>
  </si>
  <si>
    <t>07060040</t>
  </si>
  <si>
    <t>水壩工程人員</t>
  </si>
  <si>
    <t>07060050</t>
  </si>
  <si>
    <t>橋樑工程人員</t>
  </si>
  <si>
    <t>07060060</t>
  </si>
  <si>
    <t>隧道工程人員</t>
  </si>
  <si>
    <t>07060070</t>
  </si>
  <si>
    <t>潛水工作人員</t>
  </si>
  <si>
    <t>07060080</t>
  </si>
  <si>
    <t>爆破工作人員</t>
  </si>
  <si>
    <t>07060090</t>
  </si>
  <si>
    <t>挖泥船工人</t>
  </si>
  <si>
    <t>08010010</t>
  </si>
  <si>
    <t>技師</t>
  </si>
  <si>
    <t>08</t>
  </si>
  <si>
    <t>製造業</t>
  </si>
  <si>
    <t>0801</t>
  </si>
  <si>
    <t>鋼鐵場</t>
  </si>
  <si>
    <t>08010020</t>
  </si>
  <si>
    <t>08010030</t>
  </si>
  <si>
    <t>08010040</t>
  </si>
  <si>
    <t>08010050</t>
  </si>
  <si>
    <t>負責人(不需到現場)</t>
  </si>
  <si>
    <t>08010060</t>
  </si>
  <si>
    <t>負責人(需現場指導或實際參與工作)、廠長</t>
  </si>
  <si>
    <t>08010070</t>
  </si>
  <si>
    <t>品管人員</t>
  </si>
  <si>
    <t>08010080</t>
  </si>
  <si>
    <t>勞工安全檢查人員</t>
  </si>
  <si>
    <t>08020010</t>
  </si>
  <si>
    <t>0802</t>
  </si>
  <si>
    <t>鐵工廠、機械廠</t>
  </si>
  <si>
    <t>08020020</t>
  </si>
  <si>
    <t>板金工</t>
  </si>
  <si>
    <t>08020030</t>
  </si>
  <si>
    <t>裝配工</t>
  </si>
  <si>
    <t>08020040</t>
  </si>
  <si>
    <t>焊接工</t>
  </si>
  <si>
    <t>08020050</t>
  </si>
  <si>
    <t>08020051</t>
  </si>
  <si>
    <t>08020060</t>
  </si>
  <si>
    <t>鑄造工</t>
  </si>
  <si>
    <t>08020070</t>
  </si>
  <si>
    <t>鍋爐工</t>
  </si>
  <si>
    <t>08020080</t>
  </si>
  <si>
    <t>鉛字鑄造工</t>
  </si>
  <si>
    <t>08020090</t>
  </si>
  <si>
    <t>鐵工廠工人</t>
  </si>
  <si>
    <t>08020100</t>
  </si>
  <si>
    <t>機械廠工人</t>
  </si>
  <si>
    <t>08020110</t>
  </si>
  <si>
    <t>電鍍工</t>
  </si>
  <si>
    <t>08020120</t>
  </si>
  <si>
    <t>銑床工</t>
  </si>
  <si>
    <t>08020130</t>
  </si>
  <si>
    <t>剪床工</t>
  </si>
  <si>
    <t>08020140</t>
  </si>
  <si>
    <t>沖床工</t>
  </si>
  <si>
    <t>08020150</t>
  </si>
  <si>
    <t>08020160</t>
  </si>
  <si>
    <t>08020170</t>
  </si>
  <si>
    <t>品管人員、工安人員</t>
  </si>
  <si>
    <t>08020180</t>
  </si>
  <si>
    <t>技工</t>
  </si>
  <si>
    <t>08020190</t>
  </si>
  <si>
    <t>高爾夫球具製造工</t>
  </si>
  <si>
    <t>08020200</t>
  </si>
  <si>
    <t>高爾夫球桿頭磨光</t>
  </si>
  <si>
    <t>08020210</t>
  </si>
  <si>
    <t>修理工</t>
  </si>
  <si>
    <t>08020220</t>
  </si>
  <si>
    <t>彎管工</t>
  </si>
  <si>
    <t>08020230</t>
  </si>
  <si>
    <t>熱處理</t>
  </si>
  <si>
    <t>08020240</t>
  </si>
  <si>
    <t>大小五金製造工</t>
  </si>
  <si>
    <t>08020250</t>
  </si>
  <si>
    <t>風管製造工</t>
  </si>
  <si>
    <t>08020260</t>
  </si>
  <si>
    <t>鋁合金鑄造</t>
  </si>
  <si>
    <t>08020270</t>
  </si>
  <si>
    <t>鐵櫃技工</t>
  </si>
  <si>
    <t>08020280</t>
  </si>
  <si>
    <t>貨櫃製造工人</t>
  </si>
  <si>
    <t>08020290</t>
  </si>
  <si>
    <t>鉗工、丸鐵工</t>
  </si>
  <si>
    <t>08020300</t>
  </si>
  <si>
    <t>模具工</t>
  </si>
  <si>
    <t>08020310</t>
  </si>
  <si>
    <t>翻砂工</t>
  </si>
  <si>
    <t>08020320</t>
  </si>
  <si>
    <t>鐵捲工</t>
  </si>
  <si>
    <t>08020330</t>
  </si>
  <si>
    <t>鑽床工</t>
  </si>
  <si>
    <t>08020340</t>
  </si>
  <si>
    <t>泵浦裝配技師</t>
  </si>
  <si>
    <t>08020350</t>
  </si>
  <si>
    <t>模具設計</t>
  </si>
  <si>
    <t>08020360</t>
  </si>
  <si>
    <t>機械操作修理員</t>
  </si>
  <si>
    <t>08020370</t>
  </si>
  <si>
    <t>螺絲製造</t>
  </si>
  <si>
    <t>08020380</t>
  </si>
  <si>
    <t>配電盤人員</t>
  </si>
  <si>
    <t>08020390</t>
  </si>
  <si>
    <t>油壓機操作</t>
  </si>
  <si>
    <t>08020400</t>
  </si>
  <si>
    <t>磨床</t>
  </si>
  <si>
    <t>08020410</t>
  </si>
  <si>
    <t>冷作</t>
  </si>
  <si>
    <t>08020420</t>
  </si>
  <si>
    <t>鍛造</t>
  </si>
  <si>
    <t>08030010</t>
  </si>
  <si>
    <t>0803</t>
  </si>
  <si>
    <t>電子業</t>
  </si>
  <si>
    <t>08030020</t>
  </si>
  <si>
    <t>08030030</t>
  </si>
  <si>
    <t>08030040</t>
  </si>
  <si>
    <t>08030050</t>
  </si>
  <si>
    <t>08030060</t>
  </si>
  <si>
    <t>包裝工人</t>
  </si>
  <si>
    <t>08030070</t>
  </si>
  <si>
    <t>製造工</t>
  </si>
  <si>
    <t>08030080</t>
  </si>
  <si>
    <t>08030090</t>
  </si>
  <si>
    <t>無塵室工作人員</t>
  </si>
  <si>
    <t>08030100</t>
  </si>
  <si>
    <t>08030110</t>
  </si>
  <si>
    <t>物料倉管</t>
  </si>
  <si>
    <t>08030120</t>
  </si>
  <si>
    <t>ＩＣ板電鍍</t>
  </si>
  <si>
    <t>08030130</t>
  </si>
  <si>
    <t>08030140</t>
  </si>
  <si>
    <t>08030150</t>
  </si>
  <si>
    <t>光電及光學工作人員</t>
  </si>
  <si>
    <t>08030160</t>
  </si>
  <si>
    <t>電氣焊接工</t>
  </si>
  <si>
    <t>08030170</t>
  </si>
  <si>
    <t>研發人員、設計人員、製程人員</t>
  </si>
  <si>
    <t>08030180</t>
  </si>
  <si>
    <t>電路板維修工</t>
  </si>
  <si>
    <t>08040010</t>
  </si>
  <si>
    <t>0804</t>
  </si>
  <si>
    <t>電機業</t>
  </si>
  <si>
    <t>08040020</t>
  </si>
  <si>
    <t>08040030</t>
  </si>
  <si>
    <t>08040040</t>
  </si>
  <si>
    <t>空氣調節器之裝修人員</t>
  </si>
  <si>
    <t>08040050</t>
  </si>
  <si>
    <t>有關高壓電之工作人員</t>
  </si>
  <si>
    <t>08040060</t>
  </si>
  <si>
    <t>冷凍修理工</t>
  </si>
  <si>
    <t>08040070</t>
  </si>
  <si>
    <t>08040080</t>
  </si>
  <si>
    <t>08040090</t>
  </si>
  <si>
    <t>08040100</t>
  </si>
  <si>
    <t>家電用品維修</t>
  </si>
  <si>
    <t>08040110</t>
  </si>
  <si>
    <t>室內消防器材裝修人員</t>
  </si>
  <si>
    <t>08040120</t>
  </si>
  <si>
    <t>電機裝配修理人員</t>
  </si>
  <si>
    <t>08040130</t>
  </si>
  <si>
    <t>室內消防器材檢測(不含安裝)</t>
  </si>
  <si>
    <t>08040140</t>
  </si>
  <si>
    <t>變壓器裝置維修</t>
  </si>
  <si>
    <t>08040150</t>
  </si>
  <si>
    <t>烤漆</t>
  </si>
  <si>
    <t>08050010</t>
  </si>
  <si>
    <t>0805</t>
  </si>
  <si>
    <t>塑膠、橡膠業</t>
  </si>
  <si>
    <t>08050020</t>
  </si>
  <si>
    <t>08050030</t>
  </si>
  <si>
    <t>08050040</t>
  </si>
  <si>
    <t>一般工人</t>
  </si>
  <si>
    <t>08050050</t>
  </si>
  <si>
    <t>08050060</t>
  </si>
  <si>
    <t>08050070</t>
  </si>
  <si>
    <t>08050080</t>
  </si>
  <si>
    <t>08050090</t>
  </si>
  <si>
    <t>08050100</t>
  </si>
  <si>
    <t>塑膠袋製造、印刷</t>
  </si>
  <si>
    <t>08050110</t>
  </si>
  <si>
    <t>高週波充氣玩具製造</t>
  </si>
  <si>
    <t>08050120</t>
  </si>
  <si>
    <t>鞋模製造工人</t>
  </si>
  <si>
    <t>08050130</t>
  </si>
  <si>
    <t>高爾夫球、乒乓球製造</t>
  </si>
  <si>
    <t>08050140</t>
  </si>
  <si>
    <t>塑膠、橡膠射出機器維修</t>
  </si>
  <si>
    <t>08060010</t>
  </si>
  <si>
    <t>0806</t>
  </si>
  <si>
    <t>08060020</t>
  </si>
  <si>
    <t>08060030</t>
  </si>
  <si>
    <t>08060040</t>
  </si>
  <si>
    <t>08060050</t>
  </si>
  <si>
    <t>採掘工</t>
  </si>
  <si>
    <t>08060060</t>
  </si>
  <si>
    <t>爆破工</t>
  </si>
  <si>
    <t>08060070</t>
  </si>
  <si>
    <t>工安人員</t>
  </si>
  <si>
    <t>08070010</t>
  </si>
  <si>
    <t>0807</t>
  </si>
  <si>
    <t>化學原料業</t>
  </si>
  <si>
    <t>08070020</t>
  </si>
  <si>
    <t>08070030</t>
  </si>
  <si>
    <t>一般工人、作業員</t>
  </si>
  <si>
    <t>08070040</t>
  </si>
  <si>
    <t>硫酸、鹽酸、硝酸製造工、有毒物品製造工</t>
  </si>
  <si>
    <t>08070050</t>
  </si>
  <si>
    <t>08070051</t>
  </si>
  <si>
    <t>08070060</t>
  </si>
  <si>
    <t>液化氣體製造工</t>
  </si>
  <si>
    <t>08070070</t>
  </si>
  <si>
    <t>製藥廠工作人員</t>
  </si>
  <si>
    <t>08070080</t>
  </si>
  <si>
    <t>製藥廠品管員</t>
  </si>
  <si>
    <t>08070090</t>
  </si>
  <si>
    <t>化學品管人員</t>
  </si>
  <si>
    <t>08070100</t>
  </si>
  <si>
    <t>化學實驗師</t>
  </si>
  <si>
    <t>08070110</t>
  </si>
  <si>
    <t>殺蟲劑製造工</t>
  </si>
  <si>
    <t>08070120</t>
  </si>
  <si>
    <t>油漆製造工</t>
  </si>
  <si>
    <t>08070130</t>
  </si>
  <si>
    <t>海綿、泡綿製造工</t>
  </si>
  <si>
    <t>08080010</t>
  </si>
  <si>
    <t>0808</t>
  </si>
  <si>
    <t>炸藥業</t>
  </si>
  <si>
    <t>08080020</t>
  </si>
  <si>
    <t>廠務管理、廠長</t>
  </si>
  <si>
    <t>08090010</t>
  </si>
  <si>
    <t>0809</t>
  </si>
  <si>
    <t>汽車、機車、自行車製造業、修理業</t>
  </si>
  <si>
    <t>08090020</t>
  </si>
  <si>
    <t>08090030</t>
  </si>
  <si>
    <t>08090040</t>
  </si>
  <si>
    <t>08090050</t>
  </si>
  <si>
    <t>08090060</t>
  </si>
  <si>
    <t>08090070</t>
  </si>
  <si>
    <t>08090080</t>
  </si>
  <si>
    <t>試車人員</t>
  </si>
  <si>
    <t>08090090</t>
  </si>
  <si>
    <t>08090100</t>
  </si>
  <si>
    <t>08090110</t>
  </si>
  <si>
    <t>08090120</t>
  </si>
  <si>
    <t>鈑金工人</t>
  </si>
  <si>
    <t>08090130</t>
  </si>
  <si>
    <t>汽車輪胎換修買賣、定位</t>
  </si>
  <si>
    <t>08090140</t>
  </si>
  <si>
    <t>汽車修理廠引導員(不參與修理)</t>
  </si>
  <si>
    <t>08090150</t>
  </si>
  <si>
    <t>汽車檢驗員</t>
  </si>
  <si>
    <t xml:space="preserve">08090160 </t>
  </si>
  <si>
    <t>瓦斯車安裝人員 </t>
  </si>
  <si>
    <t>08100010</t>
  </si>
  <si>
    <t>0810</t>
  </si>
  <si>
    <t>紡織及成衣業</t>
  </si>
  <si>
    <t>08100020</t>
  </si>
  <si>
    <t>設計師</t>
  </si>
  <si>
    <t>08100030</t>
  </si>
  <si>
    <t>08100040</t>
  </si>
  <si>
    <t>製造工人</t>
  </si>
  <si>
    <t>08100050</t>
  </si>
  <si>
    <t>染整工人</t>
  </si>
  <si>
    <t>08100060</t>
  </si>
  <si>
    <t>08100070</t>
  </si>
  <si>
    <t>打版師</t>
  </si>
  <si>
    <t>08100080</t>
  </si>
  <si>
    <t>08100090</t>
  </si>
  <si>
    <t>針織工人</t>
  </si>
  <si>
    <t>08100100</t>
  </si>
  <si>
    <t>08100110</t>
  </si>
  <si>
    <t>08100120</t>
  </si>
  <si>
    <t>機械維修</t>
  </si>
  <si>
    <t>08100130</t>
  </si>
  <si>
    <t>紡紗工人</t>
  </si>
  <si>
    <t>08110010</t>
  </si>
  <si>
    <t>0811</t>
  </si>
  <si>
    <t>造紙工業</t>
  </si>
  <si>
    <t>08110020</t>
  </si>
  <si>
    <t>監工、領班</t>
  </si>
  <si>
    <t>08110030</t>
  </si>
  <si>
    <t>造紙廠工人</t>
  </si>
  <si>
    <t>08110040</t>
  </si>
  <si>
    <t>紙漿廠工人</t>
  </si>
  <si>
    <t>08110050</t>
  </si>
  <si>
    <t>紙箱製造工人</t>
  </si>
  <si>
    <t>08110060</t>
  </si>
  <si>
    <t>紙箱包裝工人</t>
  </si>
  <si>
    <t>08110070</t>
  </si>
  <si>
    <t>08110080</t>
  </si>
  <si>
    <t>08110090</t>
  </si>
  <si>
    <t>裁紙工人</t>
  </si>
  <si>
    <t>08120010</t>
  </si>
  <si>
    <t>0812</t>
  </si>
  <si>
    <t>傢俱製造業</t>
  </si>
  <si>
    <t>08120020</t>
  </si>
  <si>
    <t>08120030</t>
  </si>
  <si>
    <t>木製傢俱製造工人</t>
  </si>
  <si>
    <t>08120040</t>
  </si>
  <si>
    <t>木製傢俱修理工</t>
  </si>
  <si>
    <t>08120050</t>
  </si>
  <si>
    <t>金屬傢俱製造工人</t>
  </si>
  <si>
    <t>08120060</t>
  </si>
  <si>
    <t>金屬傢俱修理工</t>
  </si>
  <si>
    <t>08120070</t>
  </si>
  <si>
    <t>08120080</t>
  </si>
  <si>
    <t>08120090</t>
  </si>
  <si>
    <t>08120100</t>
  </si>
  <si>
    <t>傢俱運送、組裝工人</t>
  </si>
  <si>
    <t>08120110</t>
  </si>
  <si>
    <t>石材傢俱製造、修理工</t>
  </si>
  <si>
    <t>08130010</t>
  </si>
  <si>
    <t>竹木製手工藝品之加工工人</t>
  </si>
  <si>
    <t>0813</t>
  </si>
  <si>
    <t>手工藝品業</t>
  </si>
  <si>
    <t>08130020</t>
  </si>
  <si>
    <t>竹木製手工藝品之雕刻工人</t>
  </si>
  <si>
    <t>08130030</t>
  </si>
  <si>
    <t>金屬手工藝品之加工工人</t>
  </si>
  <si>
    <t>08130040</t>
  </si>
  <si>
    <t>金屬手工藝品之雕刻工人</t>
  </si>
  <si>
    <t>08130050</t>
  </si>
  <si>
    <t>布類紙品工藝品之加工工人</t>
  </si>
  <si>
    <t>08130060</t>
  </si>
  <si>
    <t>礦石手工藝品加工人員</t>
  </si>
  <si>
    <t>08130070</t>
  </si>
  <si>
    <t>珠寶加工工人</t>
  </si>
  <si>
    <t>08130080</t>
  </si>
  <si>
    <t>皮革手工藝品加工</t>
  </si>
  <si>
    <t>08130090</t>
  </si>
  <si>
    <t>陶瓷廠工人</t>
  </si>
  <si>
    <t>08140010</t>
  </si>
  <si>
    <t>0814</t>
  </si>
  <si>
    <t>電線電纜業</t>
  </si>
  <si>
    <t>08140020</t>
  </si>
  <si>
    <t>08150010</t>
  </si>
  <si>
    <t>冰塊製造</t>
  </si>
  <si>
    <t>0815</t>
  </si>
  <si>
    <t>食品飲料製造業</t>
  </si>
  <si>
    <t>08150020</t>
  </si>
  <si>
    <t>08150030</t>
  </si>
  <si>
    <t>08150040</t>
  </si>
  <si>
    <t>碾米廠操作人員</t>
  </si>
  <si>
    <t>08150050</t>
  </si>
  <si>
    <t>麵包師父</t>
  </si>
  <si>
    <t>08150060</t>
  </si>
  <si>
    <t>製麵工人</t>
  </si>
  <si>
    <t>08150070</t>
  </si>
  <si>
    <t>08150080</t>
  </si>
  <si>
    <t>食品加工工人</t>
  </si>
  <si>
    <t>08150090</t>
  </si>
  <si>
    <t>包裝工</t>
  </si>
  <si>
    <t>08150100</t>
  </si>
  <si>
    <t>煙、酒製造工人</t>
  </si>
  <si>
    <t>08150110</t>
  </si>
  <si>
    <t>08150120</t>
  </si>
  <si>
    <t>酒廠化驗人員</t>
  </si>
  <si>
    <t>08150130</t>
  </si>
  <si>
    <t>煙酒廠機械操作</t>
  </si>
  <si>
    <t>08150140</t>
  </si>
  <si>
    <t>煙酒廠機械維修人員</t>
  </si>
  <si>
    <t>08160010</t>
  </si>
  <si>
    <t>0816</t>
  </si>
  <si>
    <t>家電製造業</t>
  </si>
  <si>
    <t>08160020</t>
  </si>
  <si>
    <t>一般製造工人</t>
  </si>
  <si>
    <t>08160030</t>
  </si>
  <si>
    <t>08160040</t>
  </si>
  <si>
    <t>08160050</t>
  </si>
  <si>
    <t>08160060</t>
  </si>
  <si>
    <t>08160070</t>
  </si>
  <si>
    <t>08160080</t>
  </si>
  <si>
    <t>08160090</t>
  </si>
  <si>
    <t>08160100</t>
  </si>
  <si>
    <t>08160110</t>
  </si>
  <si>
    <t>08160120</t>
  </si>
  <si>
    <t>08160130</t>
  </si>
  <si>
    <t>家電維修人員</t>
  </si>
  <si>
    <t>08170010</t>
  </si>
  <si>
    <t>0817</t>
  </si>
  <si>
    <t>玻璃及琉璃製造業</t>
  </si>
  <si>
    <t>08170020</t>
  </si>
  <si>
    <t>08170030</t>
  </si>
  <si>
    <t>08170040</t>
  </si>
  <si>
    <t>玻璃、琉璃製造工人</t>
  </si>
  <si>
    <t>08180010</t>
  </si>
  <si>
    <t>0818</t>
  </si>
  <si>
    <t>皮革製品製造業</t>
  </si>
  <si>
    <t>08180020</t>
  </si>
  <si>
    <t>08190010</t>
  </si>
  <si>
    <t>0819</t>
  </si>
  <si>
    <t>其他製造業</t>
  </si>
  <si>
    <t>08190011</t>
  </si>
  <si>
    <t>08190020</t>
  </si>
  <si>
    <t>08190030</t>
  </si>
  <si>
    <t>08190040</t>
  </si>
  <si>
    <t>鑰匙加工人員、刻印加工人員</t>
  </si>
  <si>
    <t>08190050</t>
  </si>
  <si>
    <t>08190060</t>
  </si>
  <si>
    <t>木炭製造工</t>
  </si>
  <si>
    <t>08190070</t>
  </si>
  <si>
    <t>木雕人員</t>
  </si>
  <si>
    <t>08190080</t>
  </si>
  <si>
    <t>香燭製造工</t>
  </si>
  <si>
    <t>08190090</t>
  </si>
  <si>
    <t>醫療器材裝修工</t>
  </si>
  <si>
    <t>08190100</t>
  </si>
  <si>
    <t>工廠機器維修人員</t>
  </si>
  <si>
    <t>09010010</t>
  </si>
  <si>
    <t>09</t>
  </si>
  <si>
    <t>新聞廣告業</t>
  </si>
  <si>
    <t>0901</t>
  </si>
  <si>
    <t>新聞業、雜誌業</t>
  </si>
  <si>
    <t>09010020</t>
  </si>
  <si>
    <t>外勤記者</t>
  </si>
  <si>
    <t>09010030</t>
  </si>
  <si>
    <t>攝影記者</t>
  </si>
  <si>
    <t>09010040</t>
  </si>
  <si>
    <t>戰地記者</t>
  </si>
  <si>
    <t>09010050</t>
  </si>
  <si>
    <t>推銷員</t>
  </si>
  <si>
    <t>09010060</t>
  </si>
  <si>
    <t>排版、製版工</t>
  </si>
  <si>
    <t>09010061</t>
  </si>
  <si>
    <t>電腦排版工</t>
  </si>
  <si>
    <t>09010070</t>
  </si>
  <si>
    <t>裝訂工</t>
  </si>
  <si>
    <t>09010080</t>
  </si>
  <si>
    <t>印刷工</t>
  </si>
  <si>
    <t>09010090</t>
  </si>
  <si>
    <t>送貨員</t>
  </si>
  <si>
    <t>09010100</t>
  </si>
  <si>
    <t>送報員</t>
  </si>
  <si>
    <t>09010110</t>
  </si>
  <si>
    <t>09020010</t>
  </si>
  <si>
    <t>0902</t>
  </si>
  <si>
    <t>廣告業</t>
  </si>
  <si>
    <t>09020020</t>
  </si>
  <si>
    <t>業務員、AE公關</t>
  </si>
  <si>
    <t>09020030</t>
  </si>
  <si>
    <t>廣告影片之拍攝錄製人員</t>
  </si>
  <si>
    <t>09020040</t>
  </si>
  <si>
    <t>戶外廣告招牌製作架設人員</t>
  </si>
  <si>
    <t>09020050</t>
  </si>
  <si>
    <t>09020060</t>
  </si>
  <si>
    <t>廣告旗幟製作</t>
  </si>
  <si>
    <t>09020070</t>
  </si>
  <si>
    <t>獎牌紀念品製作</t>
  </si>
  <si>
    <t>09020080</t>
  </si>
  <si>
    <t>道路號誌、標誌製造工</t>
  </si>
  <si>
    <t>10010010</t>
  </si>
  <si>
    <t>一般醫務行政人員</t>
  </si>
  <si>
    <t>10</t>
  </si>
  <si>
    <t>衛生保健業</t>
  </si>
  <si>
    <t>1001</t>
  </si>
  <si>
    <t>醫院</t>
  </si>
  <si>
    <t>10010020</t>
  </si>
  <si>
    <t>一般醫師、護士及藥劑師</t>
  </si>
  <si>
    <t>10010030</t>
  </si>
  <si>
    <t>精神病科醫師、看護及護士</t>
  </si>
  <si>
    <t>10010040</t>
  </si>
  <si>
    <t>獸醫</t>
  </si>
  <si>
    <t>10010050</t>
  </si>
  <si>
    <t>醫院炊事</t>
  </si>
  <si>
    <t>10010060</t>
  </si>
  <si>
    <t>雜工</t>
  </si>
  <si>
    <t>10010070</t>
  </si>
  <si>
    <t>10010080</t>
  </si>
  <si>
    <t>一般看護人員</t>
  </si>
  <si>
    <t>10010090</t>
  </si>
  <si>
    <t>物理、職能(復健)治療師</t>
  </si>
  <si>
    <t>10020010</t>
  </si>
  <si>
    <t>醫學及病理檢驗人員</t>
  </si>
  <si>
    <t>1002</t>
  </si>
  <si>
    <t>保健人員</t>
  </si>
  <si>
    <t>10020020</t>
  </si>
  <si>
    <t>分析員</t>
  </si>
  <si>
    <t>10020030</t>
  </si>
  <si>
    <t>放射線之技術人員</t>
  </si>
  <si>
    <t>10020040</t>
  </si>
  <si>
    <t>放射線之修護人員</t>
  </si>
  <si>
    <t>10020050</t>
  </si>
  <si>
    <t>助產士</t>
  </si>
  <si>
    <t>10020060</t>
  </si>
  <si>
    <t>跌打損傷治療人員(接骨、氣功推拿)</t>
  </si>
  <si>
    <t>10020070</t>
  </si>
  <si>
    <t>監獄、看守所醫生、護理人員</t>
  </si>
  <si>
    <t>10020080</t>
  </si>
  <si>
    <t>10020090</t>
  </si>
  <si>
    <t>10020100</t>
  </si>
  <si>
    <t>齒模工</t>
  </si>
  <si>
    <t>10020110</t>
  </si>
  <si>
    <t>10020120</t>
  </si>
  <si>
    <t>煙毒勒戒所人員</t>
  </si>
  <si>
    <t>11010010</t>
  </si>
  <si>
    <t>製片人、一般內勤人員</t>
  </si>
  <si>
    <t>11</t>
  </si>
  <si>
    <t>娛樂業</t>
  </si>
  <si>
    <t>1101</t>
  </si>
  <si>
    <t>電影業、電視業</t>
  </si>
  <si>
    <t>11010020</t>
  </si>
  <si>
    <t>影片商、系統商、頻道商</t>
  </si>
  <si>
    <t>11010030</t>
  </si>
  <si>
    <t>編劇、電視導播</t>
  </si>
  <si>
    <t>11010040</t>
  </si>
  <si>
    <t>11010050</t>
  </si>
  <si>
    <t>武打演員</t>
  </si>
  <si>
    <t>11010060</t>
  </si>
  <si>
    <t>特技演員</t>
  </si>
  <si>
    <t>11010070</t>
  </si>
  <si>
    <t>化粧師</t>
  </si>
  <si>
    <t>11010080</t>
  </si>
  <si>
    <t>場記</t>
  </si>
  <si>
    <t>11010090</t>
  </si>
  <si>
    <t>攝影工作人員</t>
  </si>
  <si>
    <t>11010100</t>
  </si>
  <si>
    <t>燈光及音響效果工作人員</t>
  </si>
  <si>
    <t>11010110</t>
  </si>
  <si>
    <t>沖片工作人員</t>
  </si>
  <si>
    <t>11010120</t>
  </si>
  <si>
    <t>洗片工作人員</t>
  </si>
  <si>
    <t>11010130</t>
  </si>
  <si>
    <t>電視記者</t>
  </si>
  <si>
    <t>11010140</t>
  </si>
  <si>
    <t>機械工、電工</t>
  </si>
  <si>
    <t>11010150</t>
  </si>
  <si>
    <t>佈景搭設人員</t>
  </si>
  <si>
    <t>11010160</t>
  </si>
  <si>
    <t>電影院售票員</t>
  </si>
  <si>
    <t>11010170</t>
  </si>
  <si>
    <t>電影院放映人員</t>
  </si>
  <si>
    <t>11010180</t>
  </si>
  <si>
    <t>電影院服務人員兼餐飲販賣</t>
  </si>
  <si>
    <t>11010190</t>
  </si>
  <si>
    <t>影片剪接人員</t>
  </si>
  <si>
    <t>11010200</t>
  </si>
  <si>
    <t>播音、錄音、配音人員</t>
  </si>
  <si>
    <t>11010210</t>
  </si>
  <si>
    <t>燈光及音響器材架設人員</t>
  </si>
  <si>
    <t>11010220</t>
  </si>
  <si>
    <t>現場指導、助理導播</t>
  </si>
  <si>
    <t>11010230</t>
  </si>
  <si>
    <t>11010240</t>
  </si>
  <si>
    <t>武術指導</t>
  </si>
  <si>
    <t>11010250</t>
  </si>
  <si>
    <t>有線電視架式人員</t>
  </si>
  <si>
    <t>11010260</t>
  </si>
  <si>
    <t>電影院清潔人員</t>
  </si>
  <si>
    <t>11020010</t>
  </si>
  <si>
    <t>教練</t>
  </si>
  <si>
    <t>1102</t>
  </si>
  <si>
    <t>高爾夫球場</t>
  </si>
  <si>
    <t>11020020</t>
  </si>
  <si>
    <t>球場保養人</t>
  </si>
  <si>
    <t>11020030</t>
  </si>
  <si>
    <t>11020040</t>
  </si>
  <si>
    <t>球僮</t>
  </si>
  <si>
    <t>11030010</t>
  </si>
  <si>
    <t>計分員</t>
  </si>
  <si>
    <t>1103</t>
  </si>
  <si>
    <t>保齡球館</t>
  </si>
  <si>
    <t>11030020</t>
  </si>
  <si>
    <t>11030030</t>
  </si>
  <si>
    <t>機械修護工人</t>
  </si>
  <si>
    <t>11030040</t>
  </si>
  <si>
    <t>清潔工人</t>
  </si>
  <si>
    <t>11030050</t>
  </si>
  <si>
    <t>11040010</t>
  </si>
  <si>
    <t>1104</t>
  </si>
  <si>
    <t>撞球場</t>
  </si>
  <si>
    <t>11040020</t>
  </si>
  <si>
    <t>11050010</t>
  </si>
  <si>
    <t>1105</t>
  </si>
  <si>
    <t>游泳池</t>
  </si>
  <si>
    <t>11050020</t>
  </si>
  <si>
    <t>管理員</t>
  </si>
  <si>
    <t>11050030</t>
  </si>
  <si>
    <t>11050040</t>
  </si>
  <si>
    <t>售票員</t>
  </si>
  <si>
    <t>11050050</t>
  </si>
  <si>
    <t>救生員</t>
  </si>
  <si>
    <t>11060010</t>
  </si>
  <si>
    <t>1106</t>
  </si>
  <si>
    <t>海水浴場</t>
  </si>
  <si>
    <t>11060020</t>
  </si>
  <si>
    <t>11060030</t>
  </si>
  <si>
    <t>售票員、售貨員</t>
  </si>
  <si>
    <t>11060040</t>
  </si>
  <si>
    <t>11070010</t>
  </si>
  <si>
    <t>1107</t>
  </si>
  <si>
    <t>其他遊樂園(包括動物園)</t>
  </si>
  <si>
    <t>11070020</t>
  </si>
  <si>
    <t>11070030</t>
  </si>
  <si>
    <t>電動玩具操作員</t>
  </si>
  <si>
    <t>11070040</t>
  </si>
  <si>
    <t>一般清潔工</t>
  </si>
  <si>
    <t>11070050</t>
  </si>
  <si>
    <t>獸欄清潔工</t>
  </si>
  <si>
    <t>11070060</t>
  </si>
  <si>
    <t>水電機械工</t>
  </si>
  <si>
    <t>11070070</t>
  </si>
  <si>
    <t>動物園、馬戲團馴獸師</t>
  </si>
  <si>
    <t>11070080</t>
  </si>
  <si>
    <t>飼養人員</t>
  </si>
  <si>
    <t>11070090</t>
  </si>
  <si>
    <t>11070100</t>
  </si>
  <si>
    <t>動物訓練員(非馴獸師)</t>
  </si>
  <si>
    <t>11070110</t>
  </si>
  <si>
    <t>娛樂場所工作人員及負責人</t>
  </si>
  <si>
    <t>11070120</t>
  </si>
  <si>
    <t>11070130</t>
  </si>
  <si>
    <t>11080010</t>
  </si>
  <si>
    <t>作曲人員</t>
  </si>
  <si>
    <t>1108</t>
  </si>
  <si>
    <t>藝術及演藝人員</t>
  </si>
  <si>
    <t>11080020</t>
  </si>
  <si>
    <t>編曲人員</t>
  </si>
  <si>
    <t>11080030</t>
  </si>
  <si>
    <t>演奏人員</t>
  </si>
  <si>
    <t>11080040</t>
  </si>
  <si>
    <t>繪畫人員</t>
  </si>
  <si>
    <t>11080050</t>
  </si>
  <si>
    <t>歌唱、舞蹈演藝人員</t>
  </si>
  <si>
    <t>11080060</t>
  </si>
  <si>
    <t>雕塑人員</t>
  </si>
  <si>
    <t>11080070</t>
  </si>
  <si>
    <t>戲劇演員</t>
  </si>
  <si>
    <t>11080080</t>
  </si>
  <si>
    <t>巡迴演出戲劇團體人員</t>
  </si>
  <si>
    <t>11080090</t>
  </si>
  <si>
    <t>作家</t>
  </si>
  <si>
    <t>11080100</t>
  </si>
  <si>
    <t>模特兒</t>
  </si>
  <si>
    <t>11080110</t>
  </si>
  <si>
    <t>魔術師</t>
  </si>
  <si>
    <t>11080120</t>
  </si>
  <si>
    <t>魔術助理人員</t>
  </si>
  <si>
    <t>11080130</t>
  </si>
  <si>
    <t>演藝經紀人</t>
  </si>
  <si>
    <t>11080140</t>
  </si>
  <si>
    <t>宣傳</t>
  </si>
  <si>
    <t>11080150</t>
  </si>
  <si>
    <t>布袋戲偶操作人員</t>
  </si>
  <si>
    <t>11080160</t>
  </si>
  <si>
    <t>人體彩繪師</t>
  </si>
  <si>
    <t>11080170</t>
  </si>
  <si>
    <t>舞蹈教室老師</t>
  </si>
  <si>
    <t>11090010</t>
  </si>
  <si>
    <t>咖啡廳工作人員</t>
  </si>
  <si>
    <t>1109</t>
  </si>
  <si>
    <t>特種營業</t>
  </si>
  <si>
    <t>11090020</t>
  </si>
  <si>
    <t>茶室工作人員</t>
  </si>
  <si>
    <t>11090030</t>
  </si>
  <si>
    <t>酒家工作人員</t>
  </si>
  <si>
    <t>11090040</t>
  </si>
  <si>
    <t>樂戶工作人員</t>
  </si>
  <si>
    <t>11090050</t>
  </si>
  <si>
    <t>舞廳工作人員</t>
  </si>
  <si>
    <t>11090060</t>
  </si>
  <si>
    <t>歌廳工作人員</t>
  </si>
  <si>
    <t>11090070</t>
  </si>
  <si>
    <t>酒吧工作人員</t>
  </si>
  <si>
    <t>11090080</t>
  </si>
  <si>
    <t>11090090</t>
  </si>
  <si>
    <t>其他場所工作人員</t>
  </si>
  <si>
    <t>11090100</t>
  </si>
  <si>
    <t>從事特種營業服務人員(吧女、酒女、舞女、咖啡女郎、按摩女郎…等)</t>
  </si>
  <si>
    <t>11090110</t>
  </si>
  <si>
    <t>保鑣</t>
  </si>
  <si>
    <t>12010010</t>
  </si>
  <si>
    <t>教師、行政人員</t>
  </si>
  <si>
    <t>12</t>
  </si>
  <si>
    <t>文教機關</t>
  </si>
  <si>
    <t>1201</t>
  </si>
  <si>
    <t>教育機構</t>
  </si>
  <si>
    <t>12010020</t>
  </si>
  <si>
    <t>學生(不含軍校、警校)</t>
  </si>
  <si>
    <t>12010030</t>
  </si>
  <si>
    <t>校工</t>
  </si>
  <si>
    <t>12010040</t>
  </si>
  <si>
    <t>軍訓教官</t>
  </si>
  <si>
    <t>12010050</t>
  </si>
  <si>
    <t>體育教師</t>
  </si>
  <si>
    <t>12010060</t>
  </si>
  <si>
    <t>健身房、有氧運動教練</t>
  </si>
  <si>
    <t>12010070</t>
  </si>
  <si>
    <t>餐飲補習班教師</t>
  </si>
  <si>
    <t>12010080</t>
  </si>
  <si>
    <t>工藝教師</t>
  </si>
  <si>
    <t>12010090</t>
  </si>
  <si>
    <t>校警</t>
  </si>
  <si>
    <t>12010100</t>
  </si>
  <si>
    <t>學校志工</t>
  </si>
  <si>
    <t>12020010</t>
  </si>
  <si>
    <t>1202</t>
  </si>
  <si>
    <t>其他</t>
  </si>
  <si>
    <t>12020020</t>
  </si>
  <si>
    <t>12020030</t>
  </si>
  <si>
    <t>書店外務員</t>
  </si>
  <si>
    <t>12020040</t>
  </si>
  <si>
    <t>書店送貨員</t>
  </si>
  <si>
    <t>12020050</t>
  </si>
  <si>
    <t>圖書館工作人員</t>
  </si>
  <si>
    <t>12020060</t>
  </si>
  <si>
    <t>博物館工作人員</t>
  </si>
  <si>
    <t>12020070</t>
  </si>
  <si>
    <t>汽車駕駛訓練班教練</t>
  </si>
  <si>
    <t>12020080</t>
  </si>
  <si>
    <t>監理所路考官</t>
  </si>
  <si>
    <t>13000010</t>
  </si>
  <si>
    <t>寺廟及教堂管理人員</t>
  </si>
  <si>
    <t>13</t>
  </si>
  <si>
    <t>宗教團體</t>
  </si>
  <si>
    <t>1300</t>
  </si>
  <si>
    <t>宗教人士</t>
  </si>
  <si>
    <t>13000020</t>
  </si>
  <si>
    <t>宗教團體工作人員</t>
  </si>
  <si>
    <t>13000030</t>
  </si>
  <si>
    <t>僧尼、道士、法師及傳教人員</t>
  </si>
  <si>
    <t>13000040</t>
  </si>
  <si>
    <t>乩童</t>
  </si>
  <si>
    <t>13000050</t>
  </si>
  <si>
    <t>神壇工作人員</t>
  </si>
  <si>
    <t>13000060</t>
  </si>
  <si>
    <t>算命師</t>
  </si>
  <si>
    <t>13000070</t>
  </si>
  <si>
    <t>勘與師</t>
  </si>
  <si>
    <t>13000080</t>
  </si>
  <si>
    <t>八家將</t>
  </si>
  <si>
    <t>14010010</t>
  </si>
  <si>
    <t>14</t>
  </si>
  <si>
    <t>公共事業</t>
  </si>
  <si>
    <t>1401</t>
  </si>
  <si>
    <t>郵政</t>
  </si>
  <si>
    <t>14010020</t>
  </si>
  <si>
    <t>外勤郵務人員</t>
  </si>
  <si>
    <t>14010030</t>
  </si>
  <si>
    <t>包裹搬運人員</t>
  </si>
  <si>
    <t>14020010</t>
  </si>
  <si>
    <t>1402</t>
  </si>
  <si>
    <t>電信及電力</t>
  </si>
  <si>
    <t>14020020</t>
  </si>
  <si>
    <t>抄錶員、收費員</t>
  </si>
  <si>
    <t>14020030</t>
  </si>
  <si>
    <t>電信裝置維護修理工</t>
  </si>
  <si>
    <t>14020031</t>
  </si>
  <si>
    <t>電力裝置維護修理工</t>
  </si>
  <si>
    <t>14020040</t>
  </si>
  <si>
    <t>電信工程設施之架設人員</t>
  </si>
  <si>
    <t>14020041</t>
  </si>
  <si>
    <t>電力工程設施之架設人員</t>
  </si>
  <si>
    <t>14020050</t>
  </si>
  <si>
    <t>電力高壓電工程設施人員</t>
  </si>
  <si>
    <t>14020060</t>
  </si>
  <si>
    <t>電臺天線維護人員</t>
  </si>
  <si>
    <t>14020080</t>
  </si>
  <si>
    <t>核能電廠行政人員</t>
  </si>
  <si>
    <t>核電廠工作人員</t>
  </si>
  <si>
    <t>14020090</t>
  </si>
  <si>
    <t>14020100</t>
  </si>
  <si>
    <t>水力、火力發電廠工作人員</t>
  </si>
  <si>
    <t>14020110</t>
  </si>
  <si>
    <t>核廢料處理人員</t>
  </si>
  <si>
    <t>14020120</t>
  </si>
  <si>
    <t>14030010</t>
  </si>
  <si>
    <t>1403</t>
  </si>
  <si>
    <t>自來水水利</t>
  </si>
  <si>
    <t>14030020</t>
  </si>
  <si>
    <t>水壩、水庫管理人員</t>
  </si>
  <si>
    <t>14030030</t>
  </si>
  <si>
    <t>水利工程設施人員</t>
  </si>
  <si>
    <t>14030040</t>
  </si>
  <si>
    <t>自來水管裝修人員</t>
  </si>
  <si>
    <t>14030050</t>
  </si>
  <si>
    <t>14030060</t>
  </si>
  <si>
    <t>14030070</t>
  </si>
  <si>
    <t>14040010</t>
  </si>
  <si>
    <t>1404</t>
  </si>
  <si>
    <t>瓦斯</t>
  </si>
  <si>
    <t>14040020</t>
  </si>
  <si>
    <t>管線裝修工</t>
  </si>
  <si>
    <t>14040030</t>
  </si>
  <si>
    <t>收費員、抄錶員</t>
  </si>
  <si>
    <t>14040040</t>
  </si>
  <si>
    <t>14040050</t>
  </si>
  <si>
    <t>瓦斯器具製造工</t>
  </si>
  <si>
    <t>14050010</t>
  </si>
  <si>
    <t>探測員</t>
  </si>
  <si>
    <t>1405</t>
  </si>
  <si>
    <t>環境保護</t>
  </si>
  <si>
    <t>14050020</t>
  </si>
  <si>
    <t>14050030</t>
  </si>
  <si>
    <t>一般工廠環保人員</t>
  </si>
  <si>
    <t>14050040</t>
  </si>
  <si>
    <t>道路清潔工</t>
  </si>
  <si>
    <t>14050050</t>
  </si>
  <si>
    <t>環保稽核巡查人員、垃圾車駕駛及清潔隊員</t>
  </si>
  <si>
    <t>14050060</t>
  </si>
  <si>
    <t>捕狗大隊</t>
  </si>
  <si>
    <t>14050070</t>
  </si>
  <si>
    <t>化學工程環保人員</t>
  </si>
  <si>
    <t>14050080</t>
  </si>
  <si>
    <t>下水道清潔工</t>
  </si>
  <si>
    <t>14050090</t>
  </si>
  <si>
    <t>儲油槽、儲氣槽清理人員</t>
  </si>
  <si>
    <t>14050100</t>
  </si>
  <si>
    <t>海上油污處理人員</t>
  </si>
  <si>
    <t>14050110</t>
  </si>
  <si>
    <t>資源回收站分類人員</t>
  </si>
  <si>
    <t>14050120</t>
  </si>
  <si>
    <t>環境噴灑工人</t>
  </si>
  <si>
    <t>14050130</t>
  </si>
  <si>
    <t>工廠廢棄物清潔人員</t>
  </si>
  <si>
    <t>14050140</t>
  </si>
  <si>
    <t>污水處理(化糞池/水塔清潔人員)</t>
  </si>
  <si>
    <t>14050150</t>
  </si>
  <si>
    <t>垃圾焚化爐處理人員</t>
  </si>
  <si>
    <t>14050160</t>
  </si>
  <si>
    <t>廢五金處理人員</t>
  </si>
  <si>
    <t>14060010</t>
  </si>
  <si>
    <t>廠區行政人員</t>
  </si>
  <si>
    <t>1406</t>
  </si>
  <si>
    <t>石化工業</t>
  </si>
  <si>
    <t>14060020</t>
  </si>
  <si>
    <t>14060030</t>
  </si>
  <si>
    <t>14060040</t>
  </si>
  <si>
    <t>煉油廠技術工人</t>
  </si>
  <si>
    <t>14060050</t>
  </si>
  <si>
    <t>煉油廠加油工作人員</t>
  </si>
  <si>
    <t>14060060</t>
  </si>
  <si>
    <t>煉油廠管線維修</t>
  </si>
  <si>
    <t>14060070</t>
  </si>
  <si>
    <t>加油站管線維修</t>
  </si>
  <si>
    <t>15000010</t>
  </si>
  <si>
    <t>廚具商(不含安裝)</t>
  </si>
  <si>
    <t>15</t>
  </si>
  <si>
    <t>一般商業</t>
  </si>
  <si>
    <t>1500</t>
  </si>
  <si>
    <t>買賣</t>
  </si>
  <si>
    <t>15000020</t>
  </si>
  <si>
    <t>陶瓷器商</t>
  </si>
  <si>
    <t>15000030</t>
  </si>
  <si>
    <t>古董商</t>
  </si>
  <si>
    <t>15000040</t>
  </si>
  <si>
    <t>花卉商</t>
  </si>
  <si>
    <t>15000050</t>
  </si>
  <si>
    <t>米商(不參與碾米作業)</t>
  </si>
  <si>
    <t>15000060</t>
  </si>
  <si>
    <t>雜貨商</t>
  </si>
  <si>
    <t>15000070</t>
  </si>
  <si>
    <t>玻璃商</t>
  </si>
  <si>
    <t>15000080</t>
  </si>
  <si>
    <t>果菜商(固定攤販)</t>
  </si>
  <si>
    <t>15000090</t>
  </si>
  <si>
    <t>石材商</t>
  </si>
  <si>
    <t>15000100</t>
  </si>
  <si>
    <t>建材商</t>
  </si>
  <si>
    <t>15000110</t>
  </si>
  <si>
    <t>鐵材商</t>
  </si>
  <si>
    <t>15000120</t>
  </si>
  <si>
    <t>木材商</t>
  </si>
  <si>
    <t>15000130</t>
  </si>
  <si>
    <t>五金商</t>
  </si>
  <si>
    <t>15000140</t>
  </si>
  <si>
    <t>電器商(不含安裝)</t>
  </si>
  <si>
    <t>15000150</t>
  </si>
  <si>
    <t>水電衛生器材商(不含安裝)</t>
  </si>
  <si>
    <t>15000160</t>
  </si>
  <si>
    <t>傢俱、寢具商(不含安裝)</t>
  </si>
  <si>
    <t>15000170</t>
  </si>
  <si>
    <t>自行車買賣商(不含修理)</t>
  </si>
  <si>
    <t>15000180</t>
  </si>
  <si>
    <t>機車買賣商(不含修理)</t>
  </si>
  <si>
    <t>15000190</t>
  </si>
  <si>
    <t>汽車買賣商(不含修理)</t>
  </si>
  <si>
    <t>15000200</t>
  </si>
  <si>
    <t>15000210</t>
  </si>
  <si>
    <t>礦物油買賣商</t>
  </si>
  <si>
    <t>15000220</t>
  </si>
  <si>
    <t>眼鏡商、驗光師</t>
  </si>
  <si>
    <t>15000230</t>
  </si>
  <si>
    <t>食品飲料商</t>
  </si>
  <si>
    <t>15000240</t>
  </si>
  <si>
    <t>文具商、禮品買賣商</t>
  </si>
  <si>
    <t>15000250</t>
  </si>
  <si>
    <t>布商</t>
  </si>
  <si>
    <t>15000260</t>
  </si>
  <si>
    <t>服飾、皮鞋、皮件買賣商</t>
  </si>
  <si>
    <t>15000270</t>
  </si>
  <si>
    <t>魚販(含流動、固定攤販)</t>
  </si>
  <si>
    <t>15000280</t>
  </si>
  <si>
    <t>肉販(含流動、固定攤販)</t>
  </si>
  <si>
    <t>15000290</t>
  </si>
  <si>
    <t>藥品買賣商</t>
  </si>
  <si>
    <t>15000300</t>
  </si>
  <si>
    <t>化學原料商、肥料買賣商</t>
  </si>
  <si>
    <t>15000310</t>
  </si>
  <si>
    <t>醫療機械儀器商</t>
  </si>
  <si>
    <t>15000320</t>
  </si>
  <si>
    <t>手工藝品買賣商</t>
  </si>
  <si>
    <t>15000330</t>
  </si>
  <si>
    <t>瓦斯器具商：負責人</t>
  </si>
  <si>
    <t>15000340</t>
  </si>
  <si>
    <t>瓦斯器具商：店員</t>
  </si>
  <si>
    <t>15000350</t>
  </si>
  <si>
    <t>瓦斯器具商：送貨員</t>
  </si>
  <si>
    <t>15000360</t>
  </si>
  <si>
    <t>瓦斯器具商：裝設工</t>
  </si>
  <si>
    <t>15000370</t>
  </si>
  <si>
    <t>液化瓦斯零售商：負責人</t>
  </si>
  <si>
    <t>15000380</t>
  </si>
  <si>
    <t>液化瓦斯零售商：店員</t>
  </si>
  <si>
    <t>15000390</t>
  </si>
  <si>
    <t>液化瓦斯零售商：送貨員</t>
  </si>
  <si>
    <t>15000400</t>
  </si>
  <si>
    <t>液化瓦斯零售商：瓦斯分裝工</t>
  </si>
  <si>
    <t>15000410</t>
  </si>
  <si>
    <t>液化瓦斯零售商：舊貨收購人員</t>
  </si>
  <si>
    <t>15000420</t>
  </si>
  <si>
    <t>液化瓦斯零售商：超市、便利商店店員</t>
  </si>
  <si>
    <t>15000430</t>
  </si>
  <si>
    <t>液化瓦斯零售商：銀樓商</t>
  </si>
  <si>
    <t>15000440</t>
  </si>
  <si>
    <t>液化瓦斯零售商：珠寶買賣(不參與加工作業)、珠寶公司內勤人員</t>
  </si>
  <si>
    <t>15000450</t>
  </si>
  <si>
    <t>液化瓦斯零售商：當鋪商</t>
  </si>
  <si>
    <t>15000460</t>
  </si>
  <si>
    <t>15000470</t>
  </si>
  <si>
    <t>15000480</t>
  </si>
  <si>
    <t>液化瓦斯零售商：一般流動、固定攤販</t>
  </si>
  <si>
    <t>15000490</t>
  </si>
  <si>
    <t>液化瓦斯零售商：廢五金買賣商</t>
  </si>
  <si>
    <t>15000500</t>
  </si>
  <si>
    <t>液化瓦斯零售商：碾米商</t>
  </si>
  <si>
    <t>16010010</t>
  </si>
  <si>
    <t>16</t>
  </si>
  <si>
    <t>服務業</t>
  </si>
  <si>
    <t>1601</t>
  </si>
  <si>
    <t>銀行、保險、信託、租貸</t>
  </si>
  <si>
    <t>16010020</t>
  </si>
  <si>
    <t>16010030</t>
  </si>
  <si>
    <t>收費員</t>
  </si>
  <si>
    <t>16010040</t>
  </si>
  <si>
    <t>調查徵信人員</t>
  </si>
  <si>
    <t>16010050</t>
  </si>
  <si>
    <t>現金運送員、司機</t>
  </si>
  <si>
    <t>16020010</t>
  </si>
  <si>
    <t>律師</t>
  </si>
  <si>
    <t>1602</t>
  </si>
  <si>
    <t>自由業</t>
  </si>
  <si>
    <t>16020020</t>
  </si>
  <si>
    <t>會計師</t>
  </si>
  <si>
    <t>16020030</t>
  </si>
  <si>
    <t>16020040</t>
  </si>
  <si>
    <t>16020050</t>
  </si>
  <si>
    <t>16020060</t>
  </si>
  <si>
    <t>房屋土地仲介</t>
  </si>
  <si>
    <t>16030010</t>
  </si>
  <si>
    <t>公證行外務員</t>
  </si>
  <si>
    <t>1603</t>
  </si>
  <si>
    <t>16030020</t>
  </si>
  <si>
    <t>報關行外務員</t>
  </si>
  <si>
    <t>16030030</t>
  </si>
  <si>
    <t>理髮師、造型師</t>
  </si>
  <si>
    <t>16030040</t>
  </si>
  <si>
    <t>美容師</t>
  </si>
  <si>
    <t>16030041</t>
  </si>
  <si>
    <t>寵物美容師</t>
  </si>
  <si>
    <t>16030050</t>
  </si>
  <si>
    <t>鐘錶匠</t>
  </si>
  <si>
    <t>16030060</t>
  </si>
  <si>
    <t>鞋匠、雨傘匠、磨刀匠</t>
  </si>
  <si>
    <t>16030070</t>
  </si>
  <si>
    <t>洗衣店工人</t>
  </si>
  <si>
    <t>16030090</t>
  </si>
  <si>
    <t>16030091</t>
  </si>
  <si>
    <t>16030100</t>
  </si>
  <si>
    <t>大樓管理員</t>
  </si>
  <si>
    <t>16030110</t>
  </si>
  <si>
    <t>攝影師</t>
  </si>
  <si>
    <t>16030140</t>
  </si>
  <si>
    <t>清潔、打蠟、消毒、除蟲工人</t>
  </si>
  <si>
    <t>16030150</t>
  </si>
  <si>
    <t>高樓外部清潔工</t>
  </si>
  <si>
    <t>16030160</t>
  </si>
  <si>
    <t>車輛保管人員</t>
  </si>
  <si>
    <t>16030170</t>
  </si>
  <si>
    <t>加油(氣)站工作人員</t>
  </si>
  <si>
    <t>16030180</t>
  </si>
  <si>
    <t>地磅工作人員</t>
  </si>
  <si>
    <t>16030190</t>
  </si>
  <si>
    <t>煙囪清潔工</t>
  </si>
  <si>
    <t>16030200</t>
  </si>
  <si>
    <t>三溫暖業負責人</t>
  </si>
  <si>
    <t>16030210</t>
  </si>
  <si>
    <t>三溫暖業櫃臺人員</t>
  </si>
  <si>
    <t>16030220</t>
  </si>
  <si>
    <t>三溫暖業工作人員</t>
  </si>
  <si>
    <t>16030230</t>
  </si>
  <si>
    <t>鎖匠、刻印章人員</t>
  </si>
  <si>
    <t>16030240</t>
  </si>
  <si>
    <t>汽車洗車、打臘美容工人</t>
  </si>
  <si>
    <t>16030250</t>
  </si>
  <si>
    <t>裁縫師</t>
  </si>
  <si>
    <t>16030260</t>
  </si>
  <si>
    <t>水塔、化糞池清理人員</t>
  </si>
  <si>
    <t>16030280</t>
  </si>
  <si>
    <t>搬家工人</t>
  </si>
  <si>
    <t>16030290</t>
  </si>
  <si>
    <t>職業潛水夫</t>
  </si>
  <si>
    <t>16030300</t>
  </si>
  <si>
    <t>保全設備裝設人員</t>
  </si>
  <si>
    <t>16030310</t>
  </si>
  <si>
    <t>火災現場勘查人員</t>
  </si>
  <si>
    <t>16030320</t>
  </si>
  <si>
    <t>徵信社外勤人員</t>
  </si>
  <si>
    <t>16030330</t>
  </si>
  <si>
    <t>水電工人</t>
  </si>
  <si>
    <t>16030340</t>
  </si>
  <si>
    <t>紋身藝術人員</t>
  </si>
  <si>
    <t>16030350</t>
  </si>
  <si>
    <t>民意代表、監立委、省縣市議員</t>
  </si>
  <si>
    <t>16030360</t>
  </si>
  <si>
    <t>村里幹事</t>
  </si>
  <si>
    <t>錄影帶/光碟片出租店負責人、店員</t>
  </si>
  <si>
    <t>16040010</t>
  </si>
  <si>
    <t>葬儀社負責人</t>
  </si>
  <si>
    <t>1604</t>
  </si>
  <si>
    <t>殯葬業</t>
  </si>
  <si>
    <t>16040020</t>
  </si>
  <si>
    <t>16040030</t>
  </si>
  <si>
    <t>司儀</t>
  </si>
  <si>
    <t>16040040</t>
  </si>
  <si>
    <t>16040050</t>
  </si>
  <si>
    <t>外務員、生前契約傳銷人員</t>
  </si>
  <si>
    <t>16040060</t>
  </si>
  <si>
    <t>殯儀館管理人員</t>
  </si>
  <si>
    <t>16040070</t>
  </si>
  <si>
    <t>陣頭、樂隊人員</t>
  </si>
  <si>
    <t>16040080</t>
  </si>
  <si>
    <t>16040090</t>
  </si>
  <si>
    <t>禮堂佈置人員</t>
  </si>
  <si>
    <t>16040100</t>
  </si>
  <si>
    <t>火葬場處理人員</t>
  </si>
  <si>
    <t>16040110</t>
  </si>
  <si>
    <t>墓地建造工人</t>
  </si>
  <si>
    <t>16040120</t>
  </si>
  <si>
    <t>檢骨師</t>
  </si>
  <si>
    <t>17000010</t>
  </si>
  <si>
    <t>家庭主婦</t>
  </si>
  <si>
    <t>17</t>
  </si>
  <si>
    <t>家庭管理</t>
  </si>
  <si>
    <t>1700</t>
  </si>
  <si>
    <t>17000020</t>
  </si>
  <si>
    <t>佣人</t>
  </si>
  <si>
    <t>17000030</t>
  </si>
  <si>
    <t>褓姆</t>
  </si>
  <si>
    <t>17000040</t>
  </si>
  <si>
    <t>退休人員</t>
  </si>
  <si>
    <t>17000050</t>
  </si>
  <si>
    <t>無業、待業</t>
  </si>
  <si>
    <t>18010010</t>
  </si>
  <si>
    <t>警務行政及內勤人員</t>
  </si>
  <si>
    <t>18</t>
  </si>
  <si>
    <t>治安人員</t>
  </si>
  <si>
    <t>1801</t>
  </si>
  <si>
    <t>18010020</t>
  </si>
  <si>
    <t>18010030</t>
  </si>
  <si>
    <t>監獄看守所管理人員</t>
  </si>
  <si>
    <t>18010040</t>
  </si>
  <si>
    <t>交通警察</t>
  </si>
  <si>
    <t>18010050</t>
  </si>
  <si>
    <t>刑警</t>
  </si>
  <si>
    <t>18010060</t>
  </si>
  <si>
    <t>消防隊隊員</t>
  </si>
  <si>
    <t>18010061</t>
  </si>
  <si>
    <t>義消</t>
  </si>
  <si>
    <t>18010070</t>
  </si>
  <si>
    <t>保安警察</t>
  </si>
  <si>
    <t>18010080</t>
  </si>
  <si>
    <t>警察大學、警察專科學生</t>
  </si>
  <si>
    <t>18010090</t>
  </si>
  <si>
    <t>警校教官</t>
  </si>
  <si>
    <t>18010100</t>
  </si>
  <si>
    <t>防爆小組</t>
  </si>
  <si>
    <t>18010110</t>
  </si>
  <si>
    <t>空中警察</t>
  </si>
  <si>
    <t>18010120</t>
  </si>
  <si>
    <t>義警</t>
  </si>
  <si>
    <t>18010130</t>
  </si>
  <si>
    <t>義交</t>
  </si>
  <si>
    <t>18010140</t>
  </si>
  <si>
    <t>法警</t>
  </si>
  <si>
    <t>18010150</t>
  </si>
  <si>
    <t>警務特勤人員(維安小組、霹靂小組)</t>
  </si>
  <si>
    <t>18010160</t>
  </si>
  <si>
    <t>守望相助人員</t>
  </si>
  <si>
    <t>18020010</t>
  </si>
  <si>
    <t>空巡人員</t>
  </si>
  <si>
    <t>1802</t>
  </si>
  <si>
    <t>海巡署</t>
  </si>
  <si>
    <t>18020020</t>
  </si>
  <si>
    <t>岸巡人員</t>
  </si>
  <si>
    <t>18020030</t>
  </si>
  <si>
    <t>海巡人員</t>
  </si>
  <si>
    <t>18030010</t>
  </si>
  <si>
    <t>法官、書記官、檢察官</t>
  </si>
  <si>
    <t>1803</t>
  </si>
  <si>
    <t>法務人員</t>
  </si>
  <si>
    <t>18030020</t>
  </si>
  <si>
    <t>觀護人</t>
  </si>
  <si>
    <t>19000010</t>
  </si>
  <si>
    <t>一般軍人</t>
  </si>
  <si>
    <t>19</t>
  </si>
  <si>
    <t>軍人</t>
  </si>
  <si>
    <t>1900</t>
  </si>
  <si>
    <t>現役軍人</t>
  </si>
  <si>
    <t>19000020</t>
  </si>
  <si>
    <t>19000030</t>
  </si>
  <si>
    <t>19000040</t>
  </si>
  <si>
    <t>憲兵</t>
  </si>
  <si>
    <t>19000050</t>
  </si>
  <si>
    <t>軍醫院官兵</t>
  </si>
  <si>
    <t>19000060</t>
  </si>
  <si>
    <t>軍校教官</t>
  </si>
  <si>
    <t>19000070</t>
  </si>
  <si>
    <t>軍校學生</t>
  </si>
  <si>
    <t>19000080</t>
  </si>
  <si>
    <t>機械、車輛、飛機、修護人員</t>
  </si>
  <si>
    <t>19000090</t>
  </si>
  <si>
    <t>艦艇及潛艦官兵</t>
  </si>
  <si>
    <t>19000100</t>
  </si>
  <si>
    <t>武器或彈藥製造人員</t>
  </si>
  <si>
    <t>19000110</t>
  </si>
  <si>
    <t>軍機駕駛及機上工作人員</t>
  </si>
  <si>
    <t>20000010</t>
  </si>
  <si>
    <t>維護工程師</t>
  </si>
  <si>
    <t>20</t>
  </si>
  <si>
    <t>資訊業</t>
  </si>
  <si>
    <t>2000</t>
  </si>
  <si>
    <t>20000020</t>
  </si>
  <si>
    <t>系統工程師</t>
  </si>
  <si>
    <t>20000030</t>
  </si>
  <si>
    <t>20000031</t>
  </si>
  <si>
    <t>20000040</t>
  </si>
  <si>
    <t>電腦程式設計師</t>
  </si>
  <si>
    <t>20000050</t>
  </si>
  <si>
    <t>通信器材買賣商、店員</t>
  </si>
  <si>
    <t>20000060</t>
  </si>
  <si>
    <t>事務機器維修人員</t>
  </si>
  <si>
    <t>20000070</t>
  </si>
  <si>
    <t>硬體測試人員</t>
  </si>
  <si>
    <t>20000080</t>
  </si>
  <si>
    <t>室內管線安裝人員</t>
  </si>
  <si>
    <t>21010010</t>
  </si>
  <si>
    <t>21</t>
  </si>
  <si>
    <t>職業運動人員</t>
  </si>
  <si>
    <t>2101</t>
  </si>
  <si>
    <t>高爾夫球</t>
  </si>
  <si>
    <t>21010020</t>
  </si>
  <si>
    <t>21010030</t>
  </si>
  <si>
    <t>21020010</t>
  </si>
  <si>
    <t>2102</t>
  </si>
  <si>
    <t>保齡球</t>
  </si>
  <si>
    <t>21020020</t>
  </si>
  <si>
    <t>21030010</t>
  </si>
  <si>
    <t>2103</t>
  </si>
  <si>
    <t>桌球</t>
  </si>
  <si>
    <t>21030020</t>
  </si>
  <si>
    <t>21040010</t>
  </si>
  <si>
    <t>2104</t>
  </si>
  <si>
    <t>羽球</t>
  </si>
  <si>
    <t>21040020</t>
  </si>
  <si>
    <t>21050010</t>
  </si>
  <si>
    <t>2105</t>
  </si>
  <si>
    <t>游泳</t>
  </si>
  <si>
    <t>21050020</t>
  </si>
  <si>
    <t>21060010</t>
  </si>
  <si>
    <t>2106</t>
  </si>
  <si>
    <t>射箭</t>
  </si>
  <si>
    <t>21060020</t>
  </si>
  <si>
    <t>21070010</t>
  </si>
  <si>
    <t>2107</t>
  </si>
  <si>
    <t>網球</t>
  </si>
  <si>
    <t>21070020</t>
  </si>
  <si>
    <t>21080010</t>
  </si>
  <si>
    <t>2108</t>
  </si>
  <si>
    <t>壘球</t>
  </si>
  <si>
    <t>21080020</t>
  </si>
  <si>
    <t>21090010</t>
  </si>
  <si>
    <t>2109</t>
  </si>
  <si>
    <t>溜冰</t>
  </si>
  <si>
    <t>21090020</t>
  </si>
  <si>
    <t>21100010</t>
  </si>
  <si>
    <t>2110</t>
  </si>
  <si>
    <t>射擊</t>
  </si>
  <si>
    <t>21100020</t>
  </si>
  <si>
    <t>21110010</t>
  </si>
  <si>
    <t>2111</t>
  </si>
  <si>
    <t>民俗體育活動</t>
  </si>
  <si>
    <t>21110020</t>
  </si>
  <si>
    <t>21120010</t>
  </si>
  <si>
    <t>2112</t>
  </si>
  <si>
    <t>舉重</t>
  </si>
  <si>
    <t>21120020</t>
  </si>
  <si>
    <t>21130010</t>
  </si>
  <si>
    <t>2113</t>
  </si>
  <si>
    <t>籃球</t>
  </si>
  <si>
    <t>21130020</t>
  </si>
  <si>
    <t>21140010</t>
  </si>
  <si>
    <t>2114</t>
  </si>
  <si>
    <t>排球</t>
  </si>
  <si>
    <t>21140020</t>
  </si>
  <si>
    <t>21150010</t>
  </si>
  <si>
    <t>2115</t>
  </si>
  <si>
    <t>棒球</t>
  </si>
  <si>
    <t>21150020</t>
  </si>
  <si>
    <t>21160010</t>
  </si>
  <si>
    <t>2116</t>
  </si>
  <si>
    <t>田徑</t>
  </si>
  <si>
    <t>21160020</t>
  </si>
  <si>
    <t>21170010</t>
  </si>
  <si>
    <t>2117</t>
  </si>
  <si>
    <t>體操</t>
  </si>
  <si>
    <t>21170020</t>
  </si>
  <si>
    <t>21180010</t>
  </si>
  <si>
    <t>2118</t>
  </si>
  <si>
    <t>滑草</t>
  </si>
  <si>
    <t>21180020</t>
  </si>
  <si>
    <t>21190010</t>
  </si>
  <si>
    <t>2119</t>
  </si>
  <si>
    <t>帆船</t>
  </si>
  <si>
    <t>21190020</t>
  </si>
  <si>
    <t>21200010</t>
  </si>
  <si>
    <t>2120</t>
  </si>
  <si>
    <t>划船</t>
  </si>
  <si>
    <t>21200020</t>
  </si>
  <si>
    <t>21210010</t>
  </si>
  <si>
    <t>2121</t>
  </si>
  <si>
    <t>泛舟</t>
  </si>
  <si>
    <t>21210020</t>
  </si>
  <si>
    <t>21220010</t>
  </si>
  <si>
    <t>2122</t>
  </si>
  <si>
    <t>巧固球</t>
  </si>
  <si>
    <t>21220020</t>
  </si>
  <si>
    <t>21230010</t>
  </si>
  <si>
    <t>2123</t>
  </si>
  <si>
    <t>手球</t>
  </si>
  <si>
    <t>21230020</t>
  </si>
  <si>
    <t>21240010</t>
  </si>
  <si>
    <t>2124</t>
  </si>
  <si>
    <t>風浪板</t>
  </si>
  <si>
    <t>21240020</t>
  </si>
  <si>
    <t>21250010</t>
  </si>
  <si>
    <t>2125</t>
  </si>
  <si>
    <t>水上摩托車</t>
  </si>
  <si>
    <t>21250020</t>
  </si>
  <si>
    <t>21260010</t>
  </si>
  <si>
    <t>2126</t>
  </si>
  <si>
    <t>足球</t>
  </si>
  <si>
    <t>21260020</t>
  </si>
  <si>
    <t>21270010</t>
  </si>
  <si>
    <t>2127</t>
  </si>
  <si>
    <t>曲棍球</t>
  </si>
  <si>
    <t>21270020</t>
  </si>
  <si>
    <t>21280010</t>
  </si>
  <si>
    <t>2128</t>
  </si>
  <si>
    <t>冰上曲棍球</t>
  </si>
  <si>
    <t>21280020</t>
  </si>
  <si>
    <t>21290010</t>
  </si>
  <si>
    <t>2129</t>
  </si>
  <si>
    <t>橄欖球</t>
  </si>
  <si>
    <t>21290020</t>
  </si>
  <si>
    <t>橄欖球球員</t>
  </si>
  <si>
    <t>21300010</t>
  </si>
  <si>
    <t>2130</t>
  </si>
  <si>
    <t>自由車</t>
  </si>
  <si>
    <t>21300020</t>
  </si>
  <si>
    <t>21310010</t>
  </si>
  <si>
    <t>2131</t>
  </si>
  <si>
    <t>角力</t>
  </si>
  <si>
    <t>21310020</t>
  </si>
  <si>
    <t>21320010</t>
  </si>
  <si>
    <t>2132</t>
  </si>
  <si>
    <t>摔角</t>
  </si>
  <si>
    <t>21320020</t>
  </si>
  <si>
    <t>21330010</t>
  </si>
  <si>
    <t>2133</t>
  </si>
  <si>
    <t>柔道</t>
  </si>
  <si>
    <t>21330020</t>
  </si>
  <si>
    <t>21340010</t>
  </si>
  <si>
    <t>2134</t>
  </si>
  <si>
    <t>空手道</t>
  </si>
  <si>
    <t>21340020</t>
  </si>
  <si>
    <t>21350010</t>
  </si>
  <si>
    <t>2135</t>
  </si>
  <si>
    <t>跆拳道</t>
  </si>
  <si>
    <t>21350020</t>
  </si>
  <si>
    <t>21360010</t>
  </si>
  <si>
    <t>2136</t>
  </si>
  <si>
    <t>國術</t>
  </si>
  <si>
    <t>21360020</t>
  </si>
  <si>
    <t>21370010</t>
  </si>
  <si>
    <t>2137</t>
  </si>
  <si>
    <t>拳擊</t>
  </si>
  <si>
    <t>21370020</t>
  </si>
  <si>
    <t>21380010</t>
  </si>
  <si>
    <t>2138</t>
  </si>
  <si>
    <t>潛水</t>
  </si>
  <si>
    <t>21380020</t>
  </si>
  <si>
    <t>21390010</t>
  </si>
  <si>
    <t>2139</t>
  </si>
  <si>
    <t>滑水</t>
  </si>
  <si>
    <t>21390020</t>
  </si>
  <si>
    <t>21400010</t>
  </si>
  <si>
    <t>2140</t>
  </si>
  <si>
    <t>滑雪</t>
  </si>
  <si>
    <t>21400020</t>
  </si>
  <si>
    <t>21410010</t>
  </si>
  <si>
    <t>2141</t>
  </si>
  <si>
    <t>馬術</t>
  </si>
  <si>
    <t>21410020</t>
  </si>
  <si>
    <t>21420010</t>
  </si>
  <si>
    <t>2142</t>
  </si>
  <si>
    <t>特技表演</t>
  </si>
  <si>
    <t>21420020</t>
  </si>
  <si>
    <t>21430010</t>
  </si>
  <si>
    <t>2143</t>
  </si>
  <si>
    <t>雪車</t>
  </si>
  <si>
    <t>21430020</t>
  </si>
  <si>
    <t>與賽人員</t>
  </si>
  <si>
    <t>21440010</t>
  </si>
  <si>
    <t>2144</t>
  </si>
  <si>
    <t>滑翔機具</t>
  </si>
  <si>
    <t>21440020</t>
  </si>
  <si>
    <t>駕駛人員</t>
  </si>
  <si>
    <t>21450010</t>
  </si>
  <si>
    <t>2145</t>
  </si>
  <si>
    <t>汽車、機車賽車</t>
  </si>
  <si>
    <t>21450020</t>
  </si>
  <si>
    <t>賽車人員</t>
  </si>
  <si>
    <t>21460010</t>
  </si>
  <si>
    <t>2146</t>
  </si>
  <si>
    <t>跳傘</t>
  </si>
  <si>
    <t>21460020</t>
  </si>
  <si>
    <t>跳傘人員</t>
  </si>
  <si>
    <t>21470010</t>
  </si>
  <si>
    <t>2147</t>
  </si>
  <si>
    <t>動力及無動力飛行載具</t>
  </si>
  <si>
    <t>21470020</t>
  </si>
  <si>
    <t>21480010</t>
  </si>
  <si>
    <t>2148</t>
  </si>
  <si>
    <t>撞球</t>
  </si>
  <si>
    <t>21480020</t>
  </si>
  <si>
    <t>21490010</t>
  </si>
  <si>
    <t>2149</t>
  </si>
  <si>
    <t>迴力球(壁球)</t>
  </si>
  <si>
    <t>21490020</t>
  </si>
  <si>
    <t>21500010</t>
  </si>
  <si>
    <t>2150</t>
  </si>
  <si>
    <t>滑板直排輪</t>
  </si>
  <si>
    <t>21500020</t>
  </si>
  <si>
    <t>21510010</t>
  </si>
  <si>
    <t>2151</t>
  </si>
  <si>
    <t>鐵人三項</t>
  </si>
  <si>
    <t>21510020</t>
  </si>
  <si>
    <t>21520010</t>
  </si>
  <si>
    <t>2152</t>
  </si>
  <si>
    <t>相撲</t>
  </si>
  <si>
    <t>21520020</t>
  </si>
  <si>
    <t>21530010</t>
  </si>
  <si>
    <t>2153</t>
  </si>
  <si>
    <t>合氣道</t>
  </si>
  <si>
    <t>21530020</t>
  </si>
  <si>
    <t>合氣道選手</t>
  </si>
  <si>
    <t>21540010</t>
  </si>
  <si>
    <t>2154</t>
  </si>
  <si>
    <t>衝浪</t>
  </si>
  <si>
    <t>21540020</t>
  </si>
  <si>
    <t>衝浪選手</t>
  </si>
  <si>
    <t>21550010</t>
  </si>
  <si>
    <t>2155</t>
  </si>
  <si>
    <t>跳水</t>
  </si>
  <si>
    <t>21550020</t>
  </si>
  <si>
    <t>跳水選手</t>
  </si>
  <si>
    <t>21560010</t>
  </si>
  <si>
    <t>2156</t>
  </si>
  <si>
    <t>高空彈跳</t>
  </si>
  <si>
    <t>21560020</t>
  </si>
  <si>
    <t>選手</t>
  </si>
  <si>
    <t>21570010</t>
  </si>
  <si>
    <t>2157</t>
  </si>
  <si>
    <t>攀岩</t>
  </si>
  <si>
    <t>21570020</t>
  </si>
  <si>
    <t>21580010</t>
  </si>
  <si>
    <t>2158</t>
  </si>
  <si>
    <t>馬球</t>
  </si>
  <si>
    <t>21580020</t>
  </si>
  <si>
    <t>21590010</t>
  </si>
  <si>
    <t>2159</t>
  </si>
  <si>
    <t>劍道</t>
  </si>
  <si>
    <t>21590020</t>
  </si>
  <si>
    <t>21600010</t>
  </si>
  <si>
    <t>2160</t>
  </si>
  <si>
    <t>西洋劍</t>
  </si>
  <si>
    <t>21600020</t>
  </si>
  <si>
    <t>21610010</t>
  </si>
  <si>
    <t>2161</t>
  </si>
  <si>
    <t>槌球</t>
  </si>
  <si>
    <t>21610020</t>
  </si>
  <si>
    <t>getdate()</t>
    <phoneticPr fontId="3" type="noConversion"/>
  </si>
  <si>
    <t>07030080</t>
    <phoneticPr fontId="3" type="noConversion"/>
  </si>
  <si>
    <t>PPL.000.019</t>
    <phoneticPr fontId="3" type="noConversion"/>
  </si>
  <si>
    <t>TXT</t>
    <phoneticPr fontId="3" type="noConversion"/>
  </si>
  <si>
    <t>BenefitAIRate</t>
    <phoneticPr fontId="3" type="noConversion"/>
  </si>
  <si>
    <t>Y</t>
    <phoneticPr fontId="3" type="noConversion"/>
  </si>
  <si>
    <t>BenefitAIRate</t>
    <phoneticPr fontId="3" type="noConversion"/>
  </si>
  <si>
    <t>指定保險金預定利率</t>
    <phoneticPr fontId="3" type="noConversion"/>
  </si>
  <si>
    <t>AnnuityBasicPremStartYear</t>
    <phoneticPr fontId="3" type="noConversion"/>
  </si>
  <si>
    <t>AnnuityBasicPremEndYear</t>
    <phoneticPr fontId="3" type="noConversion"/>
  </si>
  <si>
    <t>年金增額保費繳費起年</t>
    <phoneticPr fontId="3" type="noConversion"/>
  </si>
  <si>
    <t>年金基本保費繳費起年</t>
    <phoneticPr fontId="3" type="noConversion"/>
  </si>
  <si>
    <t>年金基本保費繳費訖年</t>
    <phoneticPr fontId="3" type="noConversion"/>
  </si>
  <si>
    <t>AnnuityBasicPrem</t>
    <phoneticPr fontId="3" type="noConversion"/>
  </si>
  <si>
    <t>年金基本保費(元)</t>
    <phoneticPr fontId="3" type="noConversion"/>
  </si>
  <si>
    <t>AnnuityBasicPremStartYear</t>
    <phoneticPr fontId="3" type="noConversion"/>
  </si>
  <si>
    <t>AnnuityBasicPremEndYear</t>
    <phoneticPr fontId="3" type="noConversion"/>
  </si>
  <si>
    <t>Alvin</t>
    <phoneticPr fontId="3" type="noConversion"/>
  </si>
  <si>
    <t>高齡錄音</t>
    <phoneticPr fontId="3" type="noConversion"/>
  </si>
  <si>
    <t>AgedRecord</t>
    <phoneticPr fontId="3" type="noConversion"/>
  </si>
  <si>
    <t>JR</t>
    <phoneticPr fontId="3" type="noConversion"/>
  </si>
  <si>
    <t>NR</t>
    <phoneticPr fontId="3" type="noConversion"/>
  </si>
  <si>
    <t>使用者業務員資訊檔</t>
    <phoneticPr fontId="3" type="noConversion"/>
  </si>
  <si>
    <t>UserAgentInfo</t>
    <phoneticPr fontId="3" type="noConversion"/>
  </si>
  <si>
    <t>BigSerNo</t>
    <phoneticPr fontId="3" type="noConversion"/>
  </si>
  <si>
    <t>序號(bigint)</t>
    <phoneticPr fontId="3" type="noConversion"/>
  </si>
  <si>
    <t>DispAmtText</t>
    <phoneticPr fontId="3" type="noConversion"/>
  </si>
  <si>
    <t>IDENTITY(1,1)</t>
    <phoneticPr fontId="3" type="noConversion"/>
  </si>
  <si>
    <t>公司簡介</t>
    <phoneticPr fontId="3" type="noConversion"/>
  </si>
  <si>
    <t>EndDate</t>
  </si>
  <si>
    <t>DocType</t>
    <phoneticPr fontId="3" type="noConversion"/>
  </si>
  <si>
    <t>DocName</t>
    <phoneticPr fontId="3" type="noConversion"/>
  </si>
  <si>
    <t>FileName</t>
    <phoneticPr fontId="3" type="noConversion"/>
  </si>
  <si>
    <t>FileExtension</t>
    <phoneticPr fontId="3" type="noConversion"/>
  </si>
  <si>
    <t>特約體檢醫院一覽表</t>
    <phoneticPr fontId="3" type="noConversion"/>
  </si>
  <si>
    <t>公版由商開設定，次通路依據商開設定的再另外調整。</t>
    <phoneticPr fontId="3" type="noConversion"/>
  </si>
  <si>
    <t>dbo</t>
    <phoneticPr fontId="3" type="noConversion"/>
  </si>
  <si>
    <t>行動投保介接</t>
    <phoneticPr fontId="3" type="noConversion"/>
  </si>
  <si>
    <t>通路服務平台介接</t>
    <phoneticPr fontId="3" type="noConversion"/>
  </si>
  <si>
    <r>
      <t xml:space="preserve">(1).傳統型商品數量可無上限。
(2).同險種不同年期可互搭，同年期不可互搭。
</t>
    </r>
    <r>
      <rPr>
        <sz val="10"/>
        <rFont val="微軟正黑體"/>
        <family val="2"/>
        <charset val="136"/>
      </rPr>
      <t>(3).多主約互搭設定以正向表列，有設定才可互搭。</t>
    </r>
    <phoneticPr fontId="3" type="noConversion"/>
  </si>
  <si>
    <t>一般/測試模式</t>
    <phoneticPr fontId="3" type="noConversion"/>
  </si>
  <si>
    <t>讀取建議書</t>
    <phoneticPr fontId="3" type="noConversion"/>
  </si>
  <si>
    <t>核保規則</t>
    <phoneticPr fontId="3" type="noConversion"/>
  </si>
  <si>
    <t>(3).主檔新增是否可多主約、多主約上限數兩個欄位</t>
    <phoneticPr fontId="3" type="noConversion"/>
  </si>
  <si>
    <r>
      <rPr>
        <sz val="10"/>
        <color rgb="FFFF0000"/>
        <rFont val="微軟正黑體"/>
        <family val="2"/>
        <charset val="136"/>
      </rPr>
      <t>[一般模式]</t>
    </r>
    <r>
      <rPr>
        <sz val="10"/>
        <color rgb="FF000000"/>
        <rFont val="微軟正黑體"/>
        <family val="2"/>
        <charset val="136"/>
      </rPr>
      <t xml:space="preserve">
(1).預定、宣告利率依險種設定是否可以調整。
(2).檢查預定利率&lt;=輸入值&lt;=宣告利率。
</t>
    </r>
    <r>
      <rPr>
        <sz val="10"/>
        <color rgb="FFFF0000"/>
        <rFont val="微軟正黑體"/>
        <family val="2"/>
        <charset val="136"/>
      </rPr>
      <t>[測試模式]</t>
    </r>
    <r>
      <rPr>
        <sz val="10"/>
        <color rgb="FF000000"/>
        <rFont val="微軟正黑體"/>
        <family val="2"/>
        <charset val="136"/>
      </rPr>
      <t xml:space="preserve">
(1).預定、宣告利率可自由調整，且不檢查。
(2).不進行核保檢查，可輸入鉅額保額試算，但計算過程如有錯誤則停止。</t>
    </r>
    <phoneticPr fontId="3" type="noConversion"/>
  </si>
  <si>
    <t>PLF</t>
    <phoneticPr fontId="3" type="noConversion"/>
  </si>
  <si>
    <t>IDENTITY(1,1)</t>
    <phoneticPr fontId="3" type="noConversion"/>
  </si>
  <si>
    <t>ErrorCode</t>
    <phoneticPr fontId="3" type="noConversion"/>
  </si>
  <si>
    <t>Severity</t>
    <phoneticPr fontId="3" type="noConversion"/>
  </si>
  <si>
    <t>ErrorDesc</t>
    <phoneticPr fontId="3" type="noConversion"/>
  </si>
  <si>
    <t>Language</t>
    <phoneticPr fontId="3" type="noConversion"/>
  </si>
  <si>
    <t>varchar(6)</t>
    <phoneticPr fontId="3" type="noConversion"/>
  </si>
  <si>
    <t>通路名稱</t>
    <phoneticPr fontId="3" type="noConversion"/>
  </si>
  <si>
    <t>次通路名稱</t>
    <phoneticPr fontId="3" type="noConversion"/>
  </si>
  <si>
    <t>其他相關欄位視需求</t>
    <phoneticPr fontId="3" type="noConversion"/>
  </si>
  <si>
    <t>TBIAS_PARM_TRGT_CODE</t>
    <phoneticPr fontId="3" type="noConversion"/>
  </si>
  <si>
    <t>TBIAS_PARM_GLOBLE_CODE</t>
    <phoneticPr fontId="3" type="noConversion"/>
  </si>
  <si>
    <t>BrfErrorCode</t>
    <phoneticPr fontId="3" type="noConversion"/>
  </si>
  <si>
    <t>集彙折扣查詢表</t>
    <phoneticPr fontId="3" type="noConversion"/>
  </si>
  <si>
    <t>LW</t>
    <phoneticPr fontId="3" type="noConversion"/>
  </si>
  <si>
    <t>足歲年齡</t>
    <phoneticPr fontId="3" type="noConversion"/>
  </si>
  <si>
    <t>AmtDefault</t>
    <phoneticPr fontId="3" type="noConversion"/>
  </si>
  <si>
    <t>int</t>
    <phoneticPr fontId="3" type="noConversion"/>
  </si>
  <si>
    <t>Y</t>
    <phoneticPr fontId="3" type="noConversion"/>
  </si>
  <si>
    <t>保額預設</t>
    <phoneticPr fontId="3" type="noConversion"/>
  </si>
  <si>
    <t>編輯險種保額預設</t>
    <phoneticPr fontId="3" type="noConversion"/>
  </si>
  <si>
    <t>險種主檔新增保額預設的欄位。</t>
    <phoneticPr fontId="3" type="noConversion"/>
  </si>
  <si>
    <t>PPL.000.031</t>
    <phoneticPr fontId="3" type="noConversion"/>
  </si>
  <si>
    <t>編輯險種商品類型</t>
    <phoneticPr fontId="3" type="noConversion"/>
  </si>
  <si>
    <t>幣別非台幣時，僅顯示壽險主約、壽險附約、利變年金、投資型、豁免，其他隱藏。</t>
    <phoneticPr fontId="3" type="noConversion"/>
  </si>
  <si>
    <t>第一階段增值回饋金顯示年期</t>
    <phoneticPr fontId="3" type="noConversion"/>
  </si>
  <si>
    <t>第二階段增值回饋金顯示年期</t>
    <phoneticPr fontId="3" type="noConversion"/>
  </si>
  <si>
    <t>第三階段增值回饋金顯示年期</t>
    <phoneticPr fontId="3" type="noConversion"/>
  </si>
  <si>
    <t>FstAddedBonusDispYear</t>
    <phoneticPr fontId="3" type="noConversion"/>
  </si>
  <si>
    <t>SndAddedBonusDispYear</t>
    <phoneticPr fontId="3" type="noConversion"/>
  </si>
  <si>
    <t>ThdAddedBonusDispYear</t>
    <phoneticPr fontId="3" type="noConversion"/>
  </si>
  <si>
    <t>ThdAddedBonusDispYear</t>
    <phoneticPr fontId="3" type="noConversion"/>
  </si>
  <si>
    <t>第1-5年</t>
    <phoneticPr fontId="3" type="noConversion"/>
  </si>
  <si>
    <t>第6年(含)起</t>
    <phoneticPr fontId="3" type="noConversion"/>
  </si>
  <si>
    <t>第N年(含)起</t>
    <phoneticPr fontId="3" type="noConversion"/>
  </si>
  <si>
    <t>PlanVer</t>
  </si>
  <si>
    <t>ColValue</t>
  </si>
  <si>
    <t>指定保險金給付比例</t>
    <phoneticPr fontId="3" type="noConversion"/>
  </si>
  <si>
    <t>LifeInsCommRate</t>
    <phoneticPr fontId="3" type="noConversion"/>
  </si>
  <si>
    <t>佣金率</t>
    <phoneticPr fontId="3" type="noConversion"/>
  </si>
  <si>
    <t>CommRate</t>
    <phoneticPr fontId="3" type="noConversion"/>
  </si>
  <si>
    <t>狀態</t>
    <phoneticPr fontId="3" type="noConversion"/>
  </si>
  <si>
    <t>varchar(128)</t>
    <phoneticPr fontId="3" type="noConversion"/>
  </si>
  <si>
    <t>最大有效長度為256-2=254，若128不夠可放寬。</t>
    <phoneticPr fontId="3" type="noConversion"/>
  </si>
  <si>
    <t>ExRate</t>
    <phoneticPr fontId="3" type="noConversion"/>
  </si>
  <si>
    <t>匯率</t>
    <phoneticPr fontId="3" type="noConversion"/>
  </si>
  <si>
    <t>decimal(19,6)</t>
    <phoneticPr fontId="3" type="noConversion"/>
  </si>
  <si>
    <t>LifeInsExchangeRate</t>
    <phoneticPr fontId="3" type="noConversion"/>
  </si>
  <si>
    <t>壽險匯率檔</t>
    <phoneticPr fontId="3" type="noConversion"/>
  </si>
  <si>
    <t>IDENTITY(1,1)</t>
  </si>
  <si>
    <t>豁免附約欄位</t>
    <phoneticPr fontId="3" type="noConversion"/>
  </si>
  <si>
    <r>
      <t xml:space="preserve">(1).核保手冊體檢規則有兩張定義表格，系統檢核要用哪一個?
(2).次標準體、職業加費系統不實作，意外險拒保需實作。
(3).DV、FN投保6年期才可附加豁免附約。
</t>
    </r>
    <r>
      <rPr>
        <sz val="10"/>
        <rFont val="微軟正黑體"/>
        <family val="2"/>
        <charset val="136"/>
      </rPr>
      <t>(4).同一主約不可加兩個以上豁免附約。</t>
    </r>
    <r>
      <rPr>
        <sz val="10"/>
        <color rgb="FF000000"/>
        <rFont val="微軟正黑體"/>
        <family val="2"/>
        <charset val="136"/>
      </rPr>
      <t xml:space="preserve">
</t>
    </r>
    <r>
      <rPr>
        <sz val="10"/>
        <color rgb="FFFF0000"/>
        <rFont val="微軟正黑體"/>
        <family val="2"/>
        <charset val="136"/>
      </rPr>
      <t>(5).實支實付型本公司投保以一次為限。(JR、NR、QR)
(6).實支實付型同業投保以三張為限。(JR、NR、QR)</t>
    </r>
    <phoneticPr fontId="3" type="noConversion"/>
  </si>
  <si>
    <t>char(1)</t>
    <phoneticPr fontId="3" type="noConversion"/>
  </si>
  <si>
    <t>nvarchar(1000)</t>
    <phoneticPr fontId="3" type="noConversion"/>
  </si>
  <si>
    <t>ErrorCode</t>
    <phoneticPr fontId="3" type="noConversion"/>
  </si>
  <si>
    <t>varchar(6)</t>
    <phoneticPr fontId="3" type="noConversion"/>
  </si>
  <si>
    <t>AmtUnit</t>
  </si>
  <si>
    <t>單位同dbo.LifeInsPlanList.AmtUnit</t>
  </si>
  <si>
    <t>大於等於設定值，單位同dbo.LifeInsPlanList.AmtUnit</t>
  </si>
  <si>
    <t>小於設定值，單位同dbo.LifeInsPlanList.AmtUnit</t>
  </si>
  <si>
    <t>保額單位</t>
    <phoneticPr fontId="3" type="noConversion"/>
  </si>
  <si>
    <t>保費計算</t>
    <phoneticPr fontId="3" type="noConversion"/>
  </si>
  <si>
    <t>(1).保費計算程式針對多元通路寫死。(未來變更頻率若高再優化)</t>
    <phoneticPr fontId="3" type="noConversion"/>
  </si>
  <si>
    <t>(1).多元通路月繳件首期為一個月，其他通路皆為兩個月。</t>
    <phoneticPr fontId="3" type="noConversion"/>
  </si>
  <si>
    <t>PremType</t>
    <phoneticPr fontId="3" type="noConversion"/>
  </si>
  <si>
    <t>單一幣別=該險種幣別***
多幣別=預設幣別，並讀取dbo.LifeInsPlanMulCuy設定</t>
    <phoneticPr fontId="3" type="noConversion"/>
  </si>
  <si>
    <t>PK</t>
    <phoneticPr fontId="3" type="noConversion"/>
  </si>
  <si>
    <t>DispPlanCode</t>
  </si>
  <si>
    <t>DispPlanName</t>
  </si>
  <si>
    <t>PlanType</t>
  </si>
  <si>
    <t>DispPlanType</t>
  </si>
  <si>
    <t>IsPayGo</t>
  </si>
  <si>
    <t>Cuy</t>
  </si>
  <si>
    <t>IsSamePerson</t>
  </si>
  <si>
    <t>Sex</t>
  </si>
  <si>
    <t>AmtInputType</t>
  </si>
  <si>
    <t>AmtDefault</t>
  </si>
  <si>
    <t>DispAmtUnit</t>
  </si>
  <si>
    <t>DispAmtText</t>
  </si>
  <si>
    <t>ActAmtUnit</t>
  </si>
  <si>
    <t>WaiverAmtType</t>
  </si>
  <si>
    <t>PayFreq</t>
  </si>
  <si>
    <t>IsGroupPay</t>
  </si>
  <si>
    <t>PremType</t>
  </si>
  <si>
    <t>AgedRecord</t>
  </si>
  <si>
    <t>元大人壽永愛終身壽險</t>
  </si>
  <si>
    <t>TWD</t>
  </si>
  <si>
    <t>NULL</t>
  </si>
  <si>
    <t>萬元</t>
  </si>
  <si>
    <t>L</t>
  </si>
  <si>
    <t>1|2|3|4</t>
  </si>
  <si>
    <t>1|3|4</t>
  </si>
  <si>
    <t>3|4|5</t>
  </si>
  <si>
    <t>LW</t>
    <phoneticPr fontId="3" type="noConversion"/>
  </si>
  <si>
    <t>元大人壽新加值定期壽險</t>
    <phoneticPr fontId="3" type="noConversion"/>
  </si>
  <si>
    <t>元大人壽住院日額給付保險附約</t>
  </si>
  <si>
    <t>2|3</t>
  </si>
  <si>
    <t>計劃</t>
  </si>
  <si>
    <t>I</t>
  </si>
  <si>
    <t>元大人壽綜合住院醫療保險附約</t>
  </si>
  <si>
    <t>2|3|4|5|6|7</t>
  </si>
  <si>
    <t>SH</t>
    <phoneticPr fontId="3" type="noConversion"/>
  </si>
  <si>
    <t>元大人壽享有心住院醫療健康保險附約-不分紅</t>
    <phoneticPr fontId="3" type="noConversion"/>
  </si>
  <si>
    <t>Y</t>
    <phoneticPr fontId="3" type="noConversion"/>
  </si>
  <si>
    <t>元大人壽一年期手術醫療健康保險附約</t>
    <phoneticPr fontId="3" type="noConversion"/>
  </si>
  <si>
    <t>單位</t>
    <phoneticPr fontId="3" type="noConversion"/>
  </si>
  <si>
    <t>元大人壽享安住院醫療健康保險附約</t>
    <phoneticPr fontId="3" type="noConversion"/>
  </si>
  <si>
    <t>JR</t>
    <phoneticPr fontId="3" type="noConversion"/>
  </si>
  <si>
    <t>SH</t>
    <phoneticPr fontId="3" type="noConversion"/>
  </si>
  <si>
    <t>NR</t>
    <phoneticPr fontId="3" type="noConversion"/>
  </si>
  <si>
    <t>*</t>
    <phoneticPr fontId="3" type="noConversion"/>
  </si>
  <si>
    <t>代表案例</t>
    <phoneticPr fontId="3" type="noConversion"/>
  </si>
  <si>
    <t>計劃一(每日住院保險金1,000元)</t>
    <phoneticPr fontId="3" type="noConversion"/>
  </si>
  <si>
    <t>計劃二(每日住院保險金1,500元)</t>
    <phoneticPr fontId="3" type="noConversion"/>
  </si>
  <si>
    <t>計劃三(每日住院保險金2,000元)</t>
    <phoneticPr fontId="3" type="noConversion"/>
  </si>
  <si>
    <t>計劃四(每日住院保險金2,500元)</t>
    <phoneticPr fontId="3" type="noConversion"/>
  </si>
  <si>
    <t>計劃五(每日住院保險金3,000元)</t>
    <phoneticPr fontId="3" type="noConversion"/>
  </si>
  <si>
    <t>計劃六(每日住院保險金4,000元)</t>
    <phoneticPr fontId="3" type="noConversion"/>
  </si>
  <si>
    <t>Col0</t>
  </si>
  <si>
    <t>Col1</t>
  </si>
  <si>
    <t>HI</t>
    <phoneticPr fontId="3" type="noConversion"/>
  </si>
  <si>
    <t>測試資料</t>
    <phoneticPr fontId="3" type="noConversion"/>
  </si>
  <si>
    <t>U1</t>
    <phoneticPr fontId="3" type="noConversion"/>
  </si>
  <si>
    <t>U2</t>
    <phoneticPr fontId="3" type="noConversion"/>
  </si>
  <si>
    <t>U3</t>
  </si>
  <si>
    <t>U4</t>
  </si>
  <si>
    <t>U5</t>
  </si>
  <si>
    <t>U6</t>
  </si>
  <si>
    <t>U8</t>
    <phoneticPr fontId="3" type="noConversion"/>
  </si>
  <si>
    <t>計劃二(每日住院保險金1,000元)</t>
    <phoneticPr fontId="3" type="noConversion"/>
  </si>
  <si>
    <t>計劃一(每日住院保險金500元)</t>
    <phoneticPr fontId="3" type="noConversion"/>
  </si>
  <si>
    <t>計劃三(每日住院保險金1,500元)</t>
    <phoneticPr fontId="3" type="noConversion"/>
  </si>
  <si>
    <t>計劃四(每日住院保險金2,000元)</t>
    <phoneticPr fontId="3" type="noConversion"/>
  </si>
  <si>
    <t>計劃五(每日住院保險金2,500元)</t>
    <phoneticPr fontId="3" type="noConversion"/>
  </si>
  <si>
    <t>計劃六(每日住院保險金3,000元)</t>
    <phoneticPr fontId="3" type="noConversion"/>
  </si>
  <si>
    <t>計劃一(每日住院保險金500元)</t>
    <phoneticPr fontId="3" type="noConversion"/>
  </si>
  <si>
    <t>計劃四(每日住院保險金2,000元)</t>
    <phoneticPr fontId="3" type="noConversion"/>
  </si>
  <si>
    <t>nvarchar(30)</t>
    <phoneticPr fontId="3" type="noConversion"/>
  </si>
  <si>
    <t>5單位(500元)</t>
  </si>
  <si>
    <t>6單位(600元)</t>
  </si>
  <si>
    <t>7單位(700元)</t>
  </si>
  <si>
    <t>8單位(800元)</t>
  </si>
  <si>
    <t>9單位(900元)</t>
  </si>
  <si>
    <t>10單位(1,000元)</t>
    <phoneticPr fontId="3" type="noConversion"/>
  </si>
  <si>
    <t>11單位(1,100元)</t>
    <phoneticPr fontId="3" type="noConversion"/>
  </si>
  <si>
    <t>12單位(1,200元)</t>
    <phoneticPr fontId="3" type="noConversion"/>
  </si>
  <si>
    <t>13單位(1,300元)</t>
    <phoneticPr fontId="3" type="noConversion"/>
  </si>
  <si>
    <t>14單位(1,400元)</t>
    <phoneticPr fontId="3" type="noConversion"/>
  </si>
  <si>
    <t>15單位(1,500元)</t>
    <phoneticPr fontId="3" type="noConversion"/>
  </si>
  <si>
    <t>16單位(1,600元)</t>
    <phoneticPr fontId="3" type="noConversion"/>
  </si>
  <si>
    <t>17單位(1,700元)</t>
    <phoneticPr fontId="3" type="noConversion"/>
  </si>
  <si>
    <t>18單位(1,800元)</t>
    <phoneticPr fontId="3" type="noConversion"/>
  </si>
  <si>
    <t>19單位(1,900元)</t>
    <phoneticPr fontId="3" type="noConversion"/>
  </si>
  <si>
    <t>20單位(2,000元)</t>
    <phoneticPr fontId="3" type="noConversion"/>
  </si>
  <si>
    <t>21單位(2,100元)</t>
    <phoneticPr fontId="3" type="noConversion"/>
  </si>
  <si>
    <t>22單位(2,200元)</t>
    <phoneticPr fontId="3" type="noConversion"/>
  </si>
  <si>
    <t>23單位(2,300元)</t>
    <phoneticPr fontId="3" type="noConversion"/>
  </si>
  <si>
    <t>24單位(2,400元)</t>
    <phoneticPr fontId="3" type="noConversion"/>
  </si>
  <si>
    <t>25單位(2,500元)</t>
    <phoneticPr fontId="3" type="noConversion"/>
  </si>
  <si>
    <t>26單位(2,600元)</t>
    <phoneticPr fontId="3" type="noConversion"/>
  </si>
  <si>
    <t>27單位(2,700元)</t>
    <phoneticPr fontId="3" type="noConversion"/>
  </si>
  <si>
    <t>28單位(2,800元)</t>
    <phoneticPr fontId="3" type="noConversion"/>
  </si>
  <si>
    <t>29單位(2,900元)</t>
    <phoneticPr fontId="3" type="noConversion"/>
  </si>
  <si>
    <t>30單位(3,000元)</t>
    <phoneticPr fontId="3" type="noConversion"/>
  </si>
  <si>
    <t>31單位(3,100元)</t>
    <phoneticPr fontId="3" type="noConversion"/>
  </si>
  <si>
    <t>32單位(3,200元)</t>
    <phoneticPr fontId="3" type="noConversion"/>
  </si>
  <si>
    <t>33單位(3,300元)</t>
    <phoneticPr fontId="3" type="noConversion"/>
  </si>
  <si>
    <t>34單位(3,400元)</t>
    <phoneticPr fontId="3" type="noConversion"/>
  </si>
  <si>
    <t>35單位(3,500元)</t>
    <phoneticPr fontId="3" type="noConversion"/>
  </si>
  <si>
    <t>36單位(3,600元)</t>
    <phoneticPr fontId="3" type="noConversion"/>
  </si>
  <si>
    <t>37單位(3,700元)</t>
    <phoneticPr fontId="3" type="noConversion"/>
  </si>
  <si>
    <t>38單位(3,800元)</t>
    <phoneticPr fontId="3" type="noConversion"/>
  </si>
  <si>
    <t>39單位(3,900元)</t>
    <phoneticPr fontId="3" type="noConversion"/>
  </si>
  <si>
    <t>40單位(4,000元)</t>
    <phoneticPr fontId="3" type="noConversion"/>
  </si>
  <si>
    <t>C</t>
    <phoneticPr fontId="3" type="noConversion"/>
  </si>
  <si>
    <t>元大人壽健康人生終身醫療健康保險</t>
  </si>
  <si>
    <t>3單位(300元)</t>
    <phoneticPr fontId="3" type="noConversion"/>
  </si>
  <si>
    <t>4單位(400元)</t>
    <phoneticPr fontId="3" type="noConversion"/>
  </si>
  <si>
    <t>CY</t>
    <phoneticPr fontId="3" type="noConversion"/>
  </si>
  <si>
    <t>DD</t>
    <phoneticPr fontId="3" type="noConversion"/>
  </si>
  <si>
    <t>DP</t>
    <phoneticPr fontId="3" type="noConversion"/>
  </si>
  <si>
    <t>C4</t>
    <phoneticPr fontId="3" type="noConversion"/>
  </si>
  <si>
    <t>RL</t>
    <phoneticPr fontId="3" type="noConversion"/>
  </si>
  <si>
    <t>DJ</t>
    <phoneticPr fontId="3" type="noConversion"/>
  </si>
  <si>
    <t>MI</t>
    <phoneticPr fontId="3" type="noConversion"/>
  </si>
  <si>
    <t>PR</t>
    <phoneticPr fontId="3" type="noConversion"/>
  </si>
  <si>
    <t>QR</t>
    <phoneticPr fontId="3" type="noConversion"/>
  </si>
  <si>
    <t>WD</t>
    <phoneticPr fontId="3" type="noConversion"/>
  </si>
  <si>
    <t>EW</t>
    <phoneticPr fontId="3" type="noConversion"/>
  </si>
  <si>
    <t>WH</t>
    <phoneticPr fontId="3" type="noConversion"/>
  </si>
  <si>
    <t>WI</t>
    <phoneticPr fontId="3" type="noConversion"/>
  </si>
  <si>
    <t>元大人壽元氣100終身醫療健康保險附約</t>
    <phoneticPr fontId="3" type="noConversion"/>
  </si>
  <si>
    <t>元大人壽一年期防癌健康保險附約</t>
    <phoneticPr fontId="3" type="noConversion"/>
  </si>
  <si>
    <t>I</t>
    <phoneticPr fontId="3" type="noConversion"/>
  </si>
  <si>
    <t>1單位(住院日額1,000元)</t>
    <phoneticPr fontId="3" type="noConversion"/>
  </si>
  <si>
    <t>2單位(住院日額2,000元)</t>
    <phoneticPr fontId="3" type="noConversion"/>
  </si>
  <si>
    <t>3單位(住院日額3,000元)</t>
    <phoneticPr fontId="3" type="noConversion"/>
  </si>
  <si>
    <t>4單位(住院日額4,000元)</t>
    <phoneticPr fontId="3" type="noConversion"/>
  </si>
  <si>
    <t>5單位(住院日額5,000元)</t>
    <phoneticPr fontId="3" type="noConversion"/>
  </si>
  <si>
    <t>元大人壽重大疾病暨特定傷病健康保險附約(II)</t>
    <phoneticPr fontId="3" type="noConversion"/>
  </si>
  <si>
    <t>元大人壽重大疾病健康保險附約(乙型)</t>
    <phoneticPr fontId="3" type="noConversion"/>
  </si>
  <si>
    <t>L</t>
    <phoneticPr fontId="3" type="noConversion"/>
  </si>
  <si>
    <t>元大人壽真心保護防癌終身健康保險附約</t>
    <phoneticPr fontId="3" type="noConversion"/>
  </si>
  <si>
    <t>元大人壽好安鑫重大傷病終身健康保險附約</t>
    <phoneticPr fontId="3" type="noConversion"/>
  </si>
  <si>
    <t>L</t>
    <phoneticPr fontId="3" type="noConversion"/>
  </si>
  <si>
    <t>元大人壽幸扶一世雙重照護終身保險-不分紅</t>
    <phoneticPr fontId="3" type="noConversion"/>
  </si>
  <si>
    <t>元大人壽意外傷害住院日額保險附約</t>
    <phoneticPr fontId="3" type="noConversion"/>
  </si>
  <si>
    <t>計劃一(住院日額500元)</t>
    <phoneticPr fontId="3" type="noConversion"/>
  </si>
  <si>
    <t>計劃二(住院日額1,000元)</t>
    <phoneticPr fontId="3" type="noConversion"/>
  </si>
  <si>
    <t>計劃三(住院日額1,500元)</t>
    <phoneticPr fontId="3" type="noConversion"/>
  </si>
  <si>
    <t>計劃四(住院日額2,000元)</t>
    <phoneticPr fontId="3" type="noConversion"/>
  </si>
  <si>
    <t>元大人壽人身傷害保險附約(II)</t>
    <phoneticPr fontId="3" type="noConversion"/>
  </si>
  <si>
    <t>元大人壽新意外傷害醫療保險附約</t>
    <phoneticPr fontId="3" type="noConversion"/>
  </si>
  <si>
    <t>元大人壽真意豁免保險費附約</t>
    <phoneticPr fontId="3" type="noConversion"/>
  </si>
  <si>
    <t>B</t>
    <phoneticPr fontId="3" type="noConversion"/>
  </si>
  <si>
    <t>Y</t>
    <phoneticPr fontId="3" type="noConversion"/>
  </si>
  <si>
    <t>N</t>
    <phoneticPr fontId="3" type="noConversion"/>
  </si>
  <si>
    <t>元</t>
    <phoneticPr fontId="3" type="noConversion"/>
  </si>
  <si>
    <t>元大人壽真心豁免保險費附約</t>
    <phoneticPr fontId="3" type="noConversion"/>
  </si>
  <si>
    <t>元大人壽億達利率變動型增額終身壽險-不分紅</t>
    <phoneticPr fontId="3" type="noConversion"/>
  </si>
  <si>
    <t>*</t>
    <phoneticPr fontId="3" type="noConversion"/>
  </si>
  <si>
    <t>元大人壽美億達美元利率變動型增額終身壽險-不分紅</t>
    <phoneticPr fontId="3" type="noConversion"/>
  </si>
  <si>
    <t>USD</t>
    <phoneticPr fontId="3" type="noConversion"/>
  </si>
  <si>
    <t>萬元</t>
    <phoneticPr fontId="3" type="noConversion"/>
  </si>
  <si>
    <t>1|3</t>
    <phoneticPr fontId="3" type="noConversion"/>
  </si>
  <si>
    <t>3|5</t>
    <phoneticPr fontId="3" type="noConversion"/>
  </si>
  <si>
    <t>元大人壽美意美元豁免保險費附約</t>
    <phoneticPr fontId="3" type="noConversion"/>
  </si>
  <si>
    <t>元大人壽美心美元豁免保險費附約</t>
    <phoneticPr fontId="3" type="noConversion"/>
  </si>
  <si>
    <t>WH</t>
    <phoneticPr fontId="3" type="noConversion"/>
  </si>
  <si>
    <t>WI</t>
    <phoneticPr fontId="3" type="noConversion"/>
  </si>
  <si>
    <t>A2</t>
    <phoneticPr fontId="3" type="noConversion"/>
  </si>
  <si>
    <t>IsPayByAge</t>
  </si>
  <si>
    <t>IsCovByAge</t>
  </si>
  <si>
    <t>IsPayByAge=Y，實際繳費年期=險種年期-保險年齡，歲滿期類型***
IsPayByAge=N，實際繳費年期=險種年期</t>
    <phoneticPr fontId="3" type="noConversion"/>
  </si>
  <si>
    <t>N</t>
    <phoneticPr fontId="3" type="noConversion"/>
  </si>
  <si>
    <t>10年期</t>
    <phoneticPr fontId="3" type="noConversion"/>
  </si>
  <si>
    <t>15年期</t>
    <phoneticPr fontId="3" type="noConversion"/>
  </si>
  <si>
    <t>20年期</t>
    <phoneticPr fontId="3" type="noConversion"/>
  </si>
  <si>
    <t>Y</t>
    <phoneticPr fontId="3" type="noConversion"/>
  </si>
  <si>
    <t>N</t>
    <phoneticPr fontId="3" type="noConversion"/>
  </si>
  <si>
    <t>30年期</t>
    <phoneticPr fontId="3" type="noConversion"/>
  </si>
  <si>
    <t>Y</t>
    <phoneticPr fontId="3" type="noConversion"/>
  </si>
  <si>
    <t>N</t>
    <phoneticPr fontId="3" type="noConversion"/>
  </si>
  <si>
    <t>6年期</t>
    <phoneticPr fontId="3" type="noConversion"/>
  </si>
  <si>
    <t>8年期</t>
    <phoneticPr fontId="3" type="noConversion"/>
  </si>
  <si>
    <t>10年期</t>
    <phoneticPr fontId="3" type="noConversion"/>
  </si>
  <si>
    <t>12年期</t>
    <phoneticPr fontId="3" type="noConversion"/>
  </si>
  <si>
    <t>20年期</t>
    <phoneticPr fontId="3" type="noConversion"/>
  </si>
  <si>
    <t>第一階段增值回饋金領取方式，共用代碼PPL.000.019</t>
    <phoneticPr fontId="3" type="noConversion"/>
  </si>
  <si>
    <t>第二階段增值回饋金領取方式，共用代碼PPL.000.019</t>
    <phoneticPr fontId="3" type="noConversion"/>
  </si>
  <si>
    <t>第三階段增值回饋金領取方式，共用代碼PPL.000.019</t>
    <phoneticPr fontId="3" type="noConversion"/>
  </si>
  <si>
    <t>指定保險金給付方式，共用代碼PPL.000.020</t>
    <phoneticPr fontId="3" type="noConversion"/>
  </si>
  <si>
    <t>生存金給付年齡，共用代碼PPL.000.022</t>
    <phoneticPr fontId="3" type="noConversion"/>
  </si>
  <si>
    <t>年金給付週期，共用代碼PPL.000.023</t>
    <phoneticPr fontId="3" type="noConversion"/>
  </si>
  <si>
    <t>SerNo</t>
  </si>
  <si>
    <t>ExRate</t>
  </si>
  <si>
    <t>USD</t>
  </si>
  <si>
    <t>AmtLimitType</t>
  </si>
  <si>
    <t>JobGrade1Amt</t>
  </si>
  <si>
    <t>JobGrade2Amt</t>
  </si>
  <si>
    <t>JobGrade3Amt</t>
  </si>
  <si>
    <t>JobGrade4Amt</t>
  </si>
  <si>
    <t>JobGrade5Amt</t>
  </si>
  <si>
    <t>JobGrade6Amt</t>
  </si>
  <si>
    <t>JobGrade7Amt</t>
  </si>
  <si>
    <t>Alvin</t>
    <phoneticPr fontId="3" type="noConversion"/>
  </si>
  <si>
    <t>ZW</t>
    <phoneticPr fontId="3" type="noConversion"/>
  </si>
  <si>
    <t>元大人壽鑫利多利率變動型增額終身壽險</t>
    <phoneticPr fontId="3" type="noConversion"/>
  </si>
  <si>
    <t>自選案例</t>
    <phoneticPr fontId="3" type="noConversion"/>
  </si>
  <si>
    <t>N</t>
    <phoneticPr fontId="3" type="noConversion"/>
  </si>
  <si>
    <t>Y</t>
    <phoneticPr fontId="3" type="noConversion"/>
  </si>
  <si>
    <t>TWD</t>
    <phoneticPr fontId="3" type="noConversion"/>
  </si>
  <si>
    <t>*</t>
    <phoneticPr fontId="3" type="noConversion"/>
  </si>
  <si>
    <t>N</t>
    <phoneticPr fontId="3" type="noConversion"/>
  </si>
  <si>
    <t>8年期</t>
    <phoneticPr fontId="3" type="noConversion"/>
  </si>
  <si>
    <t>ZW</t>
    <phoneticPr fontId="3" type="noConversion"/>
  </si>
  <si>
    <t>*</t>
    <phoneticPr fontId="3" type="noConversion"/>
  </si>
  <si>
    <t>U</t>
    <phoneticPr fontId="3" type="noConversion"/>
  </si>
  <si>
    <t>SerNo</t>
    <phoneticPr fontId="3" type="noConversion"/>
  </si>
  <si>
    <t>int</t>
    <phoneticPr fontId="3" type="noConversion"/>
  </si>
  <si>
    <t>序號</t>
    <phoneticPr fontId="3" type="noConversion"/>
  </si>
  <si>
    <t>元大人壽安鑫333終身保險</t>
    <phoneticPr fontId="3" type="noConversion"/>
  </si>
  <si>
    <t>RB</t>
    <phoneticPr fontId="3" type="noConversion"/>
  </si>
  <si>
    <t>RB</t>
    <phoneticPr fontId="3" type="noConversion"/>
  </si>
  <si>
    <t>*</t>
    <phoneticPr fontId="3" type="noConversion"/>
  </si>
  <si>
    <t>Y</t>
    <phoneticPr fontId="3" type="noConversion"/>
  </si>
  <si>
    <t>RB</t>
    <phoneticPr fontId="3" type="noConversion"/>
  </si>
  <si>
    <t>PackageCode</t>
  </si>
  <si>
    <t>PackageName</t>
  </si>
  <si>
    <t>金融通路標準版</t>
  </si>
  <si>
    <t>1|3</t>
  </si>
  <si>
    <t>3|5</t>
  </si>
  <si>
    <t>Y</t>
    <phoneticPr fontId="3" type="noConversion"/>
  </si>
  <si>
    <t>2|1</t>
    <phoneticPr fontId="3" type="noConversion"/>
  </si>
  <si>
    <t>3|4|2|1</t>
    <phoneticPr fontId="3" type="noConversion"/>
  </si>
  <si>
    <t>DV</t>
    <phoneticPr fontId="3" type="noConversion"/>
  </si>
  <si>
    <t>Y</t>
    <phoneticPr fontId="3" type="noConversion"/>
  </si>
  <si>
    <t>Y</t>
    <phoneticPr fontId="3" type="noConversion"/>
  </si>
  <si>
    <t>DV</t>
    <phoneticPr fontId="3" type="noConversion"/>
  </si>
  <si>
    <t>元大人壽三富增利利率變動型終身壽險-不分紅</t>
    <phoneticPr fontId="3" type="noConversion"/>
  </si>
  <si>
    <t>3年期</t>
    <phoneticPr fontId="3" type="noConversion"/>
  </si>
  <si>
    <t>6年期</t>
    <phoneticPr fontId="3" type="noConversion"/>
  </si>
  <si>
    <t>*</t>
    <phoneticPr fontId="3" type="noConversion"/>
  </si>
  <si>
    <t>L</t>
    <phoneticPr fontId="3" type="noConversion"/>
  </si>
  <si>
    <t>1|3</t>
    <phoneticPr fontId="3" type="noConversion"/>
  </si>
  <si>
    <t>FO_55</t>
    <phoneticPr fontId="3" type="noConversion"/>
  </si>
  <si>
    <t>FO_60</t>
    <phoneticPr fontId="3" type="noConversion"/>
  </si>
  <si>
    <t>FO_65</t>
    <phoneticPr fontId="3" type="noConversion"/>
  </si>
  <si>
    <t>FO_55</t>
    <phoneticPr fontId="3" type="noConversion"/>
  </si>
  <si>
    <t>元大人壽歲享人生美元利率變動型還本終身保險-生存金給付年齡55歲</t>
    <phoneticPr fontId="3" type="noConversion"/>
  </si>
  <si>
    <t>元大人壽歲享人生美元利率變動型還本終身保險-生存金給付年齡60歲</t>
    <phoneticPr fontId="3" type="noConversion"/>
  </si>
  <si>
    <t>元大人壽歲享人生美元利率變動型還本終身保險-生存金給付年齡65歲</t>
    <phoneticPr fontId="3" type="noConversion"/>
  </si>
  <si>
    <t>P3</t>
    <phoneticPr fontId="3" type="noConversion"/>
  </si>
  <si>
    <t>FO_55</t>
    <phoneticPr fontId="3" type="noConversion"/>
  </si>
  <si>
    <t>*</t>
    <phoneticPr fontId="3" type="noConversion"/>
  </si>
  <si>
    <t>FO_60</t>
    <phoneticPr fontId="3" type="noConversion"/>
  </si>
  <si>
    <t>FO_65</t>
    <phoneticPr fontId="3" type="noConversion"/>
  </si>
  <si>
    <t>WH</t>
    <phoneticPr fontId="3" type="noConversion"/>
  </si>
  <si>
    <t>WI</t>
    <phoneticPr fontId="3" type="noConversion"/>
  </si>
  <si>
    <t>FO_55</t>
    <phoneticPr fontId="3" type="noConversion"/>
  </si>
  <si>
    <t>選手</t>
    <phoneticPr fontId="3" type="noConversion"/>
  </si>
  <si>
    <t>農場經營者(不親自作業)</t>
  </si>
  <si>
    <t>昆蟲(蜜蜂)飼養人員</t>
  </si>
  <si>
    <t>畜牧場經營者(不親自作業)</t>
  </si>
  <si>
    <t>漁塭經營者(不親自作業)</t>
  </si>
  <si>
    <t>漁塭經營者(親自作業)</t>
  </si>
  <si>
    <t>養殖工人(內陸)</t>
  </si>
  <si>
    <t>養殖工人(沿海)</t>
  </si>
  <si>
    <t>捕魚人(內陸)</t>
  </si>
  <si>
    <t>捕魚人(沿海)</t>
  </si>
  <si>
    <t>經營者(不到現場者)</t>
  </si>
  <si>
    <t>經營者(到現場者)、現場監督人員</t>
  </si>
  <si>
    <t>計程車行、貨運行之負責人(不參與駕駛者)</t>
  </si>
  <si>
    <t>拖吊車司機、隨車人員(一般道路)</t>
  </si>
  <si>
    <t>拖吊車司機、隨車人員(高速公路)</t>
  </si>
  <si>
    <t>堆高機駕駛(非航運)</t>
  </si>
  <si>
    <t>隨車人員(技術人員除外)</t>
  </si>
  <si>
    <t>A-航空站：清潔工(高牆或天花板)</t>
  </si>
  <si>
    <t>一般內勤服務人員(辦公室職員、櫃檯、服務檯)</t>
  </si>
  <si>
    <t>技工(註：餐飲部工作人員比照餐飲業)</t>
  </si>
  <si>
    <t>承包商(土木建築)</t>
  </si>
  <si>
    <t>貼瓷磚(室內)</t>
  </si>
  <si>
    <t>貼瓷磚(外牆)</t>
  </si>
  <si>
    <t>挖井工程人員(鑽井工人)</t>
  </si>
  <si>
    <t>高速公路工程人員(含美化工程)</t>
  </si>
  <si>
    <t>地質探測員(山區、海上)</t>
  </si>
  <si>
    <t>地質探測員(平地)</t>
  </si>
  <si>
    <t>車床工(全自動)</t>
  </si>
  <si>
    <t>車床工(其他)</t>
  </si>
  <si>
    <t>ＣＮＣ操作(電腦雕刻機)</t>
  </si>
  <si>
    <t>線割(銅線電子切割)</t>
  </si>
  <si>
    <t>負責人(需現場指導或實際參與工作)</t>
  </si>
  <si>
    <t>塑膠、橡膠射出成型工人(自動)</t>
  </si>
  <si>
    <t>塑膠、橡膠射出成型工人(其他)</t>
  </si>
  <si>
    <t>電池製造(技師)</t>
  </si>
  <si>
    <t>電池製造(工人)</t>
  </si>
  <si>
    <t>火藥爆竹製造及處理人員(包括爆竹、煙火製造工)</t>
  </si>
  <si>
    <t>製造工人(汽、機車)</t>
  </si>
  <si>
    <t>製造工人(自行車)</t>
  </si>
  <si>
    <t>修理保養工人(汽、機車)</t>
  </si>
  <si>
    <t>修理保養工人(自行車)</t>
  </si>
  <si>
    <t>成衣(毛衣、針織)代工</t>
  </si>
  <si>
    <t>傢俱油漆工(噴漆、烤漆)</t>
  </si>
  <si>
    <t>倉管人員(不搬貨)</t>
  </si>
  <si>
    <t>倉管人員(搬貨)</t>
  </si>
  <si>
    <t>廣告招牌繪製人員(地面工作)</t>
  </si>
  <si>
    <t>勞、健保局調查人員(外勤)</t>
  </si>
  <si>
    <t>一般演員(導演)</t>
  </si>
  <si>
    <t>獸醫(動物園)</t>
  </si>
  <si>
    <t>負責人(出版商、書店、文具店)</t>
  </si>
  <si>
    <t>店員(出版商、書店、文具店)</t>
  </si>
  <si>
    <t>設計工程師(含現場監工)</t>
  </si>
  <si>
    <t>核能工作人員(核工系、中研院、中科院、台電核工人員)</t>
  </si>
  <si>
    <t>自來水廠水質分析員(實地)</t>
  </si>
  <si>
    <t>車輛器材、用品買賣商(不含礦物油)</t>
  </si>
  <si>
    <t>代書(內勤)</t>
  </si>
  <si>
    <t>經紀人(內勤)</t>
  </si>
  <si>
    <t>警衛、保全人員(內勤)</t>
  </si>
  <si>
    <t>警衛、保全人員(負有巡邏押運任務者)</t>
  </si>
  <si>
    <t>警察(負有巡邏任務者)</t>
  </si>
  <si>
    <t>調查局之調查員(不需蒐証)</t>
  </si>
  <si>
    <t>調查局之調查員(需蒐証)</t>
  </si>
  <si>
    <t>農產品加工業實驗人員</t>
  </si>
  <si>
    <t>農產品加工業品管人員</t>
  </si>
  <si>
    <t>農產品加工業領班、工人</t>
  </si>
  <si>
    <t>獸醫(畜牧業、農業)</t>
  </si>
  <si>
    <t>水產實驗人員(室內)</t>
  </si>
  <si>
    <t>水產實驗人員(室外)</t>
  </si>
  <si>
    <t>工程師、領班(不參與現場工作者)</t>
  </si>
  <si>
    <t>快遞司機(貨車)</t>
  </si>
  <si>
    <t>船艙清潔(船舶靠岸後)</t>
  </si>
  <si>
    <t>早餐店工作人員</t>
  </si>
  <si>
    <t>鐵屋架設、施工(搭設鐵皮屋)</t>
  </si>
  <si>
    <t>公園、道路路燈裝修工</t>
  </si>
  <si>
    <t>拆船工人</t>
  </si>
  <si>
    <t>操作自動ＩＣ工人</t>
  </si>
  <si>
    <t>紙盒黏貼工人</t>
  </si>
  <si>
    <t>技師、品管人員</t>
  </si>
  <si>
    <t>樂器安裝組合維修人員</t>
  </si>
  <si>
    <t>中藥材加工人員</t>
  </si>
  <si>
    <t>化妝品製造工人</t>
  </si>
  <si>
    <t>做月子、育嬰中心工作人員</t>
  </si>
  <si>
    <t>中途之家、安養院工作人員</t>
  </si>
  <si>
    <t>採訪車、轉播車駕駛</t>
  </si>
  <si>
    <t>巡水員</t>
  </si>
  <si>
    <t>煉油廠工程師</t>
  </si>
  <si>
    <t>煉油廠領班</t>
  </si>
  <si>
    <t>液化瓦斯零售商：香燭、紙錢、爆竹買賣</t>
  </si>
  <si>
    <t>液化瓦斯零售商：檳榔商</t>
  </si>
  <si>
    <t>化粧人員</t>
  </si>
  <si>
    <t>墓園管理員</t>
  </si>
  <si>
    <t>特種軍人(傘兵、爆破、佈雷、防爆、負有特殊任務之特勤人員……等)</t>
  </si>
  <si>
    <t>志願役行政及內勤人員</t>
  </si>
  <si>
    <t>銷售工程師(內勤)</t>
  </si>
  <si>
    <t>銷售工程師(外務)</t>
  </si>
  <si>
    <t>高爾夫球球員</t>
  </si>
  <si>
    <t>保齡球球員</t>
  </si>
  <si>
    <t>桌球球員</t>
  </si>
  <si>
    <t>羽球球員</t>
  </si>
  <si>
    <t>游泳人員</t>
  </si>
  <si>
    <t>射箭人員</t>
  </si>
  <si>
    <t>網球球員</t>
  </si>
  <si>
    <t>壘球球員</t>
  </si>
  <si>
    <t>溜冰人員</t>
  </si>
  <si>
    <t>射擊人員</t>
  </si>
  <si>
    <t>民俗體育活動人員</t>
  </si>
  <si>
    <t>舉重人員</t>
  </si>
  <si>
    <t>籃球球員</t>
  </si>
  <si>
    <t>排球球員</t>
  </si>
  <si>
    <t>棒球球員</t>
  </si>
  <si>
    <t>體操人員</t>
  </si>
  <si>
    <t>滑草人員</t>
  </si>
  <si>
    <t>駕乘人員</t>
  </si>
  <si>
    <t>巧固球球員</t>
  </si>
  <si>
    <t>手球球員</t>
  </si>
  <si>
    <t>足球球員</t>
  </si>
  <si>
    <t>曲棍球球員</t>
  </si>
  <si>
    <t>冰上曲棍球球員</t>
  </si>
  <si>
    <t>自由車選手</t>
  </si>
  <si>
    <t>角力人員</t>
  </si>
  <si>
    <t>摔角人員</t>
  </si>
  <si>
    <t>柔道人員</t>
  </si>
  <si>
    <t>空手道人員</t>
  </si>
  <si>
    <t>跆拳道人員</t>
  </si>
  <si>
    <t>國術人員</t>
  </si>
  <si>
    <t>拳擊人員</t>
  </si>
  <si>
    <t>潛水人員</t>
  </si>
  <si>
    <t>滑水人員</t>
  </si>
  <si>
    <t>滑雪人員</t>
  </si>
  <si>
    <t>馬術人員</t>
  </si>
  <si>
    <t>特技表演人員</t>
  </si>
  <si>
    <t>撞球球員</t>
  </si>
  <si>
    <t>迴力球球員</t>
  </si>
  <si>
    <t>相撲選手</t>
  </si>
  <si>
    <t>水泥業(包括水泥、石膏、石灰)</t>
  </si>
  <si>
    <t>電動玩具店器具維修工人</t>
    <phoneticPr fontId="3" type="noConversion"/>
  </si>
  <si>
    <t>大型遊樂場器具維修工人</t>
    <phoneticPr fontId="3" type="noConversion"/>
  </si>
  <si>
    <t>年金給付年齡</t>
    <phoneticPr fontId="3" type="noConversion"/>
  </si>
  <si>
    <t>MortgageRate</t>
    <phoneticPr fontId="3" type="noConversion"/>
  </si>
  <si>
    <t>房貸貸款利率，畫面單位為%，資料為decimal</t>
    <phoneticPr fontId="3" type="noConversion"/>
  </si>
  <si>
    <t>預定利率，畫面單位為%，資料為decimal</t>
    <phoneticPr fontId="3" type="noConversion"/>
  </si>
  <si>
    <t>宣告利率，畫面單位為%，資料為decimal</t>
    <phoneticPr fontId="3" type="noConversion"/>
  </si>
  <si>
    <t>指定保險金給付比例，畫面單位為%，資料為decimal</t>
    <phoneticPr fontId="3" type="noConversion"/>
  </si>
  <si>
    <t>指定保險金預定利率，畫面單位為%，資料為decimal</t>
    <phoneticPr fontId="3" type="noConversion"/>
  </si>
  <si>
    <t>房貸貸款利率</t>
    <phoneticPr fontId="3" type="noConversion"/>
  </si>
  <si>
    <t>MortgageRate</t>
    <phoneticPr fontId="3" type="noConversion"/>
  </si>
  <si>
    <t>錯誤代碼</t>
    <phoneticPr fontId="3" type="noConversion"/>
  </si>
  <si>
    <t>UWExpression1</t>
    <phoneticPr fontId="3" type="noConversion"/>
  </si>
  <si>
    <t>UWExpression2</t>
    <phoneticPr fontId="3" type="noConversion"/>
  </si>
  <si>
    <t>核保運算式1</t>
    <phoneticPr fontId="3" type="noConversion"/>
  </si>
  <si>
    <t>核保運算式2</t>
    <phoneticPr fontId="3" type="noConversion"/>
  </si>
  <si>
    <t>為true，則顯示錯誤訊息</t>
    <phoneticPr fontId="3" type="noConversion"/>
  </si>
  <si>
    <t>為true，則繼續核保運算式2</t>
    <phoneticPr fontId="3" type="noConversion"/>
  </si>
  <si>
    <t>核保運算式2</t>
    <phoneticPr fontId="3" type="noConversion"/>
  </si>
  <si>
    <t>為true，則以核保運算式2進行累計</t>
    <phoneticPr fontId="3" type="noConversion"/>
  </si>
  <si>
    <t>MI</t>
    <phoneticPr fontId="3" type="noConversion"/>
  </si>
  <si>
    <t>char(1)</t>
    <phoneticPr fontId="3" type="noConversion"/>
  </si>
  <si>
    <t>網頁版
一般帳號-&gt;通路服務平台-&gt;驗證通過-&gt;儲存資訊-&gt;登入
服務帳號-&gt;通路服務平台-&gt;驗證失敗-&gt;輸入ID-&gt;通路服務平台-&gt;驗證通過-&gt;儲存資訊-&gt;登入
公用帳號-&gt;通路服務平台-&gt;驗證失敗-&gt;查詢SQL-&gt;驗證通過-&gt;儲存資訊-&gt;登入</t>
    <phoneticPr fontId="3" type="noConversion"/>
  </si>
  <si>
    <t>使用者資料第一筆為通路服務平台提供，需註記</t>
    <phoneticPr fontId="3" type="noConversion"/>
  </si>
  <si>
    <t>PK</t>
    <phoneticPr fontId="3" type="noConversion"/>
  </si>
  <si>
    <t>LoginPassword</t>
    <phoneticPr fontId="3" type="noConversion"/>
  </si>
  <si>
    <t>emp_no</t>
  </si>
  <si>
    <t>varchar(10)</t>
  </si>
  <si>
    <t>id_no</t>
  </si>
  <si>
    <t>varchar(30)</t>
  </si>
  <si>
    <t>names</t>
  </si>
  <si>
    <t>nvarchar(40)</t>
  </si>
  <si>
    <t>chan_code</t>
  </si>
  <si>
    <t>varchar(3)</t>
  </si>
  <si>
    <t>bu_no</t>
  </si>
  <si>
    <t>area_no</t>
  </si>
  <si>
    <t>branch_no</t>
  </si>
  <si>
    <t>birthday</t>
  </si>
  <si>
    <t>mobile_no</t>
  </si>
  <si>
    <t>varchar(50)</t>
  </si>
  <si>
    <t>email</t>
  </si>
  <si>
    <t>varchar(60)</t>
  </si>
  <si>
    <t>address</t>
  </si>
  <si>
    <t>nvarchar(255)</t>
  </si>
  <si>
    <t>register_date</t>
  </si>
  <si>
    <t>job_no</t>
  </si>
  <si>
    <t>job_name</t>
  </si>
  <si>
    <t>nvarchar(50)</t>
  </si>
  <si>
    <t>sale_flag</t>
  </si>
  <si>
    <t>varchar(1)</t>
  </si>
  <si>
    <t>insco_no</t>
  </si>
  <si>
    <t>Quit_date</t>
  </si>
  <si>
    <t>src_type</t>
  </si>
  <si>
    <t>del_flag</t>
  </si>
  <si>
    <t>createtime</t>
  </si>
  <si>
    <t>creator</t>
  </si>
  <si>
    <t>varchar(255)</t>
  </si>
  <si>
    <t>lastupdate</t>
  </si>
  <si>
    <t>modifier</t>
  </si>
  <si>
    <t>zipcode</t>
  </si>
  <si>
    <t>varchar(5)</t>
  </si>
  <si>
    <t>con_zipcode</t>
  </si>
  <si>
    <t>con_addr</t>
  </si>
  <si>
    <t>lic_pay_flag</t>
  </si>
  <si>
    <t>agree_date</t>
  </si>
  <si>
    <t>adAccount</t>
  </si>
  <si>
    <t>varchar(20)</t>
  </si>
  <si>
    <t>branch</t>
  </si>
  <si>
    <t>department</t>
  </si>
  <si>
    <t>division</t>
  </si>
  <si>
    <t>section</t>
  </si>
  <si>
    <t>exec_log_seq</t>
  </si>
  <si>
    <t>bigint</t>
  </si>
  <si>
    <t>source_code</t>
  </si>
  <si>
    <t>ORG</t>
    <phoneticPr fontId="3" type="noConversion"/>
  </si>
  <si>
    <t>TBIAS_AGNT_EMPY</t>
    <phoneticPr fontId="3" type="noConversion"/>
  </si>
  <si>
    <t>員工資料檔</t>
    <phoneticPr fontId="3" type="noConversion"/>
  </si>
  <si>
    <t>共用代碼檔</t>
    <phoneticPr fontId="3" type="noConversion"/>
  </si>
  <si>
    <t>公用代碼檔</t>
    <phoneticPr fontId="3" type="noConversion"/>
  </si>
  <si>
    <t>錯誤代碼檔</t>
    <phoneticPr fontId="3" type="noConversion"/>
  </si>
  <si>
    <t>員工編號</t>
  </si>
  <si>
    <t>身分證字號/統編</t>
    <phoneticPr fontId="3" type="noConversion"/>
  </si>
  <si>
    <t>姓名</t>
    <phoneticPr fontId="3" type="noConversion"/>
  </si>
  <si>
    <t>通路代號</t>
  </si>
  <si>
    <t>事業群代號</t>
  </si>
  <si>
    <t>區域代碼</t>
  </si>
  <si>
    <t>LoginAccountType</t>
    <phoneticPr fontId="3" type="noConversion"/>
  </si>
  <si>
    <t>登入帳號類型</t>
    <phoneticPr fontId="3" type="noConversion"/>
  </si>
  <si>
    <t>登入成功才寫入table，失敗的話寫log</t>
    <phoneticPr fontId="3" type="noConversion"/>
  </si>
  <si>
    <t>系統業務員資訊檔</t>
    <phoneticPr fontId="3" type="noConversion"/>
  </si>
  <si>
    <t>SysAgentInfo</t>
    <phoneticPr fontId="3" type="noConversion"/>
  </si>
  <si>
    <t>需求不明，資料須匯入建議書系統，後台設定用(或是自行輸入?)</t>
    <phoneticPr fontId="3" type="noConversion"/>
  </si>
  <si>
    <t>PlanGroupSerNo</t>
  </si>
  <si>
    <t>PlanSerNo</t>
  </si>
  <si>
    <t>險種群組序號</t>
  </si>
  <si>
    <t>險種序號</t>
  </si>
  <si>
    <t>指定保險金給付年期1</t>
    <phoneticPr fontId="3" type="noConversion"/>
  </si>
  <si>
    <t>BenefitPayYear1</t>
    <phoneticPr fontId="3" type="noConversion"/>
  </si>
  <si>
    <t>BenefitPayYear2</t>
    <phoneticPr fontId="3" type="noConversion"/>
  </si>
  <si>
    <t>BenefitPayYear3</t>
    <phoneticPr fontId="3" type="noConversion"/>
  </si>
  <si>
    <t>指定保險金給付年期2</t>
    <phoneticPr fontId="3" type="noConversion"/>
  </si>
  <si>
    <t>指定保險金給付年期3</t>
    <phoneticPr fontId="3" type="noConversion"/>
  </si>
  <si>
    <t>BenefitPayPeriodic</t>
  </si>
  <si>
    <t>BenefitPayPeriodic</t>
    <phoneticPr fontId="3" type="noConversion"/>
  </si>
  <si>
    <t>指定保險金分期定額(元)</t>
    <phoneticPr fontId="3" type="noConversion"/>
  </si>
  <si>
    <t>指定保險金給付年期1</t>
    <phoneticPr fontId="3" type="noConversion"/>
  </si>
  <si>
    <t>指定保險金分期定額</t>
  </si>
  <si>
    <t>int</t>
    <phoneticPr fontId="3" type="noConversion"/>
  </si>
  <si>
    <t>LWCA00</t>
  </si>
  <si>
    <t>LWCC00</t>
  </si>
  <si>
    <t>LWCH00</t>
  </si>
  <si>
    <t>PlanCode</t>
    <phoneticPr fontId="3" type="noConversion"/>
  </si>
  <si>
    <t>MIC101</t>
  </si>
  <si>
    <t>MIC102</t>
  </si>
  <si>
    <t>MIC103</t>
  </si>
  <si>
    <t>MIC104</t>
  </si>
  <si>
    <t>MIC105</t>
  </si>
  <si>
    <t>MIC106</t>
  </si>
  <si>
    <t>HIB105</t>
  </si>
  <si>
    <t>HIB110</t>
  </si>
  <si>
    <t>HIB115</t>
  </si>
  <si>
    <t>HIB120</t>
  </si>
  <si>
    <t>HIB125</t>
  </si>
  <si>
    <t>HIB130</t>
  </si>
  <si>
    <t>FSAS00</t>
  </si>
  <si>
    <t>FS</t>
    <phoneticPr fontId="3" type="noConversion"/>
  </si>
  <si>
    <t>*</t>
    <phoneticPr fontId="3" type="noConversion"/>
  </si>
  <si>
    <t>險種代碼</t>
    <phoneticPr fontId="3" type="noConversion"/>
  </si>
  <si>
    <t>int</t>
    <phoneticPr fontId="3" type="noConversion"/>
  </si>
  <si>
    <t>*=不分職業等級</t>
    <phoneticPr fontId="3" type="noConversion"/>
  </si>
  <si>
    <t>保額計劃</t>
    <phoneticPr fontId="3" type="noConversion"/>
  </si>
  <si>
    <t>0=不分保額計劃</t>
    <phoneticPr fontId="3" type="noConversion"/>
  </si>
  <si>
    <t>CommRate</t>
  </si>
  <si>
    <t>PPL.000.033</t>
    <phoneticPr fontId="3" type="noConversion"/>
  </si>
  <si>
    <t>varchar(5)</t>
    <phoneticPr fontId="3" type="noConversion"/>
  </si>
  <si>
    <t>PPL.000.032</t>
    <phoneticPr fontId="3" type="noConversion"/>
  </si>
  <si>
    <t>varchar(5)</t>
    <phoneticPr fontId="3" type="noConversion"/>
  </si>
  <si>
    <t>nvarchar(100)</t>
    <phoneticPr fontId="3" type="noConversion"/>
  </si>
  <si>
    <t>PPL.000.032</t>
    <phoneticPr fontId="3" type="noConversion"/>
  </si>
  <si>
    <t>Y</t>
    <phoneticPr fontId="3" type="noConversion"/>
  </si>
  <si>
    <t>第一筆資料由通路服務平台提供，若沒資料給空白。</t>
    <phoneticPr fontId="3" type="noConversion"/>
  </si>
  <si>
    <t>電子郵件最大有效長度為256-2=254，若128不夠未來再放寬。***
第一筆資料由通路服務平台提供，若沒資料給空白。***
第一筆資料若為服務帳號，給空白。</t>
    <phoneticPr fontId="3" type="noConversion"/>
  </si>
  <si>
    <t>IsFstData</t>
    <phoneticPr fontId="3" type="noConversion"/>
  </si>
  <si>
    <t>是否為第一筆資料</t>
    <phoneticPr fontId="3" type="noConversion"/>
  </si>
  <si>
    <t>第一筆資料不可刪除。***
一般與服務帳號：通路服務平台提供。***
公用帳號：自建。</t>
    <phoneticPr fontId="3" type="noConversion"/>
  </si>
  <si>
    <t>ExpirationDate</t>
    <phoneticPr fontId="3" type="noConversion"/>
  </si>
  <si>
    <t>到期日期</t>
    <phoneticPr fontId="3" type="noConversion"/>
  </si>
  <si>
    <t>varchar(8)</t>
    <phoneticPr fontId="3" type="noConversion"/>
  </si>
  <si>
    <t>格式YYYYMMDD***
網路驗證：通過驗證日期+N天，N=公用代碼OffLineDay設定值。***
離線版：自建。</t>
    <phoneticPr fontId="3" type="noConversion"/>
  </si>
  <si>
    <t>5|10|15|20</t>
    <phoneticPr fontId="3" type="noConversion"/>
  </si>
  <si>
    <t>Title</t>
    <phoneticPr fontId="3" type="noConversion"/>
  </si>
  <si>
    <t>系統介接記錄檔</t>
    <phoneticPr fontId="3" type="noConversion"/>
  </si>
  <si>
    <t>SysApiLog</t>
    <phoneticPr fontId="3" type="noConversion"/>
  </si>
  <si>
    <t>IP</t>
  </si>
  <si>
    <t>IP</t>
    <phoneticPr fontId="3" type="noConversion"/>
  </si>
  <si>
    <t>varchar(15)</t>
    <phoneticPr fontId="3" type="noConversion"/>
  </si>
  <si>
    <t>IP</t>
    <phoneticPr fontId="3" type="noConversion"/>
  </si>
  <si>
    <t>Guid</t>
  </si>
  <si>
    <t>Guid</t>
    <phoneticPr fontId="3" type="noConversion"/>
  </si>
  <si>
    <t>ApiType</t>
  </si>
  <si>
    <t>ApiType</t>
    <phoneticPr fontId="3" type="noConversion"/>
  </si>
  <si>
    <t>Api類型</t>
    <phoneticPr fontId="3" type="noConversion"/>
  </si>
  <si>
    <t>IsSuccess</t>
  </si>
  <si>
    <t>IsSuccess</t>
    <phoneticPr fontId="3" type="noConversion"/>
  </si>
  <si>
    <t>char(1)</t>
    <phoneticPr fontId="3" type="noConversion"/>
  </si>
  <si>
    <t>Y</t>
    <phoneticPr fontId="3" type="noConversion"/>
  </si>
  <si>
    <t>是否成功</t>
    <phoneticPr fontId="3" type="noConversion"/>
  </si>
  <si>
    <t>datetime</t>
    <phoneticPr fontId="3" type="noConversion"/>
  </si>
  <si>
    <t>nvarchar(MAX)</t>
    <phoneticPr fontId="3" type="noConversion"/>
  </si>
  <si>
    <t>PPL.000.001</t>
    <phoneticPr fontId="3" type="noConversion"/>
  </si>
  <si>
    <t>PPL.000.034</t>
    <phoneticPr fontId="3" type="noConversion"/>
  </si>
  <si>
    <t>PPL.000.035</t>
    <phoneticPr fontId="3" type="noConversion"/>
  </si>
  <si>
    <t>HttpExchange</t>
  </si>
  <si>
    <t>HttpExchange</t>
    <phoneticPr fontId="3" type="noConversion"/>
  </si>
  <si>
    <t>LoginAccount</t>
  </si>
  <si>
    <t>12345678901234567890123456789012</t>
    <phoneticPr fontId="3" type="noConversion"/>
  </si>
  <si>
    <t>A123456789</t>
    <phoneticPr fontId="3" type="noConversion"/>
  </si>
  <si>
    <t>192.168.0.1</t>
    <phoneticPr fontId="3" type="noConversion"/>
  </si>
  <si>
    <t>HttpContent</t>
    <phoneticPr fontId="3" type="noConversion"/>
  </si>
  <si>
    <t>HttpTime</t>
    <phoneticPr fontId="3" type="noConversion"/>
  </si>
  <si>
    <t>HttpContent</t>
    <phoneticPr fontId="3" type="noConversion"/>
  </si>
  <si>
    <t>HttpTime</t>
    <phoneticPr fontId="3" type="noConversion"/>
  </si>
  <si>
    <t>PPL.000.036</t>
    <phoneticPr fontId="3" type="noConversion"/>
  </si>
  <si>
    <t>一般帳號=身分證字號or員工編號***
服務帳號=服務帳號+身分證字號***
公用帳號=自行定義</t>
    <phoneticPr fontId="3" type="noConversion"/>
  </si>
  <si>
    <t>一般帳號=身分證字號or員工編號***
服務帳號=服務帳號+身分證字號***
公用帳號=自行定義</t>
    <phoneticPr fontId="3" type="noConversion"/>
  </si>
  <si>
    <t>varchar(2)</t>
    <phoneticPr fontId="3" type="noConversion"/>
  </si>
  <si>
    <t>同一次呼叫的請求與回應，Guid值相同。</t>
    <phoneticPr fontId="3" type="noConversion"/>
  </si>
  <si>
    <t>varchar(100)</t>
    <phoneticPr fontId="3" type="noConversion"/>
  </si>
  <si>
    <t>Id</t>
    <phoneticPr fontId="3" type="noConversion"/>
  </si>
  <si>
    <t>Y</t>
    <phoneticPr fontId="3" type="noConversion"/>
  </si>
  <si>
    <t>身分證字號</t>
    <phoneticPr fontId="3" type="noConversion"/>
  </si>
  <si>
    <t>varchar(20)</t>
    <phoneticPr fontId="3" type="noConversion"/>
  </si>
  <si>
    <t>直營通路使用客戶查詢才有資料</t>
    <phoneticPr fontId="3" type="noConversion"/>
  </si>
  <si>
    <t>一般&amp;豁免險種各自獨立，皆從類型1開始，詳保費試算公式</t>
    <phoneticPr fontId="3" type="noConversion"/>
  </si>
  <si>
    <t>預留結構***
一般&amp;豁免險種各自獨立，皆從類型1開始，詳保費試算公式</t>
    <phoneticPr fontId="3" type="noConversion"/>
  </si>
  <si>
    <t>ActPremVer</t>
    <phoneticPr fontId="3" type="noConversion"/>
  </si>
  <si>
    <t>格式YYYYMMDD</t>
    <phoneticPr fontId="3" type="noConversion"/>
  </si>
  <si>
    <t>精算保費版本</t>
    <phoneticPr fontId="3" type="noConversion"/>
  </si>
  <si>
    <t>ActFactorVer</t>
    <phoneticPr fontId="3" type="noConversion"/>
  </si>
  <si>
    <t>精算係數版本</t>
    <phoneticPr fontId="3" type="noConversion"/>
  </si>
  <si>
    <t>建議書系統前端畫面，判斷是否重算保費使用</t>
    <phoneticPr fontId="3" type="noConversion"/>
  </si>
  <si>
    <t>varchar(36)</t>
    <phoneticPr fontId="3" type="noConversion"/>
  </si>
  <si>
    <t>Response結果符合預期</t>
    <phoneticPr fontId="3" type="noConversion"/>
  </si>
  <si>
    <t>格式YYYYMMDD</t>
    <phoneticPr fontId="3" type="noConversion"/>
  </si>
  <si>
    <t>原始保費試算類型</t>
    <phoneticPr fontId="3" type="noConversion"/>
  </si>
  <si>
    <t>高保額保費試算類型</t>
    <phoneticPr fontId="3" type="noConversion"/>
  </si>
  <si>
    <t>高保費保費試算類型</t>
    <phoneticPr fontId="3" type="noConversion"/>
  </si>
  <si>
    <t>首期保費試算類型</t>
    <phoneticPr fontId="3" type="noConversion"/>
  </si>
  <si>
    <t>續期保費試算類型</t>
    <phoneticPr fontId="3" type="noConversion"/>
  </si>
  <si>
    <t>匯入匯出</t>
    <phoneticPr fontId="3" type="noConversion"/>
  </si>
  <si>
    <t>要被保人是否同一人</t>
    <phoneticPr fontId="3" type="noConversion"/>
  </si>
  <si>
    <t>要被保人同一人</t>
    <phoneticPr fontId="3" type="noConversion"/>
  </si>
  <si>
    <t>歷史資料清除</t>
    <phoneticPr fontId="3" type="noConversion"/>
  </si>
  <si>
    <t>session紀錄清除(Ali)
軌跡紀錄是否清除或搬移(元大)</t>
    <phoneticPr fontId="3" type="noConversion"/>
  </si>
  <si>
    <t>集體彙繳折扣方式</t>
    <phoneticPr fontId="3" type="noConversion"/>
  </si>
  <si>
    <t>FstAddedBonusEndYear</t>
    <phoneticPr fontId="3" type="noConversion"/>
  </si>
  <si>
    <t>第一階段增值回饋金結束年度</t>
    <phoneticPr fontId="3" type="noConversion"/>
  </si>
  <si>
    <t>SndAddedBonusEndYear</t>
    <phoneticPr fontId="3" type="noConversion"/>
  </si>
  <si>
    <t>ThdAddedBonusEndYear</t>
    <phoneticPr fontId="3" type="noConversion"/>
  </si>
  <si>
    <t>第二階段增值回饋金結束年度</t>
    <phoneticPr fontId="3" type="noConversion"/>
  </si>
  <si>
    <t>第三階段增值回饋金結束年度</t>
    <phoneticPr fontId="3" type="noConversion"/>
  </si>
  <si>
    <t>Y</t>
    <phoneticPr fontId="3" type="noConversion"/>
  </si>
  <si>
    <t>Y</t>
    <phoneticPr fontId="3" type="noConversion"/>
  </si>
  <si>
    <t>欄位預設值</t>
    <phoneticPr fontId="3" type="noConversion"/>
  </si>
  <si>
    <t>ColDefaultValue</t>
  </si>
  <si>
    <t>ColDefaultValue</t>
    <phoneticPr fontId="3" type="noConversion"/>
  </si>
  <si>
    <t>Y</t>
    <phoneticPr fontId="3" type="noConversion"/>
  </si>
  <si>
    <t>欄位設定值</t>
    <phoneticPr fontId="3" type="noConversion"/>
  </si>
  <si>
    <t>ColSettingValue</t>
  </si>
  <si>
    <t>ColSettingValue</t>
    <phoneticPr fontId="3" type="noConversion"/>
  </si>
  <si>
    <t>增值回饋金額領取方式(第1-5年)</t>
    <phoneticPr fontId="3" type="noConversion"/>
  </si>
  <si>
    <t>增值回饋金額領取方式(第6年(含)起)</t>
    <phoneticPr fontId="3" type="noConversion"/>
  </si>
  <si>
    <t>增值回饋金額領取方式(第6年(含)起)</t>
    <phoneticPr fontId="3" type="noConversion"/>
  </si>
  <si>
    <t>增值回饋金額領取方式</t>
    <phoneticPr fontId="3" type="noConversion"/>
  </si>
  <si>
    <t>FstAddedBonusEndYear</t>
  </si>
  <si>
    <t>SndAddedBonusEndYear</t>
  </si>
  <si>
    <t>ThdAddedBonusEndYear</t>
  </si>
  <si>
    <t>利變型欄位***
若沒有第二階段增值回饋金領取方式，請給0</t>
    <phoneticPr fontId="3" type="noConversion"/>
  </si>
  <si>
    <t>利變型欄位***
若沒有第三階段增值回饋金領取方式，請給0</t>
    <phoneticPr fontId="3" type="noConversion"/>
  </si>
  <si>
    <t>利變型欄位</t>
  </si>
  <si>
    <t>壽險精算係數檔(保單價值準備金)</t>
    <phoneticPr fontId="3" type="noConversion"/>
  </si>
  <si>
    <t>壽險精算係數檔(保費)</t>
    <phoneticPr fontId="3" type="noConversion"/>
  </si>
  <si>
    <t>壽險精算係數檔(門檻比率)</t>
    <phoneticPr fontId="3" type="noConversion"/>
  </si>
  <si>
    <t>壽險精算係數檔(解約金)</t>
    <phoneticPr fontId="3" type="noConversion"/>
  </si>
  <si>
    <t>壽險精算係數檔(減額繳清)</t>
    <phoneticPr fontId="3" type="noConversion"/>
  </si>
  <si>
    <t>壽險精算係數檔(展期期間)</t>
    <phoneticPr fontId="3" type="noConversion"/>
  </si>
  <si>
    <t>壽險精算係數檔(展期生存金)</t>
    <phoneticPr fontId="3" type="noConversion"/>
  </si>
  <si>
    <t>壽險精算係數檔(當年度保險金額)</t>
    <phoneticPr fontId="3" type="noConversion"/>
  </si>
  <si>
    <t>精算保費類型</t>
    <phoneticPr fontId="3" type="noConversion"/>
  </si>
  <si>
    <t>nvarchar(14)</t>
    <phoneticPr fontId="3" type="noConversion"/>
  </si>
  <si>
    <t>精算保費版本</t>
    <phoneticPr fontId="3" type="noConversion"/>
  </si>
  <si>
    <t>ActPremVer</t>
    <phoneticPr fontId="3" type="noConversion"/>
  </si>
  <si>
    <t>LifeIns</t>
    <phoneticPr fontId="3" type="noConversion"/>
  </si>
  <si>
    <t>LifeIns_Data</t>
    <phoneticPr fontId="3" type="noConversion"/>
  </si>
  <si>
    <t>LifeInsFormulaPrem</t>
    <phoneticPr fontId="3" type="noConversion"/>
  </si>
  <si>
    <t>單位同LifeIns.AmtUnit</t>
    <phoneticPr fontId="3" type="noConversion"/>
  </si>
  <si>
    <t>LifeInsMultiKind</t>
    <phoneticPr fontId="3" type="noConversion"/>
  </si>
  <si>
    <t>*=沒有型別***
多型別對應dbo.LifeInsMultiKind</t>
    <phoneticPr fontId="3" type="noConversion"/>
  </si>
  <si>
    <t>LifeInsMultiKind</t>
    <phoneticPr fontId="3" type="noConversion"/>
  </si>
  <si>
    <t>LifeInsMultiCuy</t>
    <phoneticPr fontId="3" type="noConversion"/>
  </si>
  <si>
    <t>LifeInsDiscountHighAmt</t>
    <phoneticPr fontId="3" type="noConversion"/>
  </si>
  <si>
    <t>LifeInsDiscountHighPrem</t>
    <phoneticPr fontId="3" type="noConversion"/>
  </si>
  <si>
    <t>LifeInsPlanInputField</t>
    <phoneticPr fontId="3" type="noConversion"/>
  </si>
  <si>
    <t>LifeInsPlanInputFieldMap</t>
    <phoneticPr fontId="3" type="noConversion"/>
  </si>
  <si>
    <t>壽險險種輸入欄位對應檔</t>
  </si>
  <si>
    <t>壽險核保參數檔</t>
    <phoneticPr fontId="3" type="noConversion"/>
  </si>
  <si>
    <t>LifeInsUWParam</t>
    <phoneticPr fontId="3" type="noConversion"/>
  </si>
  <si>
    <t>壽險核心險種代碼對應檔</t>
    <phoneticPr fontId="3" type="noConversion"/>
  </si>
  <si>
    <t>LifeInsActFactorCR</t>
    <phoneticPr fontId="3" type="noConversion"/>
  </si>
  <si>
    <t>Channel</t>
    <phoneticPr fontId="3" type="noConversion"/>
  </si>
  <si>
    <t>LifeInsMultiCuy</t>
    <phoneticPr fontId="3" type="noConversion"/>
  </si>
  <si>
    <t>LifeInsExchangeRate</t>
    <phoneticPr fontId="3" type="noConversion"/>
  </si>
  <si>
    <t>LifeInsExchangeRate_Data</t>
    <phoneticPr fontId="3" type="noConversion"/>
  </si>
  <si>
    <t>LifeInsAmtPlan</t>
    <phoneticPr fontId="3" type="noConversion"/>
  </si>
  <si>
    <t>LifeInsAmtPlan_Data</t>
    <phoneticPr fontId="3" type="noConversion"/>
  </si>
  <si>
    <t>LifeInsYear</t>
    <phoneticPr fontId="3" type="noConversion"/>
  </si>
  <si>
    <t>LifeInsYear_Data</t>
    <phoneticPr fontId="3" type="noConversion"/>
  </si>
  <si>
    <t>LifeInsAmtLimitAge</t>
    <phoneticPr fontId="3" type="noConversion"/>
  </si>
  <si>
    <t>LifeInsAmtLimitAge_Data</t>
    <phoneticPr fontId="3" type="noConversion"/>
  </si>
  <si>
    <t>LifeInsAmtLimitJobGrade</t>
    <phoneticPr fontId="3" type="noConversion"/>
  </si>
  <si>
    <t>LifeInsAmtLimitJobGrade_Data</t>
    <phoneticPr fontId="3" type="noConversion"/>
  </si>
  <si>
    <t>LifeInsDiscountPayWay</t>
    <phoneticPr fontId="3" type="noConversion"/>
  </si>
  <si>
    <t>LifeInsDiscountPayWay_Data</t>
    <phoneticPr fontId="3" type="noConversion"/>
  </si>
  <si>
    <t>LifeInsDiscountHighAmt</t>
    <phoneticPr fontId="3" type="noConversion"/>
  </si>
  <si>
    <t>LifeInsDiscountHighAmt_Data</t>
    <phoneticPr fontId="3" type="noConversion"/>
  </si>
  <si>
    <t>LifeInsDiscountHighPrem</t>
    <phoneticPr fontId="3" type="noConversion"/>
  </si>
  <si>
    <t>LifeInsDiscountHighPrem_Data</t>
    <phoneticPr fontId="3" type="noConversion"/>
  </si>
  <si>
    <t>LifeInsAddRuleMaster</t>
    <phoneticPr fontId="3" type="noConversion"/>
  </si>
  <si>
    <t>LifeInsAddRuleMaster_Data</t>
    <phoneticPr fontId="3" type="noConversion"/>
  </si>
  <si>
    <t>LifeInsAddRuleRider</t>
    <phoneticPr fontId="3" type="noConversion"/>
  </si>
  <si>
    <t>LifeInsAddRuleRider_Data</t>
    <phoneticPr fontId="3" type="noConversion"/>
  </si>
  <si>
    <t>LifeInsPlanInputField</t>
    <phoneticPr fontId="3" type="noConversion"/>
  </si>
  <si>
    <t>LifeInsPlanInputField_Data</t>
    <phoneticPr fontId="3" type="noConversion"/>
  </si>
  <si>
    <t>LifeInsPlanInputFieldMap</t>
    <phoneticPr fontId="3" type="noConversion"/>
  </si>
  <si>
    <t>LifeInsPlanInputFieldMap_Data</t>
    <phoneticPr fontId="3" type="noConversion"/>
  </si>
  <si>
    <t>LifeInsJobCode</t>
    <phoneticPr fontId="3" type="noConversion"/>
  </si>
  <si>
    <t>LifeInsJobCode_Data</t>
    <phoneticPr fontId="3" type="noConversion"/>
  </si>
  <si>
    <t>LifeInsUWRule</t>
    <phoneticPr fontId="3" type="noConversion"/>
  </si>
  <si>
    <t>LifeInsUWParam</t>
    <phoneticPr fontId="3" type="noConversion"/>
  </si>
  <si>
    <t>LifeInsActFactorGP</t>
    <phoneticPr fontId="3" type="noConversion"/>
  </si>
  <si>
    <t>LifeInsActFactorPV</t>
    <phoneticPr fontId="3" type="noConversion"/>
  </si>
  <si>
    <t>LifeInsActFactorCSV</t>
    <phoneticPr fontId="3" type="noConversion"/>
  </si>
  <si>
    <t>LifeInsActFactorRPU</t>
    <phoneticPr fontId="3" type="noConversion"/>
  </si>
  <si>
    <t>LifeInsActFactorETI</t>
    <phoneticPr fontId="3" type="noConversion"/>
  </si>
  <si>
    <t>LifeInsActFactorETS</t>
    <phoneticPr fontId="3" type="noConversion"/>
  </si>
  <si>
    <t>LifeInsActFactorFA</t>
    <phoneticPr fontId="3" type="noConversion"/>
  </si>
  <si>
    <t>LifeInsActFactorCR</t>
    <phoneticPr fontId="3" type="noConversion"/>
  </si>
  <si>
    <t>LifeInsCorePlanCodeMap</t>
    <phoneticPr fontId="3" type="noConversion"/>
  </si>
  <si>
    <t>LifeInsCorePlanCodeMap_Data</t>
    <phoneticPr fontId="3" type="noConversion"/>
  </si>
  <si>
    <t>ChannelPackagePlanYear</t>
    <phoneticPr fontId="3" type="noConversion"/>
  </si>
  <si>
    <t>ChannelPackageAmtLimitAge</t>
    <phoneticPr fontId="3" type="noConversion"/>
  </si>
  <si>
    <t>UserProposal</t>
    <phoneticPr fontId="3" type="noConversion"/>
  </si>
  <si>
    <t>UserProposalInsObject</t>
    <phoneticPr fontId="3" type="noConversion"/>
  </si>
  <si>
    <t>ChannelPlanView</t>
    <phoneticPr fontId="3" type="noConversion"/>
  </si>
  <si>
    <t>ChannelPlanView_Data</t>
    <phoneticPr fontId="3" type="noConversion"/>
  </si>
  <si>
    <t>ChannelPackagePlan</t>
    <phoneticPr fontId="3" type="noConversion"/>
  </si>
  <si>
    <t>ChannelPackagePlan_Data</t>
    <phoneticPr fontId="3" type="noConversion"/>
  </si>
  <si>
    <t>ChannelPackagePlanYear</t>
    <phoneticPr fontId="3" type="noConversion"/>
  </si>
  <si>
    <t>ChannelPackagePlanYear_Data</t>
    <phoneticPr fontId="3" type="noConversion"/>
  </si>
  <si>
    <t>ChannelPackageAmtLimitAge_Data</t>
    <phoneticPr fontId="3" type="noConversion"/>
  </si>
  <si>
    <t>SysApiLog_Data</t>
    <phoneticPr fontId="3" type="noConversion"/>
  </si>
  <si>
    <t>IsMain</t>
  </si>
  <si>
    <t>MultiMainCount</t>
  </si>
  <si>
    <t>IsMultiCuy</t>
  </si>
  <si>
    <t>InsObject</t>
  </si>
  <si>
    <t>InsBgnJobGrade</t>
  </si>
  <si>
    <t>InsEndJobGrade</t>
  </si>
  <si>
    <t>GroupPayDiscountType</t>
  </si>
  <si>
    <t>FirstPayWay</t>
  </si>
  <si>
    <t>RenewPayWay</t>
  </si>
  <si>
    <t>預留結構***
IsMultiCuy=Y，搭配dbo.LifeInsMultiCuy設定</t>
    <phoneticPr fontId="3" type="noConversion"/>
  </si>
  <si>
    <t>IsMultiKind</t>
  </si>
  <si>
    <t>預留結構***
IsMultiKind=Y，  搭配dbo.LifeInsMultiKind設定</t>
  </si>
  <si>
    <t>MultiKind</t>
  </si>
  <si>
    <t>DispMultiKind</t>
  </si>
  <si>
    <t>BgnDate</t>
  </si>
  <si>
    <t>IsInsuredBgnEnoughAge</t>
  </si>
  <si>
    <t>InsuredBgnAge</t>
  </si>
  <si>
    <t>InsuredEndAge</t>
  </si>
  <si>
    <t>InsuredCovEndYear</t>
  </si>
  <si>
    <t>IsSpouseBgnEnoughAge</t>
  </si>
  <si>
    <t>SpouseBgnAge</t>
  </si>
  <si>
    <t>SpouseEndAge</t>
  </si>
  <si>
    <t>SpouseCovEndYear</t>
  </si>
  <si>
    <t>IsChildBgnEnoughAge</t>
  </si>
  <si>
    <t>ChildBgnAge</t>
  </si>
  <si>
    <t>ChildEndAge</t>
  </si>
  <si>
    <t>ChildCovEndYear</t>
  </si>
  <si>
    <t>FirstPayDiscountRate</t>
  </si>
  <si>
    <t>首期繳費折扣率</t>
  </si>
  <si>
    <t>RenewPayDiscountRate</t>
  </si>
  <si>
    <t>續期繳費折扣率</t>
  </si>
  <si>
    <t>BgnAmt</t>
  </si>
  <si>
    <t>EndAmt</t>
  </si>
  <si>
    <t>BgnPrem</t>
  </si>
  <si>
    <t>EndPrem</t>
  </si>
  <si>
    <t>SecondChannelCode</t>
  </si>
  <si>
    <t>ChannelCode</t>
  </si>
  <si>
    <t>第一筆資料由通路服務平台提供，若沒資料給空白。***
優先順序：分行名稱(BranchName) &gt; 次通路名稱(SecondChannelName)。</t>
  </si>
  <si>
    <t>SecondChannelName</t>
  </si>
  <si>
    <t>GeneralPremCalcType</t>
  </si>
  <si>
    <t>HighAmtPremCalcType</t>
  </si>
  <si>
    <t>HighPremPremCalcType</t>
  </si>
  <si>
    <t>FirstPayPremCalcType</t>
  </si>
  <si>
    <t>RenewPayPremCalcType</t>
  </si>
  <si>
    <t>EnoughAge</t>
  </si>
  <si>
    <t>InsAmt</t>
  </si>
  <si>
    <t>GeneralPrem</t>
  </si>
  <si>
    <t>HighAmtDiscountPrem</t>
  </si>
  <si>
    <t>FirstPayDiscountPrem</t>
  </si>
  <si>
    <t>RenewPayDiscountPrem</t>
  </si>
  <si>
    <t>RegisterNo</t>
    <phoneticPr fontId="3" type="noConversion"/>
  </si>
  <si>
    <t>IsSpouseBgnEnoughAge</t>
    <phoneticPr fontId="3" type="noConversion"/>
  </si>
  <si>
    <t>YYY年DD日</t>
    <phoneticPr fontId="3" type="noConversion"/>
  </si>
  <si>
    <t>壽險試算類型檔(保費)</t>
    <phoneticPr fontId="3" type="noConversion"/>
  </si>
  <si>
    <t>壽險試算類型檔(保障明細)</t>
    <phoneticPr fontId="3" type="noConversion"/>
  </si>
  <si>
    <t>LifeInsCalcTypePrem</t>
    <phoneticPr fontId="3" type="noConversion"/>
  </si>
  <si>
    <t>LifeInsCalcTypeBenefit</t>
    <phoneticPr fontId="3" type="noConversion"/>
  </si>
  <si>
    <t>int</t>
    <phoneticPr fontId="3" type="noConversion"/>
  </si>
  <si>
    <t>Y</t>
    <phoneticPr fontId="3" type="noConversion"/>
  </si>
  <si>
    <t>結構名稱</t>
    <phoneticPr fontId="3" type="noConversion"/>
  </si>
  <si>
    <t>回到目錄</t>
    <phoneticPr fontId="3" type="noConversion"/>
  </si>
  <si>
    <t>BaseInsYearCalcType</t>
  </si>
  <si>
    <t>BaseInsAgeCalcType</t>
  </si>
  <si>
    <t>BasePayPremCalcType</t>
  </si>
  <si>
    <t>BasePayPremMasterCalcType</t>
  </si>
  <si>
    <t>BasePayPremRiderCalcType</t>
  </si>
  <si>
    <t>BaseSACalcType</t>
  </si>
  <si>
    <t>BaseMinorDBCalcType</t>
  </si>
  <si>
    <t>BaseAdultDBCalcType</t>
  </si>
  <si>
    <t>BaseDBCalcType</t>
  </si>
  <si>
    <t>BasePDBCalcType</t>
  </si>
  <si>
    <t>BaseAccidDBCalcType</t>
  </si>
  <si>
    <t>BaseSpecAccidDBCalcType</t>
  </si>
  <si>
    <t>BasePublicTransDBCalcType</t>
  </si>
  <si>
    <t>BaseLandTransDBCalcType</t>
  </si>
  <si>
    <t>BaseWaterTransDBCalcType</t>
  </si>
  <si>
    <t>BaseAirTransDBCalcType</t>
  </si>
  <si>
    <t>BaseMBCalcType</t>
  </si>
  <si>
    <t>BaseSBCalcType</t>
  </si>
  <si>
    <t>BasePVCalcType</t>
  </si>
  <si>
    <t>BaseCSVCalcType</t>
  </si>
  <si>
    <t>BaseRPUCalcType</t>
  </si>
  <si>
    <t>VabCashCalcType</t>
  </si>
  <si>
    <t>VabVABCalcType</t>
  </si>
  <si>
    <t>VabCashWDCalcType</t>
  </si>
  <si>
    <t>PuaSACalcType</t>
  </si>
  <si>
    <t>PuaPVCalcType</t>
  </si>
  <si>
    <t>PuaCSVCalcType</t>
  </si>
  <si>
    <t>PuaDBCalcType</t>
  </si>
  <si>
    <t>PuaPDBCalcType</t>
  </si>
  <si>
    <t>PuaSBCalcType</t>
  </si>
  <si>
    <t>TotalSACalcType</t>
  </si>
  <si>
    <t>TotalPVCalcType</t>
  </si>
  <si>
    <t>TotalCSVCalcType</t>
  </si>
  <si>
    <t>TotalDBCalcType</t>
  </si>
  <si>
    <t>TotalMaxNotationCalcType</t>
  </si>
  <si>
    <t>TotalPDBCalcType</t>
  </si>
  <si>
    <t>TotalSpecAccidDBCalcType</t>
  </si>
  <si>
    <t>TotalSBCalcType</t>
  </si>
  <si>
    <t>TotalMBCalcType</t>
  </si>
  <si>
    <t>TotalSumCSVCalcType</t>
  </si>
  <si>
    <t>TotalSumDBCalcType</t>
  </si>
  <si>
    <t>TotalSumPDBCalcType</t>
  </si>
  <si>
    <t>基本資料：年度試算類型</t>
  </si>
  <si>
    <t>基本資料：年齡試算類型</t>
  </si>
  <si>
    <t>基本資料：當年度實繳保費試算類型</t>
  </si>
  <si>
    <t>基本資料：當年度實繳保費主約試算類型</t>
  </si>
  <si>
    <t>基本資料：當年度實繳保費附約試算類型</t>
  </si>
  <si>
    <t>基本資料：當年度保險金額試算類型</t>
  </si>
  <si>
    <t>基本資料：身故保險金試算類型</t>
  </si>
  <si>
    <t>基本資料：意外身故保險金試算類型</t>
  </si>
  <si>
    <t>基本資料：特定意外身故保險金試算類型</t>
  </si>
  <si>
    <t>基本資料：大眾運輸身故保險金或喪葬費用保險金試算類型</t>
  </si>
  <si>
    <t>基本資料：陸上大眾運輸意外傷害事故試算類型</t>
  </si>
  <si>
    <t>基本資料：水上大眾運輸意外傷害事故試算類型</t>
  </si>
  <si>
    <t>基本資料：空中大眾運輸意外傷害事故試算類型</t>
  </si>
  <si>
    <t>基本資料：滿期/祝壽保險金試算類型</t>
  </si>
  <si>
    <t>基本資料：生存保險金試算類型</t>
  </si>
  <si>
    <t>基本資料：累計生存保險金試算類型</t>
  </si>
  <si>
    <t>基本資料：保單價值準備金試算類型</t>
  </si>
  <si>
    <t>基本資料：解約金試算類型</t>
  </si>
  <si>
    <t>基本資料：減額繳清保險金額試算類型</t>
  </si>
  <si>
    <t>合計：折扣前年繳保費總額試算類型</t>
  </si>
  <si>
    <t>合計：當年度保險金額試算類型</t>
  </si>
  <si>
    <t>合計：保單價值準備金試算類型</t>
  </si>
  <si>
    <t>合計：解約金試算類型</t>
  </si>
  <si>
    <t>合計：身故保險金試算類型</t>
  </si>
  <si>
    <t>合計：註記N者取其大試算類型</t>
  </si>
  <si>
    <t>合計：完全失能保險金試算類型</t>
  </si>
  <si>
    <t>合計：特定意外身故保險金試算類型</t>
  </si>
  <si>
    <t>合計：生存保險金試算類型</t>
  </si>
  <si>
    <t>合計：累計生存保險金試算類型</t>
  </si>
  <si>
    <t>合計：達16歲(含)前增值回饋金累計儲存生息之金額試算類型</t>
  </si>
  <si>
    <t>合計：祝壽保險金試算類型</t>
  </si>
  <si>
    <t>合計：年度末解約總給付試算類型</t>
  </si>
  <si>
    <t>合計：完全失能總給付試算類型</t>
  </si>
  <si>
    <t>SysDocumentRule</t>
    <phoneticPr fontId="3" type="noConversion"/>
  </si>
  <si>
    <t>系統文件主檔</t>
    <phoneticPr fontId="3" type="noConversion"/>
  </si>
  <si>
    <t>系統文件實體檔</t>
    <phoneticPr fontId="3" type="noConversion"/>
  </si>
  <si>
    <t>系統文件規則檔</t>
    <phoneticPr fontId="3" type="noConversion"/>
  </si>
  <si>
    <t>SysDocumentFile</t>
    <phoneticPr fontId="3" type="noConversion"/>
  </si>
  <si>
    <t>SysDocumentRule_Data</t>
    <phoneticPr fontId="3" type="noConversion"/>
  </si>
  <si>
    <t>FstEndAmt</t>
    <phoneticPr fontId="3" type="noConversion"/>
  </si>
  <si>
    <t>int</t>
    <phoneticPr fontId="3" type="noConversion"/>
  </si>
  <si>
    <t>Y</t>
    <phoneticPr fontId="3" type="noConversion"/>
  </si>
  <si>
    <t>第一階段保額上限</t>
    <phoneticPr fontId="3" type="noConversion"/>
  </si>
  <si>
    <t>拆分兩個階段保額與單位費率計算原始保費***
代表險種：QR、MR</t>
    <phoneticPr fontId="3" type="noConversion"/>
  </si>
  <si>
    <t>PK</t>
    <phoneticPr fontId="3" type="noConversion"/>
  </si>
  <si>
    <t>varchar(2)</t>
    <phoneticPr fontId="3" type="noConversion"/>
  </si>
  <si>
    <t>ActFactorType</t>
    <phoneticPr fontId="3" type="noConversion"/>
  </si>
  <si>
    <t>精算係數類型</t>
    <phoneticPr fontId="3" type="noConversion"/>
  </si>
  <si>
    <t>(1) *=不分類型
(2) L=豁免平準
(3) I=豁免遞增</t>
    <phoneticPr fontId="3" type="noConversion"/>
  </si>
  <si>
    <t>ChannelPackageMap</t>
    <phoneticPr fontId="3" type="noConversion"/>
  </si>
  <si>
    <t>通路套裝對應檔</t>
    <phoneticPr fontId="3" type="noConversion"/>
  </si>
  <si>
    <t>定義通路與次通路使用的Package。</t>
    <phoneticPr fontId="3" type="noConversion"/>
  </si>
  <si>
    <t>定義PackagePlan險種設定時的可見範圍。</t>
    <phoneticPr fontId="3" type="noConversion"/>
  </si>
  <si>
    <t>dbo</t>
    <phoneticPr fontId="3" type="noConversion"/>
  </si>
  <si>
    <t>ChannelPackage</t>
    <phoneticPr fontId="3" type="noConversion"/>
  </si>
  <si>
    <t>ChannelPackage_Data</t>
    <phoneticPr fontId="3" type="noConversion"/>
  </si>
  <si>
    <t>通路套裝主檔</t>
    <phoneticPr fontId="3" type="noConversion"/>
  </si>
  <si>
    <t>定義Package名稱。</t>
    <phoneticPr fontId="3" type="noConversion"/>
  </si>
  <si>
    <t>dbo</t>
    <phoneticPr fontId="3" type="noConversion"/>
  </si>
  <si>
    <t>ChannelPackageMap_Data</t>
    <phoneticPr fontId="3" type="noConversion"/>
  </si>
  <si>
    <t>dbo.LifeIns.IsMultiCuy之延伸設定，預留結構暫不實作。</t>
    <phoneticPr fontId="3" type="noConversion"/>
  </si>
  <si>
    <t>dbo.LifeIns.AmtInputType之延伸設定。</t>
    <phoneticPr fontId="3" type="noConversion"/>
  </si>
  <si>
    <t>FM</t>
    <phoneticPr fontId="3" type="noConversion"/>
  </si>
  <si>
    <t>*</t>
    <phoneticPr fontId="3" type="noConversion"/>
  </si>
  <si>
    <t>EW</t>
    <phoneticPr fontId="3" type="noConversion"/>
  </si>
  <si>
    <t>增值回饋金額領取方式(第1-5年)</t>
    <phoneticPr fontId="3" type="noConversion"/>
  </si>
  <si>
    <t>增值回饋金額領取方式(第6年(含)起)</t>
    <phoneticPr fontId="3" type="noConversion"/>
  </si>
  <si>
    <t>MailAccount</t>
    <phoneticPr fontId="3" type="noConversion"/>
  </si>
  <si>
    <t>MailPassword</t>
    <phoneticPr fontId="3" type="noConversion"/>
  </si>
  <si>
    <t>郵件帳號</t>
    <phoneticPr fontId="3" type="noConversion"/>
  </si>
  <si>
    <t>郵件密碼</t>
    <phoneticPr fontId="3" type="noConversion"/>
  </si>
  <si>
    <t>軌跡記錄檔</t>
    <phoneticPr fontId="3" type="noConversion"/>
  </si>
  <si>
    <t>dbo</t>
    <phoneticPr fontId="3" type="noConversion"/>
  </si>
  <si>
    <t>TrackLog</t>
    <phoneticPr fontId="3" type="noConversion"/>
  </si>
  <si>
    <t>TrackLog_西元年YYYY_季S，例如：TrackLog_2020_4。</t>
    <phoneticPr fontId="3" type="noConversion"/>
  </si>
  <si>
    <t>Guid.NewGuid().ToString()</t>
    <phoneticPr fontId="3" type="noConversion"/>
  </si>
  <si>
    <t>LogType</t>
    <phoneticPr fontId="3" type="noConversion"/>
  </si>
  <si>
    <t>紀錄類型</t>
    <phoneticPr fontId="3" type="noConversion"/>
  </si>
  <si>
    <t>PPL.000.037</t>
    <phoneticPr fontId="3" type="noConversion"/>
  </si>
  <si>
    <t>ModuleName</t>
    <phoneticPr fontId="3" type="noConversion"/>
  </si>
  <si>
    <t>ActionName</t>
    <phoneticPr fontId="3" type="noConversion"/>
  </si>
  <si>
    <t>模組名稱</t>
    <phoneticPr fontId="3" type="noConversion"/>
  </si>
  <si>
    <t>動作名稱</t>
    <phoneticPr fontId="3" type="noConversion"/>
  </si>
  <si>
    <t>動作描述</t>
    <phoneticPr fontId="3" type="noConversion"/>
  </si>
  <si>
    <t>LogType</t>
  </si>
  <si>
    <t>ModuleName</t>
  </si>
  <si>
    <t>ActionName</t>
  </si>
  <si>
    <t>ActionDescription</t>
  </si>
  <si>
    <t>00000000-0000-0000-0000-000000000000</t>
    <phoneticPr fontId="3" type="noConversion"/>
  </si>
  <si>
    <t>192.168.1.1</t>
    <phoneticPr fontId="3" type="noConversion"/>
  </si>
  <si>
    <t>sys</t>
    <phoneticPr fontId="3" type="noConversion"/>
  </si>
  <si>
    <t>varchar(30)</t>
    <phoneticPr fontId="3" type="noConversion"/>
  </si>
  <si>
    <t>nvarchar(30)</t>
    <phoneticPr fontId="3" type="noConversion"/>
  </si>
  <si>
    <t>nvarchar(30)</t>
    <phoneticPr fontId="3" type="noConversion"/>
  </si>
  <si>
    <t>nvarchar(MAX)</t>
    <phoneticPr fontId="3" type="noConversion"/>
  </si>
  <si>
    <t>BranchCode</t>
  </si>
  <si>
    <t>AGY</t>
    <phoneticPr fontId="3" type="noConversion"/>
  </si>
  <si>
    <t>明碼長度為50，以RFC2898加密儲存。</t>
    <phoneticPr fontId="3" type="noConversion"/>
  </si>
  <si>
    <t>直營通路業務員發送Email使用。</t>
    <phoneticPr fontId="3" type="noConversion"/>
  </si>
  <si>
    <t>直營通路業務員發送Email使用。***
明碼長度為50，以RFC2898加密儲存。</t>
    <phoneticPr fontId="3" type="noConversion"/>
  </si>
  <si>
    <t>ESOAF</t>
    <phoneticPr fontId="3" type="noConversion"/>
  </si>
  <si>
    <t>ESOAF_LOG</t>
    <phoneticPr fontId="3" type="noConversion"/>
  </si>
  <si>
    <t>TrackLog_Data</t>
    <phoneticPr fontId="3" type="noConversion"/>
  </si>
  <si>
    <t>dbo</t>
    <phoneticPr fontId="3" type="noConversion"/>
  </si>
  <si>
    <t>登入</t>
    <phoneticPr fontId="3" type="noConversion"/>
  </si>
  <si>
    <t>登入</t>
    <phoneticPr fontId="3" type="noConversion"/>
  </si>
  <si>
    <t>匯入</t>
    <phoneticPr fontId="3" type="noConversion"/>
  </si>
  <si>
    <t>建議書首頁</t>
    <phoneticPr fontId="3" type="noConversion"/>
  </si>
  <si>
    <t>新增建議書</t>
    <phoneticPr fontId="3" type="noConversion"/>
  </si>
  <si>
    <t>建議書清單</t>
    <phoneticPr fontId="3" type="noConversion"/>
  </si>
  <si>
    <t>使用者資料</t>
    <phoneticPr fontId="3" type="noConversion"/>
  </si>
  <si>
    <t>備份匯出</t>
    <phoneticPr fontId="3" type="noConversion"/>
  </si>
  <si>
    <t>建議書清單</t>
    <phoneticPr fontId="3" type="noConversion"/>
  </si>
  <si>
    <t>查詢</t>
    <phoneticPr fontId="3" type="noConversion"/>
  </si>
  <si>
    <t>刪除</t>
    <phoneticPr fontId="3" type="noConversion"/>
  </si>
  <si>
    <t>返回</t>
    <phoneticPr fontId="3" type="noConversion"/>
  </si>
  <si>
    <t>新增建議書</t>
    <phoneticPr fontId="3" type="noConversion"/>
  </si>
  <si>
    <t>編輯投保內容</t>
    <phoneticPr fontId="3" type="noConversion"/>
  </si>
  <si>
    <t>編輯配偶子女</t>
    <phoneticPr fontId="3" type="noConversion"/>
  </si>
  <si>
    <t>確認</t>
    <phoneticPr fontId="3" type="noConversion"/>
  </si>
  <si>
    <t>關閉</t>
    <phoneticPr fontId="3" type="noConversion"/>
  </si>
  <si>
    <t>查詢客戶</t>
    <phoneticPr fontId="3" type="noConversion"/>
  </si>
  <si>
    <t>查詢職業代碼</t>
    <phoneticPr fontId="3" type="noConversion"/>
  </si>
  <si>
    <t>查詢</t>
    <phoneticPr fontId="3" type="noConversion"/>
  </si>
  <si>
    <t>選取</t>
    <phoneticPr fontId="3" type="noConversion"/>
  </si>
  <si>
    <t>查詢職業代碼</t>
    <phoneticPr fontId="3" type="noConversion"/>
  </si>
  <si>
    <t>關閉</t>
    <phoneticPr fontId="3" type="noConversion"/>
  </si>
  <si>
    <t>投保內容區</t>
    <phoneticPr fontId="3" type="noConversion"/>
  </si>
  <si>
    <t>編輯基本資料</t>
    <phoneticPr fontId="3" type="noConversion"/>
  </si>
  <si>
    <t>編輯險種</t>
    <phoneticPr fontId="3" type="noConversion"/>
  </si>
  <si>
    <t>建議書試算</t>
    <phoneticPr fontId="3" type="noConversion"/>
  </si>
  <si>
    <t>展示畫面</t>
    <phoneticPr fontId="3" type="noConversion"/>
  </si>
  <si>
    <t>返回</t>
    <phoneticPr fontId="3" type="noConversion"/>
  </si>
  <si>
    <t>功能展開區</t>
    <phoneticPr fontId="3" type="noConversion"/>
  </si>
  <si>
    <t>讀取專案組合</t>
    <phoneticPr fontId="3" type="noConversion"/>
  </si>
  <si>
    <t>儲存專案組合</t>
    <phoneticPr fontId="3" type="noConversion"/>
  </si>
  <si>
    <t>讀取檔案</t>
    <phoneticPr fontId="3" type="noConversion"/>
  </si>
  <si>
    <t>儲存檔案</t>
    <phoneticPr fontId="3" type="noConversion"/>
  </si>
  <si>
    <t>儲存建議書</t>
    <phoneticPr fontId="3" type="noConversion"/>
  </si>
  <si>
    <t>另存建議書</t>
    <phoneticPr fontId="3" type="noConversion"/>
  </si>
  <si>
    <t>預覽列印</t>
    <phoneticPr fontId="3" type="noConversion"/>
  </si>
  <si>
    <t>商品資訊</t>
    <phoneticPr fontId="3" type="noConversion"/>
  </si>
  <si>
    <t>佣金表</t>
    <phoneticPr fontId="3" type="noConversion"/>
  </si>
  <si>
    <t>BMI計算</t>
    <phoneticPr fontId="3" type="noConversion"/>
  </si>
  <si>
    <t>轉出至行投</t>
    <phoneticPr fontId="3" type="noConversion"/>
  </si>
  <si>
    <t>表單全選</t>
    <phoneticPr fontId="3" type="noConversion"/>
  </si>
  <si>
    <t>表單全不選</t>
    <phoneticPr fontId="3" type="noConversion"/>
  </si>
  <si>
    <t>商品清單全選</t>
    <phoneticPr fontId="3" type="noConversion"/>
  </si>
  <si>
    <t>商品清單全不選</t>
    <phoneticPr fontId="3" type="noConversion"/>
  </si>
  <si>
    <t>預覽</t>
    <phoneticPr fontId="3" type="noConversion"/>
  </si>
  <si>
    <t>列印</t>
    <phoneticPr fontId="3" type="noConversion"/>
  </si>
  <si>
    <t>Email</t>
    <phoneticPr fontId="3" type="noConversion"/>
  </si>
  <si>
    <t>ibon</t>
    <phoneticPr fontId="3" type="noConversion"/>
  </si>
  <si>
    <t>關閉</t>
    <phoneticPr fontId="3" type="noConversion"/>
  </si>
  <si>
    <t>計算</t>
    <phoneticPr fontId="3" type="noConversion"/>
  </si>
  <si>
    <t>查詢</t>
    <phoneticPr fontId="3" type="noConversion"/>
  </si>
  <si>
    <t>下載</t>
    <phoneticPr fontId="3" type="noConversion"/>
  </si>
  <si>
    <t>送出</t>
    <phoneticPr fontId="3" type="noConversion"/>
  </si>
  <si>
    <t>加入</t>
    <phoneticPr fontId="3" type="noConversion"/>
  </si>
  <si>
    <t>修改</t>
    <phoneticPr fontId="3" type="noConversion"/>
  </si>
  <si>
    <t>刪除</t>
    <phoneticPr fontId="3" type="noConversion"/>
  </si>
  <si>
    <t>展示畫面</t>
    <phoneticPr fontId="3" type="noConversion"/>
  </si>
  <si>
    <t>使用者資料維護</t>
    <phoneticPr fontId="3" type="noConversion"/>
  </si>
  <si>
    <t>新增</t>
    <phoneticPr fontId="3" type="noConversion"/>
  </si>
  <si>
    <t>確認</t>
    <phoneticPr fontId="3" type="noConversion"/>
  </si>
  <si>
    <t>ModuleDescription</t>
  </si>
  <si>
    <t>ModuleDescription</t>
    <phoneticPr fontId="3" type="noConversion"/>
  </si>
  <si>
    <t>模組描述</t>
    <phoneticPr fontId="3" type="noConversion"/>
  </si>
  <si>
    <t>ActionDescription</t>
    <phoneticPr fontId="3" type="noConversion"/>
  </si>
  <si>
    <t>動作紀錄</t>
    <phoneticPr fontId="3" type="noConversion"/>
  </si>
  <si>
    <t>ActionLog</t>
  </si>
  <si>
    <t>ActionLog</t>
    <phoneticPr fontId="3" type="noConversion"/>
  </si>
  <si>
    <t>Login</t>
    <phoneticPr fontId="3" type="noConversion"/>
  </si>
  <si>
    <t>ProposalList</t>
    <phoneticPr fontId="3" type="noConversion"/>
  </si>
  <si>
    <t>CreateProposal</t>
    <phoneticPr fontId="3" type="noConversion"/>
  </si>
  <si>
    <t>LoginPage</t>
    <phoneticPr fontId="3" type="noConversion"/>
  </si>
  <si>
    <t>ProposalHome</t>
    <phoneticPr fontId="3" type="noConversion"/>
  </si>
  <si>
    <t>QueryCustomer</t>
    <phoneticPr fontId="3" type="noConversion"/>
  </si>
  <si>
    <t>QueryJobCode</t>
    <phoneticPr fontId="3" type="noConversion"/>
  </si>
  <si>
    <t>EditAddInsured</t>
    <phoneticPr fontId="3" type="noConversion"/>
  </si>
  <si>
    <t>InsContent</t>
    <phoneticPr fontId="3" type="noConversion"/>
  </si>
  <si>
    <t>FunctionMenu</t>
    <phoneticPr fontId="3" type="noConversion"/>
  </si>
  <si>
    <t>PreviewPrint</t>
    <phoneticPr fontId="3" type="noConversion"/>
  </si>
  <si>
    <t>BMI</t>
    <phoneticPr fontId="3" type="noConversion"/>
  </si>
  <si>
    <t>ProductInfo</t>
    <phoneticPr fontId="3" type="noConversion"/>
  </si>
  <si>
    <t>EditPlanItem</t>
    <phoneticPr fontId="3" type="noConversion"/>
  </si>
  <si>
    <t>ShowProposal</t>
    <phoneticPr fontId="3" type="noConversion"/>
  </si>
  <si>
    <t>EditAgentInfo</t>
    <phoneticPr fontId="3" type="noConversion"/>
  </si>
  <si>
    <t>Export</t>
    <phoneticPr fontId="3" type="noConversion"/>
  </si>
  <si>
    <t>CreateProposal</t>
    <phoneticPr fontId="3" type="noConversion"/>
  </si>
  <si>
    <t>ProposalList</t>
    <phoneticPr fontId="3" type="noConversion"/>
  </si>
  <si>
    <t>Import</t>
    <phoneticPr fontId="3" type="noConversion"/>
  </si>
  <si>
    <t>Search</t>
    <phoneticPr fontId="3" type="noConversion"/>
  </si>
  <si>
    <t>Delete</t>
    <phoneticPr fontId="3" type="noConversion"/>
  </si>
  <si>
    <t>Back</t>
    <phoneticPr fontId="3" type="noConversion"/>
  </si>
  <si>
    <t>EditInsContent</t>
    <phoneticPr fontId="3" type="noConversion"/>
  </si>
  <si>
    <t>Select</t>
    <phoneticPr fontId="3" type="noConversion"/>
  </si>
  <si>
    <t>Close</t>
    <phoneticPr fontId="3" type="noConversion"/>
  </si>
  <si>
    <t>Confirm</t>
    <phoneticPr fontId="3" type="noConversion"/>
  </si>
  <si>
    <t>EditBasicInfo</t>
    <phoneticPr fontId="3" type="noConversion"/>
  </si>
  <si>
    <t>CalcProposal</t>
    <phoneticPr fontId="3" type="noConversion"/>
  </si>
  <si>
    <t>SavePlanPackage</t>
    <phoneticPr fontId="3" type="noConversion"/>
  </si>
  <si>
    <t>LoadPlanPackage</t>
    <phoneticPr fontId="3" type="noConversion"/>
  </si>
  <si>
    <t>SaveProposal</t>
    <phoneticPr fontId="3" type="noConversion"/>
  </si>
  <si>
    <t>SaveAsProposal</t>
    <phoneticPr fontId="3" type="noConversion"/>
  </si>
  <si>
    <t>SaveProposalFile</t>
    <phoneticPr fontId="3" type="noConversion"/>
  </si>
  <si>
    <t>LoadProposalFile</t>
    <phoneticPr fontId="3" type="noConversion"/>
  </si>
  <si>
    <t>CommForm</t>
    <phoneticPr fontId="3" type="noConversion"/>
  </si>
  <si>
    <t>TransferToEIns</t>
    <phoneticPr fontId="3" type="noConversion"/>
  </si>
  <si>
    <t>SelectAllForm</t>
    <phoneticPr fontId="3" type="noConversion"/>
  </si>
  <si>
    <t>UnselectAllForm</t>
    <phoneticPr fontId="3" type="noConversion"/>
  </si>
  <si>
    <t>SelectAllPlan</t>
    <phoneticPr fontId="3" type="noConversion"/>
  </si>
  <si>
    <t>UnselectAllPlan</t>
    <phoneticPr fontId="3" type="noConversion"/>
  </si>
  <si>
    <t>Preview</t>
    <phoneticPr fontId="3" type="noConversion"/>
  </si>
  <si>
    <t>Print</t>
    <phoneticPr fontId="3" type="noConversion"/>
  </si>
  <si>
    <t>Calculate</t>
    <phoneticPr fontId="3" type="noConversion"/>
  </si>
  <si>
    <t>Download</t>
    <phoneticPr fontId="3" type="noConversion"/>
  </si>
  <si>
    <t>Submit</t>
    <phoneticPr fontId="3" type="noConversion"/>
  </si>
  <si>
    <t>Add</t>
    <phoneticPr fontId="3" type="noConversion"/>
  </si>
  <si>
    <t>Modify</t>
    <phoneticPr fontId="3" type="noConversion"/>
  </si>
  <si>
    <t>Header</t>
    <phoneticPr fontId="3" type="noConversion"/>
  </si>
  <si>
    <t>頁首</t>
    <phoneticPr fontId="3" type="noConversion"/>
  </si>
  <si>
    <t>SignOut</t>
    <phoneticPr fontId="3" type="noConversion"/>
  </si>
  <si>
    <t>登出</t>
    <phoneticPr fontId="3" type="noConversion"/>
  </si>
  <si>
    <t>開啟宣告利率連結</t>
    <phoneticPr fontId="3" type="noConversion"/>
  </si>
  <si>
    <t>OpenDIRateUrl</t>
    <phoneticPr fontId="3" type="noConversion"/>
  </si>
  <si>
    <t>開啟體檢醫院連結</t>
    <phoneticPr fontId="3" type="noConversion"/>
  </si>
  <si>
    <t>OpenHospitalUrl</t>
    <phoneticPr fontId="3" type="noConversion"/>
  </si>
  <si>
    <t>使用者資料維護，第一筆資料由通路服務平台提供或是自建。</t>
    <phoneticPr fontId="3" type="noConversion"/>
  </si>
  <si>
    <t>壽險核保體檢檔</t>
    <phoneticPr fontId="3" type="noConversion"/>
  </si>
  <si>
    <t>LifeInsUWPhysical</t>
    <phoneticPr fontId="3" type="noConversion"/>
  </si>
  <si>
    <t>刪除建議書共OO筆,建議書Id=1,2,3,…</t>
    <phoneticPr fontId="3" type="noConversion"/>
  </si>
  <si>
    <t>查詢條件:更新日期="",建議書編號="",要保人姓名="",被保人姓名="",主約商品代碼="",主約商品名稱=""</t>
    <phoneticPr fontId="3" type="noConversion"/>
  </si>
  <si>
    <t>點選按鍵</t>
    <phoneticPr fontId="3" type="noConversion"/>
  </si>
  <si>
    <t>查詢條件:姓名=""</t>
    <phoneticPr fontId="3" type="noConversion"/>
  </si>
  <si>
    <t>選取資料,客戶編號=OOOOO</t>
    <phoneticPr fontId="3" type="noConversion"/>
  </si>
  <si>
    <t>查詢條件:大分類="",中分類="",職業名稱=""</t>
    <phoneticPr fontId="3" type="noConversion"/>
  </si>
  <si>
    <t>選取資料,職業代碼=OOOO</t>
    <phoneticPr fontId="3" type="noConversion"/>
  </si>
  <si>
    <t>點選按鍵</t>
    <phoneticPr fontId="3" type="noConversion"/>
  </si>
  <si>
    <t>階段二需求先忽略</t>
    <phoneticPr fontId="3" type="noConversion"/>
  </si>
  <si>
    <t>查詢條件:商品類型="",商品代碼名稱=""</t>
    <phoneticPr fontId="3" type="noConversion"/>
  </si>
  <si>
    <t>待規劃先忽略</t>
    <phoneticPr fontId="3" type="noConversion"/>
  </si>
  <si>
    <t>點選送出,收件者="",主旨=""</t>
    <phoneticPr fontId="3" type="noConversion"/>
  </si>
  <si>
    <t>點選加入,險種代碼=""</t>
    <phoneticPr fontId="3" type="noConversion"/>
  </si>
  <si>
    <t>點選修改,險種代碼=""</t>
    <phoneticPr fontId="3" type="noConversion"/>
  </si>
  <si>
    <t>點選刪除,險種代碼=""</t>
    <phoneticPr fontId="3" type="noConversion"/>
  </si>
  <si>
    <t>點選刪除,SerNo=1,2,3,...</t>
    <phoneticPr fontId="3" type="noConversion"/>
  </si>
  <si>
    <t>查詢花費時間OOO,查詢資料OOO筆</t>
    <phoneticPr fontId="3" type="noConversion"/>
  </si>
  <si>
    <t>建議書試算花費時間OOO</t>
    <phoneticPr fontId="3" type="noConversion"/>
  </si>
  <si>
    <t>建議書展示畫面花費時間OOO</t>
    <phoneticPr fontId="3" type="noConversion"/>
  </si>
  <si>
    <t>通路佣金率檔</t>
    <phoneticPr fontId="3" type="noConversion"/>
  </si>
  <si>
    <t>ChannelCommRate</t>
    <phoneticPr fontId="3" type="noConversion"/>
  </si>
  <si>
    <t>ChannelCommRate_Data</t>
    <phoneticPr fontId="3" type="noConversion"/>
  </si>
  <si>
    <t>PlanYear</t>
    <phoneticPr fontId="3" type="noConversion"/>
  </si>
  <si>
    <t>BgnAge</t>
  </si>
  <si>
    <t>BgnAge</t>
    <phoneticPr fontId="3" type="noConversion"/>
  </si>
  <si>
    <t>EndAge</t>
  </si>
  <si>
    <t>EndAge</t>
    <phoneticPr fontId="3" type="noConversion"/>
  </si>
  <si>
    <t>最低年齡</t>
    <phoneticPr fontId="3" type="noConversion"/>
  </si>
  <si>
    <t>最高年齡</t>
    <phoneticPr fontId="3" type="noConversion"/>
  </si>
  <si>
    <t>險種年期</t>
    <phoneticPr fontId="3" type="noConversion"/>
  </si>
  <si>
    <t>PK</t>
    <phoneticPr fontId="3" type="noConversion"/>
  </si>
  <si>
    <t>PK</t>
    <phoneticPr fontId="3" type="noConversion"/>
  </si>
  <si>
    <t>AGT</t>
  </si>
  <si>
    <t>HI</t>
    <phoneticPr fontId="3" type="noConversion"/>
  </si>
  <si>
    <t>公用帳號須在建議書系統後台設定，通路/次通路代碼資料同步問題，待階段二討論。</t>
    <phoneticPr fontId="3" type="noConversion"/>
  </si>
  <si>
    <t>業務員換單位的處理</t>
    <phoneticPr fontId="3" type="noConversion"/>
  </si>
  <si>
    <t>DocItemType</t>
  </si>
  <si>
    <t>DocItemType</t>
    <phoneticPr fontId="3" type="noConversion"/>
  </si>
  <si>
    <t>DocType</t>
  </si>
  <si>
    <t>DocName</t>
  </si>
  <si>
    <t>文件類型</t>
    <phoneticPr fontId="3" type="noConversion"/>
  </si>
  <si>
    <t>文件項目類型</t>
    <phoneticPr fontId="3" type="noConversion"/>
  </si>
  <si>
    <t>文件名稱</t>
    <phoneticPr fontId="3" type="noConversion"/>
  </si>
  <si>
    <t>Guid</t>
    <phoneticPr fontId="3" type="noConversion"/>
  </si>
  <si>
    <t>00000000-0000-0000-0000-000000000001</t>
    <phoneticPr fontId="3" type="noConversion"/>
  </si>
  <si>
    <t>00000000-0000-0000-0000-000000000002</t>
    <phoneticPr fontId="3" type="noConversion"/>
  </si>
  <si>
    <t>00000000-0000-0000-0000-000000000005</t>
  </si>
  <si>
    <t>00000000-0000-0000-0000-000000000003</t>
    <phoneticPr fontId="3" type="noConversion"/>
  </si>
  <si>
    <t>00000000-0000-0000-0000-000000000006</t>
  </si>
  <si>
    <t>00000000-0000-0000-0000-000000000007</t>
  </si>
  <si>
    <t>00000000-0000-0000-0000-000000000008</t>
  </si>
  <si>
    <t>00000000-0000-0000-0000-000000000009</t>
  </si>
  <si>
    <t>00000000-0000-0000-0000-000000000010</t>
  </si>
  <si>
    <t>00000000-0000-0000-0000-000000000011</t>
  </si>
  <si>
    <t>FileSize</t>
    <phoneticPr fontId="3" type="noConversion"/>
  </si>
  <si>
    <t>FileType</t>
  </si>
  <si>
    <t>FileType</t>
    <phoneticPr fontId="3" type="noConversion"/>
  </si>
  <si>
    <t>ChannelCode</t>
    <phoneticPr fontId="3" type="noConversion"/>
  </si>
  <si>
    <t>SecondChannelCode</t>
    <phoneticPr fontId="3" type="noConversion"/>
  </si>
  <si>
    <t>00000000-0000-0000-0000-000000000012</t>
  </si>
  <si>
    <t>00000000-0000-0000-0000-000000000013</t>
  </si>
  <si>
    <t>Alvin</t>
    <phoneticPr fontId="3" type="noConversion"/>
  </si>
  <si>
    <t>Alvin</t>
    <phoneticPr fontId="3" type="noConversion"/>
  </si>
  <si>
    <t>PK</t>
    <phoneticPr fontId="3" type="noConversion"/>
  </si>
  <si>
    <t>int</t>
    <phoneticPr fontId="3" type="noConversion"/>
  </si>
  <si>
    <t>nvarchar(100)</t>
  </si>
  <si>
    <t>nvarchar(100)</t>
    <phoneticPr fontId="3" type="noConversion"/>
  </si>
  <si>
    <t>PPL.000.029</t>
    <phoneticPr fontId="3" type="noConversion"/>
  </si>
  <si>
    <t>PPL.000.030
PPL.000.038</t>
    <phoneticPr fontId="3" type="noConversion"/>
  </si>
  <si>
    <t>DocType=1,對應共用代碼030***
DocType=2,對應共用代碼038</t>
    <phoneticPr fontId="3" type="noConversion"/>
  </si>
  <si>
    <t>FileName</t>
  </si>
  <si>
    <t>FileExtension</t>
  </si>
  <si>
    <t>格式YYYYMMDD</t>
    <phoneticPr fontId="3" type="noConversion"/>
  </si>
  <si>
    <t>檔案類型</t>
    <phoneticPr fontId="3" type="noConversion"/>
  </si>
  <si>
    <t>檔案名稱</t>
    <phoneticPr fontId="3" type="noConversion"/>
  </si>
  <si>
    <t>檔案副檔名</t>
    <phoneticPr fontId="3" type="noConversion"/>
  </si>
  <si>
    <t>檔案大小</t>
    <phoneticPr fontId="3" type="noConversion"/>
  </si>
  <si>
    <t>PPL.000.028</t>
    <phoneticPr fontId="3" type="noConversion"/>
  </si>
  <si>
    <t>varchar(10)</t>
    <phoneticPr fontId="3" type="noConversion"/>
  </si>
  <si>
    <t>varbinary(MAX)</t>
  </si>
  <si>
    <t>varchar(8)</t>
    <phoneticPr fontId="3" type="noConversion"/>
  </si>
  <si>
    <t>通路代碼</t>
    <phoneticPr fontId="3" type="noConversion"/>
  </si>
  <si>
    <t>次通路代碼</t>
    <phoneticPr fontId="3" type="noConversion"/>
  </si>
  <si>
    <t>險種代碼</t>
    <phoneticPr fontId="3" type="noConversion"/>
  </si>
  <si>
    <t>00000000-0000-0000-0000-000000000014</t>
  </si>
  <si>
    <t>00000000-0000-0000-0000-000000000015</t>
  </si>
  <si>
    <t>00000000-0000-0000-0000-000000000016</t>
  </si>
  <si>
    <t>00000000-0000-0000-0000-000000000017</t>
  </si>
  <si>
    <t>00000000-0000-0000-0000-000000000018</t>
  </si>
  <si>
    <t>SysDocument</t>
    <phoneticPr fontId="3" type="noConversion"/>
  </si>
  <si>
    <t>SysDocument_Data</t>
    <phoneticPr fontId="3" type="noConversion"/>
  </si>
  <si>
    <t>SysDocumentFile_Data</t>
    <phoneticPr fontId="3" type="noConversion"/>
  </si>
  <si>
    <t>*=不分通路</t>
    <phoneticPr fontId="3" type="noConversion"/>
  </si>
  <si>
    <t>*=不分次通路</t>
    <phoneticPr fontId="3" type="noConversion"/>
  </si>
  <si>
    <t>*=不分險種</t>
    <phoneticPr fontId="3" type="noConversion"/>
  </si>
  <si>
    <t>FileSize</t>
    <phoneticPr fontId="3" type="noConversion"/>
  </si>
  <si>
    <t>FileBinaryData</t>
    <phoneticPr fontId="3" type="noConversion"/>
  </si>
  <si>
    <t>FileHyperlink</t>
    <phoneticPr fontId="3" type="noConversion"/>
  </si>
  <si>
    <t>檔案二進位資料</t>
    <phoneticPr fontId="3" type="noConversion"/>
  </si>
  <si>
    <t>檔案超連結</t>
    <phoneticPr fontId="3" type="noConversion"/>
  </si>
  <si>
    <t>*</t>
    <phoneticPr fontId="3" type="noConversion"/>
  </si>
  <si>
    <r>
      <rPr>
        <sz val="10"/>
        <color rgb="FFFF0000"/>
        <rFont val="微軟正黑體"/>
        <family val="2"/>
        <charset val="136"/>
      </rPr>
      <t xml:space="preserve">[情境一] 新增
</t>
    </r>
    <r>
      <rPr>
        <sz val="10"/>
        <rFont val="微軟正黑體"/>
        <family val="2"/>
        <charset val="136"/>
      </rPr>
      <t>(1).LifeIns控制商品銷售的日期。
(2).ChannelPlanView控制各通路可檢視並設定險種的日期。
(3).ChannelPackagePlan控制各次通路商品銷售的日期。</t>
    </r>
    <r>
      <rPr>
        <sz val="10"/>
        <color rgb="FF000000"/>
        <rFont val="微軟正黑體"/>
        <family val="2"/>
        <charset val="136"/>
      </rPr>
      <t xml:space="preserve">
</t>
    </r>
    <r>
      <rPr>
        <sz val="10"/>
        <color rgb="FFFF0000"/>
        <rFont val="微軟正黑體"/>
        <family val="2"/>
        <charset val="136"/>
      </rPr>
      <t>[情境二] 換代</t>
    </r>
    <r>
      <rPr>
        <sz val="10"/>
        <color rgb="FF000000"/>
        <rFont val="微軟正黑體"/>
        <family val="2"/>
        <charset val="136"/>
      </rPr>
      <t xml:space="preserve">
(1).精算資料保留每一代，使用ActPremVer、ActFactorVer控制；其他資料一率使用最新版。
</t>
    </r>
    <r>
      <rPr>
        <sz val="10"/>
        <color rgb="FFFF0000"/>
        <rFont val="微軟正黑體"/>
        <family val="2"/>
        <charset val="136"/>
      </rPr>
      <t>[情境三] 停售</t>
    </r>
    <r>
      <rPr>
        <sz val="10"/>
        <color rgb="FF000000"/>
        <rFont val="微軟正黑體"/>
        <family val="2"/>
        <charset val="136"/>
      </rPr>
      <t xml:space="preserve">
(1).單一次通路停售：修改ChannelPackagePlan銷售結束日期。
(2).全面停售：修改LifeIns銷售結束日期，並更新ChannelPlanView、ChannelPackagePlan。</t>
    </r>
    <phoneticPr fontId="3" type="noConversion"/>
  </si>
  <si>
    <t>(1).開始結束日期控制現售停售
(2).次通路的設定，不可超出險種基礎資料設定的範圍</t>
    <phoneticPr fontId="3" type="noConversion"/>
  </si>
  <si>
    <t>公用變數SkipUWRule</t>
    <phoneticPr fontId="3" type="noConversion"/>
  </si>
  <si>
    <r>
      <rPr>
        <sz val="10"/>
        <color rgb="FFFF0000"/>
        <rFont val="微軟正黑體"/>
        <family val="2"/>
        <charset val="136"/>
      </rPr>
      <t>(1).階段二，待確認。</t>
    </r>
    <r>
      <rPr>
        <sz val="10"/>
        <color rgb="FF000000"/>
        <rFont val="微軟正黑體"/>
        <family val="2"/>
        <charset val="136"/>
      </rPr>
      <t xml:space="preserve">
(2).意外險拒保即為職業等級拒保。
(3).此項核保規則為少數特殊狀況，以程式檢核。(商品已停售可忽略)
</t>
    </r>
    <r>
      <rPr>
        <sz val="10"/>
        <rFont val="微軟正黑體"/>
        <family val="2"/>
        <charset val="136"/>
      </rPr>
      <t>(4).以程式檢核。</t>
    </r>
    <r>
      <rPr>
        <sz val="10"/>
        <color rgb="FF000000"/>
        <rFont val="微軟正黑體"/>
        <family val="2"/>
        <charset val="136"/>
      </rPr>
      <t xml:space="preserve">
</t>
    </r>
    <r>
      <rPr>
        <sz val="10"/>
        <color rgb="FFFF0000"/>
        <rFont val="微軟正黑體"/>
        <family val="2"/>
        <charset val="136"/>
      </rPr>
      <t>(5).主檔新增欄位檢核。
(6).第三層檢核。</t>
    </r>
    <phoneticPr fontId="3" type="noConversion"/>
  </si>
  <si>
    <t>換代定義：最新的保費資料版本&gt;舊資料的保費資料版本。
停售定義：通路險種設定停售，或是通路險種年期找不到舊資料的年期。
(1).舊資料有換代商品，清除所有舊的保費資料。
(2).舊資料有停售商品，主約停售則刪除主約+附加附約，附約停售則刪除該附約。
(3).建議書清單有登入帳號識別(匯出匯入用)。</t>
    <phoneticPr fontId="3" type="noConversion"/>
  </si>
  <si>
    <t>壽險核保規則說明檔</t>
    <phoneticPr fontId="3" type="noConversion"/>
  </si>
  <si>
    <t>LifeInsUWRuleDescription</t>
    <phoneticPr fontId="3" type="noConversion"/>
  </si>
  <si>
    <t>UWDescription</t>
    <phoneticPr fontId="3" type="noConversion"/>
  </si>
  <si>
    <t>nvarchar(255)</t>
    <phoneticPr fontId="3" type="noConversion"/>
  </si>
  <si>
    <t>核保說明</t>
    <phoneticPr fontId="3" type="noConversion"/>
  </si>
  <si>
    <t>LifeInsUWRuleDescription</t>
    <phoneticPr fontId="3" type="noConversion"/>
  </si>
  <si>
    <t>CorePlanCode</t>
    <phoneticPr fontId="3" type="noConversion"/>
  </si>
  <si>
    <t>核心險種代碼</t>
    <phoneticPr fontId="3" type="noConversion"/>
  </si>
  <si>
    <t>CorePlanCode</t>
    <phoneticPr fontId="3" type="noConversion"/>
  </si>
  <si>
    <t>AGY</t>
  </si>
  <si>
    <t>直營通路標準版</t>
  </si>
  <si>
    <t>BRK</t>
  </si>
  <si>
    <t>經代通路標準版</t>
  </si>
  <si>
    <t>BSD</t>
  </si>
  <si>
    <t>TMR</t>
  </si>
  <si>
    <t>多元行銷通路標準版</t>
  </si>
  <si>
    <t>RuleSerNo</t>
    <phoneticPr fontId="3" type="noConversion"/>
  </si>
  <si>
    <t>規則序號</t>
    <phoneticPr fontId="3" type="noConversion"/>
  </si>
  <si>
    <t>FileSerNo</t>
    <phoneticPr fontId="3" type="noConversion"/>
  </si>
  <si>
    <t>規則序號</t>
    <phoneticPr fontId="3" type="noConversion"/>
  </si>
  <si>
    <t>檔案序號</t>
    <phoneticPr fontId="3" type="noConversion"/>
  </si>
  <si>
    <t>對應dbo.SysDocumentRule.RuleSerNo</t>
    <phoneticPr fontId="3" type="noConversion"/>
  </si>
  <si>
    <t>RuleName</t>
    <phoneticPr fontId="3" type="noConversion"/>
  </si>
  <si>
    <t>規則名稱</t>
    <phoneticPr fontId="3" type="noConversion"/>
  </si>
  <si>
    <t>程式控制，由1開始遞增</t>
    <phoneticPr fontId="3" type="noConversion"/>
  </si>
  <si>
    <t>00000000-0000-0000-0000-000000000019</t>
  </si>
  <si>
    <t>00000000-0000-0000-0000-000000000020</t>
  </si>
  <si>
    <t>00000000-0000-0000-0000-000000000021</t>
  </si>
  <si>
    <t>nvarchar(100)</t>
    <phoneticPr fontId="3" type="noConversion"/>
  </si>
  <si>
    <t>程式控制，由1開始遞增</t>
    <phoneticPr fontId="3" type="noConversion"/>
  </si>
  <si>
    <t>對應dbo.SysDocument.Guid</t>
    <phoneticPr fontId="3" type="noConversion"/>
  </si>
  <si>
    <t>對應dbo.SysDocumentRule.Guid</t>
    <phoneticPr fontId="3" type="noConversion"/>
  </si>
  <si>
    <t>FileBinaryData</t>
  </si>
  <si>
    <t>FileHyperlink</t>
  </si>
  <si>
    <t>varchar(20)</t>
    <phoneticPr fontId="3" type="noConversion"/>
  </si>
  <si>
    <t>varchar(20)</t>
    <phoneticPr fontId="3" type="noConversion"/>
  </si>
  <si>
    <t>TableName</t>
    <phoneticPr fontId="3" type="noConversion"/>
  </si>
  <si>
    <t>BCPExport</t>
    <phoneticPr fontId="3" type="noConversion"/>
  </si>
  <si>
    <t>BCPTruncate</t>
    <phoneticPr fontId="3" type="noConversion"/>
  </si>
  <si>
    <t>BCPImport</t>
    <phoneticPr fontId="3" type="noConversion"/>
  </si>
  <si>
    <t>GroupPayDiscountRate</t>
  </si>
  <si>
    <t>HighAmtDiscountRate</t>
  </si>
  <si>
    <t>HighPremDiscountRate</t>
  </si>
  <si>
    <t>集體彙繳折扣率</t>
  </si>
  <si>
    <t>高保額折扣率</t>
  </si>
  <si>
    <t>高保費折扣率</t>
  </si>
  <si>
    <t>WaiverDiscountRate</t>
  </si>
  <si>
    <t>WaiverDiscountRate</t>
    <phoneticPr fontId="3" type="noConversion"/>
  </si>
  <si>
    <t>Y</t>
    <phoneticPr fontId="3" type="noConversion"/>
  </si>
  <si>
    <t>decimal(9,6)</t>
    <phoneticPr fontId="3" type="noConversion"/>
  </si>
  <si>
    <t>豁免貼現率</t>
    <phoneticPr fontId="3" type="noConversion"/>
  </si>
  <si>
    <t>A2</t>
    <phoneticPr fontId="3" type="noConversion"/>
  </si>
  <si>
    <t>00000000-0000-0000-0000-000000000004</t>
    <phoneticPr fontId="3" type="noConversion"/>
  </si>
  <si>
    <t>00000000-0000-0000-0000-000000000022</t>
  </si>
  <si>
    <t>00000000-0000-0000-0000-000000000023</t>
  </si>
  <si>
    <t>00000000-0000-0000-0000-000000000024</t>
  </si>
  <si>
    <t>A2-元大人壽健康人生終身醫療健康保險-商品DM</t>
    <phoneticPr fontId="3" type="noConversion"/>
  </si>
  <si>
    <t>A2-元大人壽健康人生終身醫療健康保險-商品費率表</t>
    <phoneticPr fontId="3" type="noConversion"/>
  </si>
  <si>
    <t>A2-元大人壽健康人生終身醫療健康保險-商品條款</t>
    <phoneticPr fontId="3" type="noConversion"/>
  </si>
  <si>
    <t>A2-元大人壽健康人生終身醫療健康保險-條款樣張</t>
    <phoneticPr fontId="3" type="noConversion"/>
  </si>
  <si>
    <t>A3-元大人壽元氣100終身醫療健康保險附約-商品DM</t>
    <phoneticPr fontId="3" type="noConversion"/>
  </si>
  <si>
    <t>A3-元大人壽元氣100終身醫療健康保險附約-商品費率表</t>
    <phoneticPr fontId="3" type="noConversion"/>
  </si>
  <si>
    <t>A3-元大人壽元氣100終身醫療健康保險附約-商品條款</t>
    <phoneticPr fontId="3" type="noConversion"/>
  </si>
  <si>
    <t>A3-元大人壽元氣100終身醫療健康保險附約-條款樣張</t>
    <phoneticPr fontId="3" type="noConversion"/>
  </si>
  <si>
    <t>C4-元大人壽真心保護防癌終身健康保險附約-商品DM</t>
    <phoneticPr fontId="3" type="noConversion"/>
  </si>
  <si>
    <t>C4-元大人壽真心保護防癌終身健康保險附約-商品費率表</t>
    <phoneticPr fontId="3" type="noConversion"/>
  </si>
  <si>
    <t>C4-元大人壽真心保護防癌終身健康保險附約-商品條款</t>
    <phoneticPr fontId="3" type="noConversion"/>
  </si>
  <si>
    <t>C4-元大人壽真心保護防癌終身健康保險附約-條款樣張</t>
    <phoneticPr fontId="3" type="noConversion"/>
  </si>
  <si>
    <t>CY-元大人壽一年期防癌健康保險附約-商品DM</t>
    <phoneticPr fontId="3" type="noConversion"/>
  </si>
  <si>
    <t>CY-元大人壽一年期防癌健康保險附約-商品費率表</t>
    <phoneticPr fontId="3" type="noConversion"/>
  </si>
  <si>
    <t>CY-元大人壽一年期防癌健康保險附約-商品條款</t>
    <phoneticPr fontId="3" type="noConversion"/>
  </si>
  <si>
    <t>CY-元大人壽一年期防癌健康保險附約-條款樣張</t>
    <phoneticPr fontId="3" type="noConversion"/>
  </si>
  <si>
    <t>DD-元大人壽重大疾病暨特定傷病健康保險附約(II)-商品DM</t>
    <phoneticPr fontId="3" type="noConversion"/>
  </si>
  <si>
    <t>DD-元大人壽重大疾病暨特定傷病健康保險附約(II)-商品費率表</t>
    <phoneticPr fontId="3" type="noConversion"/>
  </si>
  <si>
    <t>DD-元大人壽重大疾病暨特定傷病健康保險附約(II)-商品條款</t>
    <phoneticPr fontId="3" type="noConversion"/>
  </si>
  <si>
    <t>DD-元大人壽重大疾病暨特定傷病健康保險附約(II)-條款樣張</t>
    <phoneticPr fontId="3" type="noConversion"/>
  </si>
  <si>
    <t>DJ-元大人壽幸扶一世雙重照護終身保險-不分紅-商品費率表</t>
    <phoneticPr fontId="3" type="noConversion"/>
  </si>
  <si>
    <t>DJ-元大人壽幸扶一世雙重照護終身保險-不分紅-商品條款</t>
    <phoneticPr fontId="3" type="noConversion"/>
  </si>
  <si>
    <t>DJ-元大人壽幸扶一世雙重照護終身保險-不分紅-條款樣張</t>
    <phoneticPr fontId="3" type="noConversion"/>
  </si>
  <si>
    <t>DJ-元大人壽幸扶一世雙重照護終身保險-不分紅-商品DM</t>
    <phoneticPr fontId="3" type="noConversion"/>
  </si>
  <si>
    <t>DP-元大人壽重大疾病健康保險附約(乙型)-商品DM</t>
    <phoneticPr fontId="3" type="noConversion"/>
  </si>
  <si>
    <t>DP-元大人壽重大疾病健康保險附約(乙型)-商品費率表</t>
    <phoneticPr fontId="3" type="noConversion"/>
  </si>
  <si>
    <t>DP-元大人壽重大疾病健康保險附約(乙型)-商品條款</t>
    <phoneticPr fontId="3" type="noConversion"/>
  </si>
  <si>
    <t>DP-元大人壽重大疾病健康保險附約(乙型)-條款樣張</t>
    <phoneticPr fontId="3" type="noConversion"/>
  </si>
  <si>
    <t>EW-元大人壽億達利率變動型增額終身壽險-不分紅-商品DM</t>
    <phoneticPr fontId="3" type="noConversion"/>
  </si>
  <si>
    <t>EW-元大人壽億達利率變動型增額終身壽險-不分紅-商品費率表</t>
    <phoneticPr fontId="3" type="noConversion"/>
  </si>
  <si>
    <t>EW-元大人壽億達利率變動型增額終身壽險-不分紅-商品條款</t>
    <phoneticPr fontId="3" type="noConversion"/>
  </si>
  <si>
    <t>EW-元大人壽億達利率變動型增額終身壽險-不分紅-條款樣張</t>
    <phoneticPr fontId="3" type="noConversion"/>
  </si>
  <si>
    <t>FM-元大人壽美億達美元利率變動型增額終身壽險-不分紅-商品DM</t>
    <phoneticPr fontId="3" type="noConversion"/>
  </si>
  <si>
    <t>FM-元大人壽美億達美元利率變動型增額終身壽險-不分紅-商品費率表</t>
    <phoneticPr fontId="3" type="noConversion"/>
  </si>
  <si>
    <t>FM-元大人壽美億達美元利率變動型增額終身壽險-不分紅-商品條款</t>
    <phoneticPr fontId="3" type="noConversion"/>
  </si>
  <si>
    <t>FM-元大人壽美億達美元利率變動型增額終身壽險-不分紅-條款樣張</t>
    <phoneticPr fontId="3" type="noConversion"/>
  </si>
  <si>
    <t>HI-元大人壽住院日額給付保險附約-商品DM</t>
    <phoneticPr fontId="3" type="noConversion"/>
  </si>
  <si>
    <t>HI-元大人壽住院日額給付保險附約-商品費率表</t>
    <phoneticPr fontId="3" type="noConversion"/>
  </si>
  <si>
    <t>HI-元大人壽住院日額給付保險附約-商品條款</t>
    <phoneticPr fontId="3" type="noConversion"/>
  </si>
  <si>
    <t>HI-元大人壽住院日額給付保險附約-條款樣張</t>
    <phoneticPr fontId="3" type="noConversion"/>
  </si>
  <si>
    <t>HS-元大人壽綜合住院醫療保險附約-商品DM</t>
    <phoneticPr fontId="3" type="noConversion"/>
  </si>
  <si>
    <t>HS-元大人壽綜合住院醫療保險附約-商品條款</t>
    <phoneticPr fontId="3" type="noConversion"/>
  </si>
  <si>
    <t>HS-元大人壽綜合住院醫療保險附約-條款樣張</t>
    <phoneticPr fontId="3" type="noConversion"/>
  </si>
  <si>
    <t>HS-元大人壽綜合住院醫療保險附約-商品費率表</t>
    <phoneticPr fontId="3" type="noConversion"/>
  </si>
  <si>
    <t>JR-元大人壽享有心住院醫療健康保險附約-不分紅-商品DM</t>
    <phoneticPr fontId="3" type="noConversion"/>
  </si>
  <si>
    <t>JR-元大人壽享有心住院醫療健康保險附約-不分紅-商品費率表</t>
    <phoneticPr fontId="3" type="noConversion"/>
  </si>
  <si>
    <t>JR-元大人壽享有心住院醫療健康保險附約-不分紅-商品條款</t>
    <phoneticPr fontId="3" type="noConversion"/>
  </si>
  <si>
    <t>JR-元大人壽享有心住院醫療健康保險附約-不分紅-條款樣張</t>
    <phoneticPr fontId="3" type="noConversion"/>
  </si>
  <si>
    <t>LW-元大人壽永愛終身壽險-商品DM</t>
    <phoneticPr fontId="3" type="noConversion"/>
  </si>
  <si>
    <t>LW-元大人壽永愛終身壽險-商品費率表</t>
    <phoneticPr fontId="3" type="noConversion"/>
  </si>
  <si>
    <t>LW-元大人壽永愛終身壽險-商品條款</t>
    <phoneticPr fontId="3" type="noConversion"/>
  </si>
  <si>
    <t>LW-元大人壽永愛終身壽險-條款樣張</t>
    <phoneticPr fontId="3" type="noConversion"/>
  </si>
  <si>
    <t>MI-元大人壽意外傷害住院日額保險附約-商品DM</t>
    <phoneticPr fontId="3" type="noConversion"/>
  </si>
  <si>
    <t>MI-元大人壽意外傷害住院日額保險附約-商品費率表</t>
    <phoneticPr fontId="3" type="noConversion"/>
  </si>
  <si>
    <t>MI-元大人壽意外傷害住院日額保險附約-商品條款</t>
    <phoneticPr fontId="3" type="noConversion"/>
  </si>
  <si>
    <t>MI-元大人壽意外傷害住院日額保險附約-條款樣張</t>
    <phoneticPr fontId="3" type="noConversion"/>
  </si>
  <si>
    <t>NR-元大人壽享安住院醫療健康保險附約-商品DM</t>
    <phoneticPr fontId="3" type="noConversion"/>
  </si>
  <si>
    <t>NR-元大人壽享安住院醫療健康保險附約-商品費率表</t>
    <phoneticPr fontId="3" type="noConversion"/>
  </si>
  <si>
    <t>NR-元大人壽享安住院醫療健康保險附約-商品條款</t>
    <phoneticPr fontId="3" type="noConversion"/>
  </si>
  <si>
    <t>NR-元大人壽享安住院醫療健康保險附約-條款樣張</t>
    <phoneticPr fontId="3" type="noConversion"/>
  </si>
  <si>
    <t>PR-元大人壽人身傷害保險附約(II)-商品DM</t>
    <phoneticPr fontId="3" type="noConversion"/>
  </si>
  <si>
    <t>PR-元大人壽人身傷害保險附約(II)-商品費率表</t>
    <phoneticPr fontId="3" type="noConversion"/>
  </si>
  <si>
    <t>PR-元大人壽人身傷害保險附約(II)-商品條款</t>
    <phoneticPr fontId="3" type="noConversion"/>
  </si>
  <si>
    <t>PR-元大人壽人身傷害保險附約(II)-條款樣張</t>
    <phoneticPr fontId="3" type="noConversion"/>
  </si>
  <si>
    <t>QR-元大人壽新意外傷害醫療保險附約-商品DM</t>
    <phoneticPr fontId="3" type="noConversion"/>
  </si>
  <si>
    <t>QR-元大人壽新意外傷害醫療保險附約-商品費率表</t>
    <phoneticPr fontId="3" type="noConversion"/>
  </si>
  <si>
    <t>QR-元大人壽新意外傷害醫療保險附約-商品條款</t>
    <phoneticPr fontId="3" type="noConversion"/>
  </si>
  <si>
    <t>QR-元大人壽新意外傷害醫療保險附約-條款樣張</t>
    <phoneticPr fontId="3" type="noConversion"/>
  </si>
  <si>
    <t>RL-元大人壽好安鑫重大傷病終身健康保險附約-商品DM</t>
    <phoneticPr fontId="3" type="noConversion"/>
  </si>
  <si>
    <t>RL-元大人壽好安鑫重大傷病終身健康保險附約-商品費率表</t>
    <phoneticPr fontId="3" type="noConversion"/>
  </si>
  <si>
    <t>RL-元大人壽好安鑫重大傷病終身健康保險附約-商品條款</t>
    <phoneticPr fontId="3" type="noConversion"/>
  </si>
  <si>
    <t>RL-元大人壽好安鑫重大傷病終身健康保險附約-條款樣張</t>
    <phoneticPr fontId="3" type="noConversion"/>
  </si>
  <si>
    <t>SH-元大人壽一年期手術醫療健康保險附約-商品DM</t>
    <phoneticPr fontId="3" type="noConversion"/>
  </si>
  <si>
    <t>SH-元大人壽一年期手術醫療健康保險附約-商品費率表</t>
    <phoneticPr fontId="3" type="noConversion"/>
  </si>
  <si>
    <t>SH-元大人壽一年期手術醫療健康保險附約-商品條款</t>
    <phoneticPr fontId="3" type="noConversion"/>
  </si>
  <si>
    <t>SH-元大人壽一年期手術醫療健康保險附約-條款樣張</t>
    <phoneticPr fontId="3" type="noConversion"/>
  </si>
  <si>
    <t>TM-元大人壽新加值定期壽險-商品DM</t>
    <phoneticPr fontId="3" type="noConversion"/>
  </si>
  <si>
    <t>TM-元大人壽新加值定期壽險-商品費率表</t>
    <phoneticPr fontId="3" type="noConversion"/>
  </si>
  <si>
    <t>TM-元大人壽新加值定期壽險-商品條款</t>
    <phoneticPr fontId="3" type="noConversion"/>
  </si>
  <si>
    <t>TM-元大人壽新加值定期壽險-條款樣張</t>
    <phoneticPr fontId="3" type="noConversion"/>
  </si>
  <si>
    <t>WB-元大人壽真意豁免保險費附約-商品條款</t>
    <phoneticPr fontId="3" type="noConversion"/>
  </si>
  <si>
    <t>WB-元大人壽真意豁免保險費附約-條款樣張</t>
    <phoneticPr fontId="3" type="noConversion"/>
  </si>
  <si>
    <t>WD-元大人壽真心豁免保險費附約-商品DM</t>
    <phoneticPr fontId="3" type="noConversion"/>
  </si>
  <si>
    <t>WD-元大人壽真心豁免保險費附約-商品費率表</t>
    <phoneticPr fontId="3" type="noConversion"/>
  </si>
  <si>
    <t>WD-元大人壽真心豁免保險費附約-條款樣張</t>
    <phoneticPr fontId="3" type="noConversion"/>
  </si>
  <si>
    <t>00000000-0000-0000-0000-000000000025</t>
  </si>
  <si>
    <t>00000000-0000-0000-0000-000000000026</t>
  </si>
  <si>
    <t>00000000-0000-0000-0000-000000000027</t>
  </si>
  <si>
    <t>00000000-0000-0000-0000-000000000028</t>
  </si>
  <si>
    <t>00000000-0000-0000-0000-000000000029</t>
  </si>
  <si>
    <t>00000000-0000-0000-0000-000000000030</t>
  </si>
  <si>
    <t>00000000-0000-0000-0000-000000000031</t>
  </si>
  <si>
    <t>00000000-0000-0000-0000-000000000032</t>
  </si>
  <si>
    <t>00000000-0000-0000-0000-000000000033</t>
  </si>
  <si>
    <t>00000000-0000-0000-0000-000000000034</t>
  </si>
  <si>
    <t>00000000-0000-0000-0000-000000000035</t>
  </si>
  <si>
    <t>00000000-0000-0000-0000-000000000036</t>
  </si>
  <si>
    <t>00000000-0000-0000-0000-000000000037</t>
  </si>
  <si>
    <t>00000000-0000-0000-0000-000000000038</t>
  </si>
  <si>
    <t>00000000-0000-0000-0000-000000000039</t>
  </si>
  <si>
    <t>00000000-0000-0000-0000-000000000040</t>
  </si>
  <si>
    <t>00000000-0000-0000-0000-000000000041</t>
  </si>
  <si>
    <t>00000000-0000-0000-0000-000000000042</t>
  </si>
  <si>
    <t>00000000-0000-0000-0000-000000000043</t>
  </si>
  <si>
    <t>00000000-0000-0000-0000-000000000044</t>
  </si>
  <si>
    <t>00000000-0000-0000-0000-000000000045</t>
  </si>
  <si>
    <t>00000000-0000-0000-0000-000000000046</t>
  </si>
  <si>
    <t>00000000-0000-0000-0000-000000000047</t>
  </si>
  <si>
    <t>00000000-0000-0000-0000-000000000048</t>
  </si>
  <si>
    <t>00000000-0000-0000-0000-000000000049</t>
  </si>
  <si>
    <t>00000000-0000-0000-0000-000000000050</t>
  </si>
  <si>
    <t>00000000-0000-0000-0000-000000000051</t>
  </si>
  <si>
    <t>00000000-0000-0000-0000-000000000052</t>
  </si>
  <si>
    <t>00000000-0000-0000-0000-000000000053</t>
  </si>
  <si>
    <t>00000000-0000-0000-0000-000000000054</t>
  </si>
  <si>
    <t>00000000-0000-0000-0000-000000000055</t>
  </si>
  <si>
    <t>00000000-0000-0000-0000-000000000056</t>
  </si>
  <si>
    <t>00000000-0000-0000-0000-000000000057</t>
  </si>
  <si>
    <t>00000000-0000-0000-0000-000000000058</t>
  </si>
  <si>
    <t>00000000-0000-0000-0000-000000000059</t>
  </si>
  <si>
    <t>00000000-0000-0000-0000-000000000060</t>
  </si>
  <si>
    <t>00000000-0000-0000-0000-000000000061</t>
  </si>
  <si>
    <t>00000000-0000-0000-0000-000000000062</t>
  </si>
  <si>
    <t>00000000-0000-0000-0000-000000000063</t>
  </si>
  <si>
    <t>00000000-0000-0000-0000-000000000064</t>
  </si>
  <si>
    <t>00000000-0000-0000-0000-000000000065</t>
  </si>
  <si>
    <t>00000000-0000-0000-0000-000000000066</t>
  </si>
  <si>
    <t>00000000-0000-0000-0000-000000000067</t>
  </si>
  <si>
    <t>00000000-0000-0000-0000-000000000068</t>
  </si>
  <si>
    <t>00000000-0000-0000-0000-000000000069</t>
  </si>
  <si>
    <t>00000000-0000-0000-0000-000000000070</t>
  </si>
  <si>
    <t>00000000-0000-0000-0000-000000000071</t>
  </si>
  <si>
    <t>00000000-0000-0000-0000-000000000072</t>
  </si>
  <si>
    <t>00000000-0000-0000-0000-000000000073</t>
  </si>
  <si>
    <t>00000000-0000-0000-0000-000000000074</t>
  </si>
  <si>
    <t>00000000-0000-0000-0000-000000000075</t>
  </si>
  <si>
    <t>00000000-0000-0000-0000-000000000076</t>
  </si>
  <si>
    <t>00000000-0000-0000-0000-000000000077</t>
  </si>
  <si>
    <t>00000000-0000-0000-0000-000000000078</t>
  </si>
  <si>
    <t>00000000-0000-0000-0000-000000000079</t>
  </si>
  <si>
    <t>00000000-0000-0000-0000-000000000080</t>
  </si>
  <si>
    <t>00000000-0000-0000-0000-000000000081</t>
  </si>
  <si>
    <t>00000000-0000-0000-0000-000000000082</t>
  </si>
  <si>
    <t>00000000-0000-0000-0000-000000000083</t>
  </si>
  <si>
    <t>00000000-0000-0000-0000-000000000084</t>
  </si>
  <si>
    <t>00000000-0000-0000-0000-000000000085</t>
  </si>
  <si>
    <t>00000000-0000-0000-0000-000000000086</t>
  </si>
  <si>
    <t>00000000-0000-0000-0000-000000000087</t>
  </si>
  <si>
    <t>00000000-0000-0000-0000-000000000088</t>
  </si>
  <si>
    <t>00000000-0000-0000-0000-000000000089</t>
  </si>
  <si>
    <t>00000000-0000-0000-0000-000000000090</t>
  </si>
  <si>
    <t>00000000-0000-0000-0000-000000000091</t>
  </si>
  <si>
    <t>全通路版-公司簡介</t>
  </si>
  <si>
    <t>全通路版-集彙折扣查詢表</t>
  </si>
  <si>
    <t>全通路版-特約體檢醫院一覽表</t>
  </si>
  <si>
    <t>全通路版-A2-元大人壽健康人生終身醫療健康保險-商品DM</t>
  </si>
  <si>
    <t>全通路版-A2-元大人壽健康人生終身醫療健康保險-商品費率表</t>
  </si>
  <si>
    <t>全通路版-A2-元大人壽健康人生終身醫療健康保險-商品條款</t>
  </si>
  <si>
    <t>全通路版-A2-元大人壽健康人生終身醫療健康保險-條款樣張</t>
  </si>
  <si>
    <t>全通路版-A3-元大人壽元氣100終身醫療健康保險附約-商品DM</t>
  </si>
  <si>
    <t>全通路版-A3-元大人壽元氣100終身醫療健康保險附約-商品費率表</t>
  </si>
  <si>
    <t>全通路版-A3-元大人壽元氣100終身醫療健康保險附約-商品條款</t>
  </si>
  <si>
    <t>全通路版-A3-元大人壽元氣100終身醫療健康保險附約-條款樣張</t>
  </si>
  <si>
    <t>全通路版-C4-元大人壽真心保護防癌終身健康保險附約-商品DM</t>
  </si>
  <si>
    <t>全通路版-C4-元大人壽真心保護防癌終身健康保險附約-商品費率表</t>
  </si>
  <si>
    <t>全通路版-C4-元大人壽真心保護防癌終身健康保險附約-商品條款</t>
  </si>
  <si>
    <t>全通路版-C4-元大人壽真心保護防癌終身健康保險附約-條款樣張</t>
  </si>
  <si>
    <t>全通路版-CY-元大人壽一年期防癌健康保險附約-商品DM</t>
  </si>
  <si>
    <t>全通路版-CY-元大人壽一年期防癌健康保險附約-商品費率表</t>
  </si>
  <si>
    <t>全通路版-CY-元大人壽一年期防癌健康保險附約-商品條款</t>
  </si>
  <si>
    <t>全通路版-CY-元大人壽一年期防癌健康保險附約-條款樣張</t>
  </si>
  <si>
    <t>全通路版-DD-元大人壽重大疾病暨特定傷病健康保險附約(II)-商品DM</t>
  </si>
  <si>
    <t>全通路版-DD-元大人壽重大疾病暨特定傷病健康保險附約(II)-商品費率表</t>
  </si>
  <si>
    <t>全通路版-DD-元大人壽重大疾病暨特定傷病健康保險附約(II)-商品條款</t>
  </si>
  <si>
    <t>全通路版-DD-元大人壽重大疾病暨特定傷病健康保險附約(II)-條款樣張</t>
  </si>
  <si>
    <t>全通路版-DJ-元大人壽幸扶一世雙重照護終身保險-不分紅-商品DM</t>
  </si>
  <si>
    <t>全通路版-DJ-元大人壽幸扶一世雙重照護終身保險-不分紅-商品費率表</t>
  </si>
  <si>
    <t>全通路版-DJ-元大人壽幸扶一世雙重照護終身保險-不分紅-商品條款</t>
  </si>
  <si>
    <t>全通路版-DJ-元大人壽幸扶一世雙重照護終身保險-不分紅-條款樣張</t>
  </si>
  <si>
    <t>全通路版-DP-元大人壽重大疾病健康保險附約(乙型)-商品DM</t>
  </si>
  <si>
    <t>全通路版-DP-元大人壽重大疾病健康保險附約(乙型)-商品費率表</t>
  </si>
  <si>
    <t>全通路版-DP-元大人壽重大疾病健康保險附約(乙型)-商品條款</t>
  </si>
  <si>
    <t>全通路版-DP-元大人壽重大疾病健康保險附約(乙型)-條款樣張</t>
  </si>
  <si>
    <t>全通路版-EW-元大人壽億達利率變動型增額終身壽險-不分紅-商品DM</t>
  </si>
  <si>
    <t>全通路版-EW-元大人壽億達利率變動型增額終身壽險-不分紅-商品費率表</t>
  </si>
  <si>
    <t>全通路版-EW-元大人壽億達利率變動型增額終身壽險-不分紅-商品條款</t>
  </si>
  <si>
    <t>全通路版-EW-元大人壽億達利率變動型增額終身壽險-不分紅-條款樣張</t>
  </si>
  <si>
    <t>全通路版-FM-元大人壽美億達美元利率變動型增額終身壽險-不分紅-商品DM</t>
  </si>
  <si>
    <t>全通路版-FM-元大人壽美億達美元利率變動型增額終身壽險-不分紅-商品費率表</t>
  </si>
  <si>
    <t>全通路版-FM-元大人壽美億達美元利率變動型增額終身壽險-不分紅-商品條款</t>
  </si>
  <si>
    <t>全通路版-FM-元大人壽美億達美元利率變動型增額終身壽險-不分紅-條款樣張</t>
  </si>
  <si>
    <t>全通路版-HI-元大人壽住院日額給付保險附約-商品DM</t>
  </si>
  <si>
    <t>全通路版-HI-元大人壽住院日額給付保險附約-商品費率表</t>
  </si>
  <si>
    <t>全通路版-HI-元大人壽住院日額給付保險附約-商品條款</t>
  </si>
  <si>
    <t>全通路版-HI-元大人壽住院日額給付保險附約-條款樣張</t>
  </si>
  <si>
    <t>全通路版-HS-元大人壽綜合住院醫療保險附約-商品DM</t>
  </si>
  <si>
    <t>全通路版-HS-元大人壽綜合住院醫療保險附約-商品費率表</t>
  </si>
  <si>
    <t>全通路版-HS-元大人壽綜合住院醫療保險附約-商品條款</t>
  </si>
  <si>
    <t>全通路版-HS-元大人壽綜合住院醫療保險附約-條款樣張</t>
  </si>
  <si>
    <t>全通路版-JR-元大人壽享有心住院醫療健康保險附約-不分紅-商品DM</t>
  </si>
  <si>
    <t>全通路版-JR-元大人壽享有心住院醫療健康保險附約-不分紅-商品費率表</t>
  </si>
  <si>
    <t>全通路版-JR-元大人壽享有心住院醫療健康保險附約-不分紅-商品條款</t>
  </si>
  <si>
    <t>全通路版-JR-元大人壽享有心住院醫療健康保險附約-不分紅-條款樣張</t>
  </si>
  <si>
    <t>全通路版-LW-元大人壽永愛終身壽險-商品DM</t>
  </si>
  <si>
    <t>全通路版-LW-元大人壽永愛終身壽險-商品費率表</t>
  </si>
  <si>
    <t>全通路版-LW-元大人壽永愛終身壽險-商品條款</t>
  </si>
  <si>
    <t>全通路版-LW-元大人壽永愛終身壽險-條款樣張</t>
  </si>
  <si>
    <t>全通路版-MI-元大人壽意外傷害住院日額保險附約-商品DM</t>
  </si>
  <si>
    <t>全通路版-MI-元大人壽意外傷害住院日額保險附約-商品費率表</t>
  </si>
  <si>
    <t>全通路版-MI-元大人壽意外傷害住院日額保險附約-商品條款</t>
  </si>
  <si>
    <t>全通路版-MI-元大人壽意外傷害住院日額保險附約-條款樣張</t>
  </si>
  <si>
    <t>全通路版-NR-元大人壽享安住院醫療健康保險附約-商品DM</t>
  </si>
  <si>
    <t>全通路版-NR-元大人壽享安住院醫療健康保險附約-商品費率表</t>
  </si>
  <si>
    <t>全通路版-NR-元大人壽享安住院醫療健康保險附約-商品條款</t>
  </si>
  <si>
    <t>全通路版-NR-元大人壽享安住院醫療健康保險附約-條款樣張</t>
  </si>
  <si>
    <t>全通路版-PR-元大人壽人身傷害保險附約(II)-商品DM</t>
  </si>
  <si>
    <t>全通路版-PR-元大人壽人身傷害保險附約(II)-商品費率表</t>
  </si>
  <si>
    <t>全通路版-PR-元大人壽人身傷害保險附約(II)-商品條款</t>
  </si>
  <si>
    <t>全通路版-PR-元大人壽人身傷害保險附約(II)-條款樣張</t>
  </si>
  <si>
    <t>全通路版-QR-元大人壽新意外傷害醫療保險附約-商品DM</t>
  </si>
  <si>
    <t>全通路版-QR-元大人壽新意外傷害醫療保險附約-商品費率表</t>
  </si>
  <si>
    <t>全通路版-QR-元大人壽新意外傷害醫療保險附約-商品條款</t>
  </si>
  <si>
    <t>全通路版-QR-元大人壽新意外傷害醫療保險附約-條款樣張</t>
  </si>
  <si>
    <t>全通路版-RL-元大人壽好安鑫重大傷病終身健康保險附約-商品DM</t>
  </si>
  <si>
    <t>全通路版-RL-元大人壽好安鑫重大傷病終身健康保險附約-商品費率表</t>
  </si>
  <si>
    <t>全通路版-RL-元大人壽好安鑫重大傷病終身健康保險附約-商品條款</t>
  </si>
  <si>
    <t>全通路版-RL-元大人壽好安鑫重大傷病終身健康保險附約-條款樣張</t>
  </si>
  <si>
    <t>全通路版-SH-元大人壽一年期手術醫療健康保險附約-商品DM</t>
  </si>
  <si>
    <t>全通路版-SH-元大人壽一年期手術醫療健康保險附約-商品費率表</t>
  </si>
  <si>
    <t>全通路版-SH-元大人壽一年期手術醫療健康保險附約-商品條款</t>
  </si>
  <si>
    <t>全通路版-SH-元大人壽一年期手術醫療健康保險附約-條款樣張</t>
  </si>
  <si>
    <t>全通路版-TM-元大人壽新加值定期壽險-商品DM</t>
  </si>
  <si>
    <t>全通路版-TM-元大人壽新加值定期壽險-商品費率表</t>
  </si>
  <si>
    <t>全通路版-TM-元大人壽新加值定期壽險-商品條款</t>
  </si>
  <si>
    <t>全通路版-TM-元大人壽新加值定期壽險-條款樣張</t>
  </si>
  <si>
    <t>全通路版-WB-元大人壽真意豁免保險費附約-商品DM</t>
  </si>
  <si>
    <t>全通路版-WB-元大人壽真意豁免保險費附約-商品費率表</t>
  </si>
  <si>
    <t>全通路版-WB-元大人壽真意豁免保險費附約-商品條款</t>
  </si>
  <si>
    <t>全通路版-WB-元大人壽真意豁免保險費附約-條款樣張</t>
  </si>
  <si>
    <t>全通路版-WD-元大人壽真心豁免保險費附約-商品DM</t>
  </si>
  <si>
    <t>全通路版-WD-元大人壽真心豁免保險費附約-商品費率表</t>
  </si>
  <si>
    <t>全通路版-WD-元大人壽真心豁免保險費附約-商品條款</t>
  </si>
  <si>
    <t>QR</t>
    <phoneticPr fontId="3" type="noConversion"/>
  </si>
  <si>
    <t>WD</t>
    <phoneticPr fontId="3" type="noConversion"/>
  </si>
  <si>
    <t>A2_文宣字第1090671號</t>
    <phoneticPr fontId="3" type="noConversion"/>
  </si>
  <si>
    <t>pdf</t>
    <phoneticPr fontId="3" type="noConversion"/>
  </si>
  <si>
    <t>A2E費率表_含保費折扣</t>
    <phoneticPr fontId="3" type="noConversion"/>
  </si>
  <si>
    <t>xlsx</t>
    <phoneticPr fontId="3" type="noConversion"/>
  </si>
  <si>
    <t>A2-s</t>
  </si>
  <si>
    <t>A3_文宣字第109189號</t>
  </si>
  <si>
    <t>A3C費率表_含保費折扣</t>
  </si>
  <si>
    <t>A3-s</t>
  </si>
  <si>
    <t>C4_文宣字第109189號</t>
  </si>
  <si>
    <t>C4F費率表_含保費折扣</t>
  </si>
  <si>
    <t>C4-s</t>
  </si>
  <si>
    <t>CYA費率表_含折扣費率</t>
  </si>
  <si>
    <t>CY-s</t>
  </si>
  <si>
    <t>DD_文宣字第109027號</t>
  </si>
  <si>
    <t>DDF費率表</t>
  </si>
  <si>
    <t>DD-s</t>
  </si>
  <si>
    <t>DJ_文宣字第109364號</t>
  </si>
  <si>
    <t>DJE費率表_含保費折扣</t>
  </si>
  <si>
    <t>DJ-s</t>
  </si>
  <si>
    <t>DP_文宣字第109027號</t>
  </si>
  <si>
    <t>DPA費率表_含折扣費率</t>
  </si>
  <si>
    <t>DP-s</t>
  </si>
  <si>
    <t>EW_文宣字第109079號</t>
  </si>
  <si>
    <t>EWA費率表_含保費折扣</t>
  </si>
  <si>
    <t>EW-s</t>
  </si>
  <si>
    <t>FM_文宣字第109079號</t>
  </si>
  <si>
    <t>FMA費率表_含保費折扣</t>
  </si>
  <si>
    <t>FM-s</t>
  </si>
  <si>
    <t>xls</t>
    <phoneticPr fontId="3" type="noConversion"/>
  </si>
  <si>
    <t>HI_文宣字第109027號</t>
  </si>
  <si>
    <t>HI費率表_元大版</t>
  </si>
  <si>
    <t>HI-s</t>
  </si>
  <si>
    <t>HS_文宣字第109027號</t>
  </si>
  <si>
    <t>HS_2006GP_元大版</t>
  </si>
  <si>
    <t>HS-s</t>
  </si>
  <si>
    <t>JR_文宣字第109027號</t>
  </si>
  <si>
    <t>JRA費率表_含保費折扣</t>
  </si>
  <si>
    <t>JR-s</t>
  </si>
  <si>
    <t>LW_文宣字第1090705號</t>
  </si>
  <si>
    <t>LWE費率表</t>
  </si>
  <si>
    <t>LW-s</t>
  </si>
  <si>
    <t>MI_文宣字第109051號</t>
  </si>
  <si>
    <t>MI費率表_元大版</t>
  </si>
  <si>
    <t>MI-s</t>
  </si>
  <si>
    <t>NR_文宣字第109027號</t>
  </si>
  <si>
    <t>NRA費率表</t>
  </si>
  <si>
    <t>xls</t>
    <phoneticPr fontId="3" type="noConversion"/>
  </si>
  <si>
    <t>NR-s</t>
  </si>
  <si>
    <t>PR_文宣字第109364號</t>
  </si>
  <si>
    <t>PRG費率表</t>
  </si>
  <si>
    <t>PR-s</t>
  </si>
  <si>
    <t>QR_文宣字第109188號</t>
  </si>
  <si>
    <t>QRB費率表</t>
  </si>
  <si>
    <t>QR-s</t>
  </si>
  <si>
    <t>xls</t>
    <phoneticPr fontId="3" type="noConversion"/>
  </si>
  <si>
    <t>RL_文宣字第108387號</t>
  </si>
  <si>
    <t>RL_費率表</t>
  </si>
  <si>
    <t>RL-s</t>
  </si>
  <si>
    <t>SH_文宣字第109027號</t>
  </si>
  <si>
    <t>SHA費率表</t>
  </si>
  <si>
    <t>SH-s</t>
  </si>
  <si>
    <t>TM_文宣字第1090705號</t>
  </si>
  <si>
    <t>TMD費率表_含保費折扣</t>
  </si>
  <si>
    <t>TM-s</t>
  </si>
  <si>
    <t>WB_文宣字第109027號</t>
  </si>
  <si>
    <t>WBA費率表_含保費折扣</t>
  </si>
  <si>
    <t>WB-s</t>
  </si>
  <si>
    <t>WD_文宣字第109051號</t>
  </si>
  <si>
    <t>WDA費率表_含保費折扣</t>
  </si>
  <si>
    <t>WD-s</t>
  </si>
  <si>
    <t>GETDATE()</t>
    <phoneticPr fontId="3" type="noConversion"/>
  </si>
  <si>
    <t>A3</t>
    <phoneticPr fontId="3" type="noConversion"/>
  </si>
  <si>
    <t>C4</t>
    <phoneticPr fontId="3" type="noConversion"/>
  </si>
  <si>
    <t>CY</t>
    <phoneticPr fontId="3" type="noConversion"/>
  </si>
  <si>
    <t>DD</t>
    <phoneticPr fontId="3" type="noConversion"/>
  </si>
  <si>
    <t>DJ</t>
    <phoneticPr fontId="3" type="noConversion"/>
  </si>
  <si>
    <t>DP</t>
    <phoneticPr fontId="3" type="noConversion"/>
  </si>
  <si>
    <t>EW</t>
    <phoneticPr fontId="3" type="noConversion"/>
  </si>
  <si>
    <t>FM</t>
    <phoneticPr fontId="3" type="noConversion"/>
  </si>
  <si>
    <t>HI</t>
    <phoneticPr fontId="3" type="noConversion"/>
  </si>
  <si>
    <t>HS</t>
    <phoneticPr fontId="3" type="noConversion"/>
  </si>
  <si>
    <t>JR</t>
    <phoneticPr fontId="3" type="noConversion"/>
  </si>
  <si>
    <t>LW</t>
    <phoneticPr fontId="3" type="noConversion"/>
  </si>
  <si>
    <t>MI</t>
    <phoneticPr fontId="3" type="noConversion"/>
  </si>
  <si>
    <t>NR</t>
    <phoneticPr fontId="3" type="noConversion"/>
  </si>
  <si>
    <t>PR</t>
    <phoneticPr fontId="3" type="noConversion"/>
  </si>
  <si>
    <t>QR</t>
    <phoneticPr fontId="3" type="noConversion"/>
  </si>
  <si>
    <t>RL</t>
    <phoneticPr fontId="3" type="noConversion"/>
  </si>
  <si>
    <t>SH</t>
    <phoneticPr fontId="3" type="noConversion"/>
  </si>
  <si>
    <t>TM</t>
    <phoneticPr fontId="3" type="noConversion"/>
  </si>
  <si>
    <t>WB</t>
    <phoneticPr fontId="3" type="noConversion"/>
  </si>
  <si>
    <t>WD</t>
    <phoneticPr fontId="3" type="noConversion"/>
  </si>
  <si>
    <t>CY_文宣字第108321號</t>
    <phoneticPr fontId="3" type="noConversion"/>
  </si>
  <si>
    <t>公用文件</t>
    <phoneticPr fontId="3" type="noConversion"/>
  </si>
  <si>
    <t>xls</t>
    <phoneticPr fontId="3" type="noConversion"/>
  </si>
  <si>
    <t>公司簡介</t>
    <phoneticPr fontId="3" type="noConversion"/>
  </si>
  <si>
    <t>特約體檢醫院1091221</t>
    <phoneticPr fontId="3" type="noConversion"/>
  </si>
  <si>
    <t>集彙檔案20210104</t>
    <phoneticPr fontId="3" type="noConversion"/>
  </si>
  <si>
    <t>回到目錄</t>
    <phoneticPr fontId="3" type="noConversion"/>
  </si>
  <si>
    <t>WB-元大人壽真意豁免保險費附約-商品DM</t>
    <phoneticPr fontId="3" type="noConversion"/>
  </si>
  <si>
    <t>WB-元大人壽真意豁免保險費附約-商品費率表</t>
    <phoneticPr fontId="3" type="noConversion"/>
  </si>
  <si>
    <t>WH-元大人壽美意美元豁免保險費附約-商品費率表</t>
    <phoneticPr fontId="3" type="noConversion"/>
  </si>
  <si>
    <t>WD-元大人壽真心豁免保險費附約-商品條款</t>
    <phoneticPr fontId="3" type="noConversion"/>
  </si>
  <si>
    <t>WH-元大人壽美意美元豁免保險費附約-商品條款</t>
    <phoneticPr fontId="3" type="noConversion"/>
  </si>
  <si>
    <t>WH-元大人壽美意美元豁免保險費附約-條款樣張</t>
    <phoneticPr fontId="3" type="noConversion"/>
  </si>
  <si>
    <t>WH-元大人壽美意美元豁免保險費附約-商品DM</t>
    <phoneticPr fontId="3" type="noConversion"/>
  </si>
  <si>
    <t>WI-元大人壽美心美元豁免保險費附約-商品DM</t>
    <phoneticPr fontId="3" type="noConversion"/>
  </si>
  <si>
    <t>WI-元大人壽美心美元豁免保險費附約-商品費率表</t>
    <phoneticPr fontId="3" type="noConversion"/>
  </si>
  <si>
    <t>WI-元大人壽美心美元豁免保險費附約-商品條款</t>
    <phoneticPr fontId="3" type="noConversion"/>
  </si>
  <si>
    <t>WI-元大人壽美心美元豁免保險費附約-條款樣張</t>
    <phoneticPr fontId="3" type="noConversion"/>
  </si>
  <si>
    <t>00000000-0000-0000-0000-000000000092</t>
  </si>
  <si>
    <t>00000000-0000-0000-0000-000000000093</t>
  </si>
  <si>
    <t>00000000-0000-0000-0000-000000000094</t>
  </si>
  <si>
    <t>00000000-0000-0000-0000-000000000095</t>
  </si>
  <si>
    <t>00000000-0000-0000-0000-000000000096</t>
  </si>
  <si>
    <t>00000000-0000-0000-0000-000000000097</t>
  </si>
  <si>
    <t>00000000-0000-0000-0000-000000000098</t>
  </si>
  <si>
    <t>00000000-0000-0000-0000-000000000099</t>
  </si>
  <si>
    <t>全通路版-WD-元大人壽真心豁免保險費附約-條款樣張</t>
    <phoneticPr fontId="3" type="noConversion"/>
  </si>
  <si>
    <t>全通路版-WH-元大人壽美意美元豁免保險費附約-商品DM</t>
    <phoneticPr fontId="3" type="noConversion"/>
  </si>
  <si>
    <t>全通路版-WH-元大人壽美意美元豁免保險費附約-商品費率表</t>
    <phoneticPr fontId="3" type="noConversion"/>
  </si>
  <si>
    <t>全通路版-WH-元大人壽美意美元豁免保險費附約-商品條款</t>
    <phoneticPr fontId="3" type="noConversion"/>
  </si>
  <si>
    <t>全通路版-WH-元大人壽美意美元豁免保險費附約-條款樣張</t>
    <phoneticPr fontId="3" type="noConversion"/>
  </si>
  <si>
    <t>全通路版-WI-元大人壽美心美元豁免保險費附約-商品DM</t>
    <phoneticPr fontId="3" type="noConversion"/>
  </si>
  <si>
    <t>全通路版-WI-元大人壽美心美元豁免保險費附約-商品費率表</t>
    <phoneticPr fontId="3" type="noConversion"/>
  </si>
  <si>
    <t>全通路版-WI-元大人壽美心美元豁免保險費附約-商品條款</t>
    <phoneticPr fontId="3" type="noConversion"/>
  </si>
  <si>
    <t>全通路版-WI-元大人壽美心美元豁免保險費附約-條款樣張</t>
    <phoneticPr fontId="3" type="noConversion"/>
  </si>
  <si>
    <t>WH</t>
    <phoneticPr fontId="3" type="noConversion"/>
  </si>
  <si>
    <t>WI</t>
    <phoneticPr fontId="3" type="noConversion"/>
  </si>
  <si>
    <t>WH</t>
    <phoneticPr fontId="3" type="noConversion"/>
  </si>
  <si>
    <t>WI</t>
    <phoneticPr fontId="3" type="noConversion"/>
  </si>
  <si>
    <t>DM_WH</t>
    <phoneticPr fontId="3" type="noConversion"/>
  </si>
  <si>
    <t>DM_WI</t>
  </si>
  <si>
    <t>pdf</t>
    <phoneticPr fontId="3" type="noConversion"/>
  </si>
  <si>
    <t>WHA費率表_含保費折扣</t>
    <phoneticPr fontId="3" type="noConversion"/>
  </si>
  <si>
    <t>WH-s</t>
    <phoneticPr fontId="3" type="noConversion"/>
  </si>
  <si>
    <t>WIA費率表_含保費折扣</t>
  </si>
  <si>
    <t>WI-s</t>
  </si>
  <si>
    <t>A6</t>
  </si>
  <si>
    <t>C2</t>
  </si>
  <si>
    <t>C3</t>
  </si>
  <si>
    <t>C5</t>
  </si>
  <si>
    <t>DI</t>
  </si>
  <si>
    <t>FI</t>
  </si>
  <si>
    <t>H1</t>
  </si>
  <si>
    <t>HC</t>
  </si>
  <si>
    <t>JB</t>
  </si>
  <si>
    <t>JD</t>
  </si>
  <si>
    <t>LB</t>
  </si>
  <si>
    <t>P1</t>
  </si>
  <si>
    <t>PE</t>
  </si>
  <si>
    <t>RE</t>
  </si>
  <si>
    <t>RI</t>
  </si>
  <si>
    <t>RY</t>
  </si>
  <si>
    <t>S1</t>
  </si>
  <si>
    <t>SA</t>
  </si>
  <si>
    <t>SB</t>
  </si>
  <si>
    <t>A1</t>
    <phoneticPr fontId="3" type="noConversion"/>
  </si>
  <si>
    <t>A2</t>
    <phoneticPr fontId="3" type="noConversion"/>
  </si>
  <si>
    <t>預留結構暫不實作。</t>
    <phoneticPr fontId="3" type="noConversion"/>
  </si>
  <si>
    <t>BaseYearPayPremCalcType</t>
  </si>
  <si>
    <t>BaseWaiverCSVCalcType</t>
  </si>
  <si>
    <t>VabMinorAccInterestCalcType</t>
  </si>
  <si>
    <t>PuaFACalcType</t>
  </si>
  <si>
    <t>TotalMinorCurrentYearInterestCalcType</t>
  </si>
  <si>
    <t>基本資料：當年度年繳化實繳保費試算類型</t>
  </si>
  <si>
    <t>基本資料：豁免解約金試算類型</t>
  </si>
  <si>
    <t>增值回櫃分享金：增值回饋金試算類型</t>
  </si>
  <si>
    <t>增值回櫃分享金：未成年增值回饋金之累計儲存生息試算類型</t>
  </si>
  <si>
    <t>增值回櫃分享金：當年度增值回饋金試算類型</t>
  </si>
  <si>
    <t>增值回櫃分享金：現金給付試算類型</t>
  </si>
  <si>
    <t>增值回櫃分享金：累計現金給付試算類型</t>
  </si>
  <si>
    <t>增值回櫃分享金：累計儲存生息試算類型</t>
  </si>
  <si>
    <t>增額繳清保險金額：增值回饋金對應保額試算類型</t>
  </si>
  <si>
    <t>增額繳清保險金額：累計增值回饋金對應保額試算類型</t>
  </si>
  <si>
    <t>增額繳清保險金額：當年度保險金額試算類型</t>
  </si>
  <si>
    <t>增額繳清保險金額：保單價值準備金試算類型</t>
  </si>
  <si>
    <t>增額繳清保險金額：解約金試算類型</t>
  </si>
  <si>
    <t>增額繳清保險金額：身故保險金試算類型</t>
  </si>
  <si>
    <t>增額繳清保險金額：完全失能保險金試算類型</t>
  </si>
  <si>
    <t>增額繳清保險金額：生存保險金試算類型</t>
  </si>
  <si>
    <t>增額繳清保險金額：累計生存保險金試算類型</t>
  </si>
  <si>
    <t>LifeInsActFactorNSPRPU</t>
    <phoneticPr fontId="3" type="noConversion"/>
  </si>
  <si>
    <t>壽險精算係數檔(增額保險金額)</t>
    <phoneticPr fontId="3" type="noConversion"/>
  </si>
  <si>
    <t>Col0</t>
    <phoneticPr fontId="3" type="noConversion"/>
  </si>
  <si>
    <t>基本資料：身故保險金(未成年)試算類型</t>
  </si>
  <si>
    <t>基本資料：身故保險金(成年)試算類型</t>
  </si>
  <si>
    <t>BaseTempDBCalcType</t>
  </si>
  <si>
    <t>BaseDPDBCalcType</t>
  </si>
  <si>
    <t>PuaTempDBCalcType</t>
  </si>
  <si>
    <t>PuaDPDBCalcType</t>
  </si>
  <si>
    <t>TotalTempDBCalcType</t>
  </si>
  <si>
    <t>TotalDPDBCalcType</t>
  </si>
  <si>
    <t>TotalAccSumCSVCalcType</t>
  </si>
  <si>
    <t>基本資料：身故保險金(暫存)試算類型</t>
  </si>
  <si>
    <t>基本資料：身故／完全失能保險金試算類型</t>
  </si>
  <si>
    <t>基本資料：完全失能保險金試算類型</t>
  </si>
  <si>
    <t>增額繳清保險金額：身故保險金(暫存)試算類型</t>
  </si>
  <si>
    <t>增額繳清保險金額：身故／完全失能保險金試算類型</t>
  </si>
  <si>
    <t>合計：身故保險金(暫存)試算類型</t>
  </si>
  <si>
    <t>合計：身故／完全失能保險金試算類型</t>
  </si>
  <si>
    <t>合計：累計解約總給付試算類型</t>
  </si>
  <si>
    <t>BaseAccSBCalcType</t>
  </si>
  <si>
    <t>VabAccCashWDCalcType</t>
  </si>
  <si>
    <t>VabAccInterestCalcType</t>
  </si>
  <si>
    <t>PuaAccFACalcType</t>
  </si>
  <si>
    <t>PuaAccSBCalcType</t>
  </si>
  <si>
    <t>TotalAccGPCalcType</t>
  </si>
  <si>
    <t>TotalAccSBCalcType</t>
  </si>
  <si>
    <t>DeathBenefitType</t>
    <phoneticPr fontId="3" type="noConversion"/>
  </si>
  <si>
    <t>int</t>
    <phoneticPr fontId="3" type="noConversion"/>
  </si>
  <si>
    <t>Y</t>
    <phoneticPr fontId="3" type="noConversion"/>
  </si>
  <si>
    <t>身故保險金類型</t>
    <phoneticPr fontId="3" type="noConversion"/>
  </si>
  <si>
    <t>PPL.000.039</t>
    <phoneticPr fontId="3" type="noConversion"/>
  </si>
  <si>
    <t>實作於第二層檢核，身故金類型相同的商品，方可互搭。</t>
    <phoneticPr fontId="3" type="noConversion"/>
  </si>
  <si>
    <t>後台管理</t>
    <phoneticPr fontId="3" type="noConversion"/>
  </si>
  <si>
    <t>分為IT維護、使用者維護
修改資料需要放行動作</t>
    <phoneticPr fontId="3" type="noConversion"/>
  </si>
  <si>
    <t>系統通路代碼檔</t>
    <phoneticPr fontId="3" type="noConversion"/>
  </si>
  <si>
    <t>SysChannelCode</t>
    <phoneticPr fontId="3" type="noConversion"/>
  </si>
  <si>
    <t>顯示保額計劃序號</t>
    <phoneticPr fontId="3" type="noConversion"/>
  </si>
  <si>
    <t>DispAmtPlanSerNo</t>
    <phoneticPr fontId="3" type="noConversion"/>
  </si>
  <si>
    <t>int</t>
    <phoneticPr fontId="3" type="noConversion"/>
  </si>
  <si>
    <t>IndividualCoverCalcType</t>
    <phoneticPr fontId="3" type="noConversion"/>
  </si>
  <si>
    <t>個別保障試算類型</t>
    <phoneticPr fontId="3" type="noConversion"/>
  </si>
  <si>
    <t>附約不需設定***
多筆以|符號分隔，例如：1|2|3|4</t>
    <phoneticPr fontId="3" type="noConversion"/>
  </si>
  <si>
    <t>搭配dbo.LifeIns.IndividualCoverCalcType</t>
    <phoneticPr fontId="3" type="noConversion"/>
  </si>
  <si>
    <t>int</t>
    <phoneticPr fontId="3" type="noConversion"/>
  </si>
  <si>
    <t>繳別係數試算類型</t>
    <phoneticPr fontId="3" type="noConversion"/>
  </si>
  <si>
    <t>一般&amp;豁免險種各自獨立，皆從類型1開始，詳保費試算公式</t>
    <phoneticPr fontId="3" type="noConversion"/>
  </si>
  <si>
    <t>詳保費試算公式</t>
    <phoneticPr fontId="3" type="noConversion"/>
  </si>
  <si>
    <t>PayFreqFactorCalcType</t>
    <phoneticPr fontId="3" type="noConversion"/>
  </si>
  <si>
    <t>批次作業精算係數匯入檔</t>
    <phoneticPr fontId="3" type="noConversion"/>
  </si>
  <si>
    <t>nvarchar(MAX)</t>
    <phoneticPr fontId="3" type="noConversion"/>
  </si>
  <si>
    <t>PlanCode</t>
    <phoneticPr fontId="3" type="noConversion"/>
  </si>
  <si>
    <t>BatchActFactorImport</t>
    <phoneticPr fontId="3" type="noConversion"/>
  </si>
  <si>
    <t>SettingValue</t>
    <phoneticPr fontId="3" type="noConversion"/>
  </si>
  <si>
    <t>設定值</t>
    <phoneticPr fontId="3" type="noConversion"/>
  </si>
  <si>
    <t>精算係數匯入介面設定值，以json格式儲存。</t>
    <phoneticPr fontId="3" type="noConversion"/>
  </si>
  <si>
    <t>LifeInsCalcTypeBenefitInv</t>
    <phoneticPr fontId="3" type="noConversion"/>
  </si>
  <si>
    <t>壽險試算類型檔(保障明細投資型)</t>
    <phoneticPr fontId="3" type="noConversion"/>
  </si>
  <si>
    <t>UWMsgType</t>
    <phoneticPr fontId="3" type="noConversion"/>
  </si>
  <si>
    <t>核保訊息類型</t>
    <phoneticPr fontId="3" type="noConversion"/>
  </si>
  <si>
    <t>PPL.000.041</t>
    <phoneticPr fontId="3" type="noConversion"/>
  </si>
  <si>
    <t>PPL.000.042</t>
    <phoneticPr fontId="3" type="noConversion"/>
  </si>
  <si>
    <t>TotalSumDPDBCalcType</t>
    <phoneticPr fontId="3" type="noConversion"/>
  </si>
  <si>
    <t>合計：身故總給付試算類型</t>
    <phoneticPr fontId="3" type="noConversion"/>
  </si>
  <si>
    <t>合計：身故/完全失能總給付試算類型</t>
    <phoneticPr fontId="3" type="noConversion"/>
  </si>
  <si>
    <t>介接元大人壽內部系統使用。</t>
    <phoneticPr fontId="3" type="noConversion"/>
  </si>
  <si>
    <t>V5</t>
    <phoneticPr fontId="3" type="noConversion"/>
  </si>
  <si>
    <t>A</t>
    <phoneticPr fontId="3" type="noConversion"/>
  </si>
  <si>
    <t>MultiKind</t>
    <phoneticPr fontId="3" type="noConversion"/>
  </si>
  <si>
    <t>基本保險費倍數</t>
  </si>
  <si>
    <t>最高基本保額</t>
    <phoneticPr fontId="3" type="noConversion"/>
  </si>
  <si>
    <t>InvBasicPrem</t>
  </si>
  <si>
    <t>BasicPremMultiple</t>
    <phoneticPr fontId="3" type="noConversion"/>
  </si>
  <si>
    <t>LifeInsAmtLimitInvBgn</t>
    <phoneticPr fontId="3" type="noConversion"/>
  </si>
  <si>
    <t>LifeInsAmtLimitInvEnd</t>
    <phoneticPr fontId="3" type="noConversion"/>
  </si>
  <si>
    <t>LifeInsAmtLimitInvBgn_Data</t>
    <phoneticPr fontId="3" type="noConversion"/>
  </si>
  <si>
    <t>壽險保額限制檔(職級)</t>
    <phoneticPr fontId="3" type="noConversion"/>
  </si>
  <si>
    <t>LifeInsAmtLimitInvEnd</t>
    <phoneticPr fontId="3" type="noConversion"/>
  </si>
  <si>
    <t>LifeInsAmtLimitInvEnd_Data</t>
    <phoneticPr fontId="3" type="noConversion"/>
  </si>
  <si>
    <t>壽險保額限制檔(投資型最低保額)</t>
    <phoneticPr fontId="3" type="noConversion"/>
  </si>
  <si>
    <t>壽險保額限制檔(投資型最高保額)</t>
    <phoneticPr fontId="3" type="noConversion"/>
  </si>
  <si>
    <t>險種代碼</t>
  </si>
  <si>
    <t>多型別</t>
  </si>
  <si>
    <t>smallint</t>
    <phoneticPr fontId="3" type="noConversion"/>
  </si>
  <si>
    <t>以元為單位</t>
    <phoneticPr fontId="3" type="noConversion"/>
  </si>
  <si>
    <t>最低年齡</t>
    <phoneticPr fontId="3" type="noConversion"/>
  </si>
  <si>
    <t>最高年齡</t>
    <phoneticPr fontId="3" type="noConversion"/>
  </si>
  <si>
    <t>資料設定1.5，表示1.5*100%=150%。</t>
    <phoneticPr fontId="3" type="noConversion"/>
  </si>
  <si>
    <t>資料設定1.5，表示1.5*100%=150%。</t>
    <phoneticPr fontId="3" type="noConversion"/>
  </si>
  <si>
    <t>檢查本欄為設定值&gt;0的商品，不可重複。</t>
    <phoneticPr fontId="3" type="noConversion"/>
  </si>
  <si>
    <t>EndBasicAmt</t>
    <phoneticPr fontId="3" type="noConversion"/>
  </si>
  <si>
    <t>EndBasicAmt</t>
    <phoneticPr fontId="3" type="noConversion"/>
  </si>
  <si>
    <t>最低基本保額比例值</t>
    <phoneticPr fontId="3" type="noConversion"/>
  </si>
  <si>
    <t>BgnBasicAmtPercentValue</t>
    <phoneticPr fontId="3" type="noConversion"/>
  </si>
  <si>
    <t>BgnBasicAmtPercentValue</t>
    <phoneticPr fontId="3" type="noConversion"/>
  </si>
  <si>
    <t>EndBasicAmtPercentValue</t>
    <phoneticPr fontId="3" type="noConversion"/>
  </si>
  <si>
    <t>最高基本保額比例值</t>
    <phoneticPr fontId="3" type="noConversion"/>
  </si>
  <si>
    <t>投資型基本保額比例值</t>
  </si>
  <si>
    <t>投資型年金累積期間</t>
  </si>
  <si>
    <t>投資型年金保證期間</t>
  </si>
  <si>
    <t>投資型年金預定利率1</t>
  </si>
  <si>
    <t>投資型年金預定利率2</t>
  </si>
  <si>
    <t>投資型投資報酬率1</t>
  </si>
  <si>
    <t>投資型投資報酬率2</t>
  </si>
  <si>
    <t>投資型投資報酬率3</t>
  </si>
  <si>
    <t>投資型投資報酬率4</t>
  </si>
  <si>
    <t>InvBasicAmtPercentValue</t>
  </si>
  <si>
    <t>InvAnnuityAccYear</t>
  </si>
  <si>
    <t>InvAnnuityPayFreq</t>
  </si>
  <si>
    <t>InvAnnuityPayYear</t>
  </si>
  <si>
    <t>InvAnnuityAIRate1</t>
  </si>
  <si>
    <t>InvAnnuityAIRate2</t>
  </si>
  <si>
    <t>InvROI1</t>
  </si>
  <si>
    <t>InvROI2</t>
  </si>
  <si>
    <t>InvROI3</t>
  </si>
  <si>
    <t>InvROI4</t>
  </si>
  <si>
    <t>DDL</t>
    <phoneticPr fontId="3" type="noConversion"/>
  </si>
  <si>
    <t>不可編輯</t>
    <phoneticPr fontId="3" type="noConversion"/>
  </si>
  <si>
    <t>不使用</t>
    <phoneticPr fontId="3" type="noConversion"/>
  </si>
  <si>
    <t>V5</t>
    <phoneticPr fontId="3" type="noConversion"/>
  </si>
  <si>
    <t>投資型最低基本保額比例值</t>
    <phoneticPr fontId="3" type="noConversion"/>
  </si>
  <si>
    <t>投資型最高基本保額比例值</t>
    <phoneticPr fontId="3" type="noConversion"/>
  </si>
  <si>
    <t>N</t>
    <phoneticPr fontId="3" type="noConversion"/>
  </si>
  <si>
    <t>投資型基本保險費</t>
    <phoneticPr fontId="3" type="noConversion"/>
  </si>
  <si>
    <t>BgnInvBasicAmtPercentValue</t>
  </si>
  <si>
    <t>BgnInvBasicAmtPercentValue</t>
    <phoneticPr fontId="3" type="noConversion"/>
  </si>
  <si>
    <t>EndInvBasicAmtPercentValue</t>
  </si>
  <si>
    <t>EndInvBasicAmtPercentValue</t>
    <phoneticPr fontId="3" type="noConversion"/>
  </si>
  <si>
    <t>LifeInsAnnuityAccYearLimit</t>
    <phoneticPr fontId="3" type="noConversion"/>
  </si>
  <si>
    <t>壽險年金累積期間限制檔</t>
    <phoneticPr fontId="3" type="noConversion"/>
  </si>
  <si>
    <t>LifeInsAnnuityAccYearLimit_Data</t>
    <phoneticPr fontId="3" type="noConversion"/>
  </si>
  <si>
    <t>LifeInsAnnuityAccYearLimit</t>
    <phoneticPr fontId="3" type="noConversion"/>
  </si>
  <si>
    <t>MinAnnuityAccYear</t>
  </si>
  <si>
    <t>V6</t>
    <phoneticPr fontId="3" type="noConversion"/>
  </si>
  <si>
    <t>*</t>
    <phoneticPr fontId="3" type="noConversion"/>
  </si>
  <si>
    <t>MinAnnuityAccYear</t>
    <phoneticPr fontId="3" type="noConversion"/>
  </si>
  <si>
    <t>最小年金累積期間</t>
    <phoneticPr fontId="3" type="noConversion"/>
  </si>
  <si>
    <t>V6</t>
    <phoneticPr fontId="3" type="noConversion"/>
  </si>
  <si>
    <t>N</t>
    <phoneticPr fontId="3" type="noConversion"/>
  </si>
  <si>
    <t>Y</t>
    <phoneticPr fontId="3" type="noConversion"/>
  </si>
  <si>
    <t>2|1</t>
    <phoneticPr fontId="3" type="noConversion"/>
  </si>
  <si>
    <t>A=甲型***
B=乙型…，KEY值可自定義</t>
    <phoneticPr fontId="3" type="noConversion"/>
  </si>
  <si>
    <t>壽險精算係數檔(危險成本)</t>
    <phoneticPr fontId="3" type="noConversion"/>
  </si>
  <si>
    <t>LifeInsActFactorCOI</t>
    <phoneticPr fontId="3" type="noConversion"/>
  </si>
  <si>
    <t>LifeInsActFactorCOI</t>
    <phoneticPr fontId="3" type="noConversion"/>
  </si>
  <si>
    <t>LifeInsActFactorAnnuity</t>
    <phoneticPr fontId="3" type="noConversion"/>
  </si>
  <si>
    <t>LifeInsPolicyFeeRate</t>
    <phoneticPr fontId="3" type="noConversion"/>
  </si>
  <si>
    <t>LifeInsPolicyFeeRate</t>
    <phoneticPr fontId="3" type="noConversion"/>
  </si>
  <si>
    <t>PolicyFeeType</t>
  </si>
  <si>
    <t>PolicyFeeType</t>
    <phoneticPr fontId="3" type="noConversion"/>
  </si>
  <si>
    <t>Col2</t>
    <phoneticPr fontId="3" type="noConversion"/>
  </si>
  <si>
    <t>Col3</t>
    <phoneticPr fontId="3" type="noConversion"/>
  </si>
  <si>
    <t>Col4</t>
    <phoneticPr fontId="3" type="noConversion"/>
  </si>
  <si>
    <t>Col5</t>
    <phoneticPr fontId="3" type="noConversion"/>
  </si>
  <si>
    <t>B</t>
    <phoneticPr fontId="3" type="noConversion"/>
  </si>
  <si>
    <t>V6</t>
    <phoneticPr fontId="3" type="noConversion"/>
  </si>
  <si>
    <t>W1</t>
    <phoneticPr fontId="3" type="noConversion"/>
  </si>
  <si>
    <t>第1年值</t>
    <phoneticPr fontId="3" type="noConversion"/>
  </si>
  <si>
    <t>第2年值</t>
  </si>
  <si>
    <t>第3年值</t>
  </si>
  <si>
    <t>第4年值</t>
  </si>
  <si>
    <t>第5年值</t>
  </si>
  <si>
    <t>保單費用類型</t>
    <phoneticPr fontId="3" type="noConversion"/>
  </si>
  <si>
    <t>壽險保單費用率檔</t>
    <phoneticPr fontId="3" type="noConversion"/>
  </si>
  <si>
    <t>LifeInsPolicyFeeRate_Data</t>
    <phoneticPr fontId="3" type="noConversion"/>
  </si>
  <si>
    <t>PPL.000.048</t>
    <phoneticPr fontId="3" type="noConversion"/>
  </si>
  <si>
    <t>LifeInsCalcTypeAnnuity</t>
    <phoneticPr fontId="3" type="noConversion"/>
  </si>
  <si>
    <t>壽險試算類型檔(年金)</t>
    <phoneticPr fontId="3" type="noConversion"/>
  </si>
  <si>
    <t>LifeInsCalcTypeBenefitInv</t>
    <phoneticPr fontId="3" type="noConversion"/>
  </si>
  <si>
    <t>DurCalcType</t>
  </si>
  <si>
    <t>AgeCalcType</t>
  </si>
  <si>
    <t>QxCalcType</t>
  </si>
  <si>
    <t>QxAdjCalcType</t>
  </si>
  <si>
    <t>TPxCalcType</t>
  </si>
  <si>
    <t>TPxAdjCalcType</t>
  </si>
  <si>
    <t>TPxTotCalcType</t>
  </si>
  <si>
    <t>DiscFact1CalcType</t>
  </si>
  <si>
    <t>DiscFact2CalcType</t>
  </si>
  <si>
    <t>Dur試算類型</t>
  </si>
  <si>
    <t>Age試算類型</t>
  </si>
  <si>
    <t>Qx試算類型</t>
  </si>
  <si>
    <t>QxAdj試算類型</t>
  </si>
  <si>
    <t>TPx試算類型</t>
  </si>
  <si>
    <t>TPxAdj試算類型</t>
  </si>
  <si>
    <t>TPxTot試算類型</t>
  </si>
  <si>
    <t>DiscFact1試算類型</t>
  </si>
  <si>
    <t>DiscFact2試算類型</t>
  </si>
  <si>
    <t>InsMonthCalcType</t>
  </si>
  <si>
    <t>InsYearCalcType</t>
  </si>
  <si>
    <t>InsAgeCalcType</t>
  </si>
  <si>
    <t>BasicPremCalcType</t>
  </si>
  <si>
    <t>LoyaltyBonusCalcType</t>
  </si>
  <si>
    <t>MaintainFeeCalcType</t>
  </si>
  <si>
    <t>AdminFeeCalcType</t>
  </si>
  <si>
    <t>AVBCCalcType</t>
  </si>
  <si>
    <t>SACalcType</t>
  </si>
  <si>
    <t>RSACalcType</t>
  </si>
  <si>
    <t>LifeFeeCalcType</t>
  </si>
  <si>
    <t>AVACCalcType</t>
  </si>
  <si>
    <t>FundGrowthCalcType</t>
  </si>
  <si>
    <t>AVACBPWCalcType</t>
  </si>
  <si>
    <t>AVEndCalcType</t>
  </si>
  <si>
    <t>SurrenderChargeCalcType</t>
  </si>
  <si>
    <t>DPDBCalcType</t>
  </si>
  <si>
    <t>MonthlyFeeCalcType</t>
  </si>
  <si>
    <t>CSVCalcType</t>
  </si>
  <si>
    <t>PremFeeCalcType</t>
  </si>
  <si>
    <t>BenefitGrantedCalcType</t>
  </si>
  <si>
    <t>AnnuityAmtCalcType</t>
  </si>
  <si>
    <t>AccAnnuityAmtCalcType</t>
  </si>
  <si>
    <t>InsMonth試算類型</t>
  </si>
  <si>
    <t>InsYear試算類型</t>
  </si>
  <si>
    <t>InsAge試算類型</t>
  </si>
  <si>
    <t>BasicPrem試算類型</t>
  </si>
  <si>
    <t>LoyaltyBonus試算類型</t>
  </si>
  <si>
    <t>MaintainFee試算類型</t>
  </si>
  <si>
    <t>AdminFee試算類型</t>
  </si>
  <si>
    <t>AVBC試算類型</t>
  </si>
  <si>
    <t>SA試算類型</t>
  </si>
  <si>
    <t>RSA試算類型</t>
  </si>
  <si>
    <t>LifeFee試算類型</t>
  </si>
  <si>
    <t>AVAC試算類型</t>
  </si>
  <si>
    <t>FundGrowth試算類型</t>
  </si>
  <si>
    <t>AVACBPW試算類型</t>
  </si>
  <si>
    <t>AVEnd試算類型</t>
  </si>
  <si>
    <t>SurrenderCharge試算類型</t>
  </si>
  <si>
    <t>DPDB試算類型</t>
  </si>
  <si>
    <t>MonthlyFee試算類型</t>
  </si>
  <si>
    <t>CSV試算類型</t>
  </si>
  <si>
    <t>PremFee試算類型</t>
  </si>
  <si>
    <t>BenefitGranted試算類型</t>
  </si>
  <si>
    <t>AccBasicPrem試算類型</t>
  </si>
  <si>
    <t>AnnuityAmt試算類型</t>
  </si>
  <si>
    <t>AccAnnuityAmt試算類型</t>
  </si>
  <si>
    <t>壽險批註條款保額調整檔</t>
    <phoneticPr fontId="3" type="noConversion"/>
  </si>
  <si>
    <t>LifeInsEndorsementAmtAdj</t>
    <phoneticPr fontId="3" type="noConversion"/>
  </si>
  <si>
    <t>LifeInsEndorsementAmtAdj</t>
    <phoneticPr fontId="3" type="noConversion"/>
  </si>
  <si>
    <t>LifeInsEndorsementAmtAdj_Data</t>
    <phoneticPr fontId="3" type="noConversion"/>
  </si>
  <si>
    <t>A</t>
    <phoneticPr fontId="3" type="noConversion"/>
  </si>
  <si>
    <t>InsAge</t>
  </si>
  <si>
    <t>InsAge</t>
    <phoneticPr fontId="3" type="noConversion"/>
  </si>
  <si>
    <t>AdjustPercentValue</t>
    <phoneticPr fontId="3" type="noConversion"/>
  </si>
  <si>
    <t>B</t>
    <phoneticPr fontId="3" type="noConversion"/>
  </si>
  <si>
    <t>smallint</t>
    <phoneticPr fontId="3" type="noConversion"/>
  </si>
  <si>
    <t>保險年齡</t>
    <phoneticPr fontId="3" type="noConversion"/>
  </si>
  <si>
    <t>調整百分比值</t>
    <phoneticPr fontId="3" type="noConversion"/>
  </si>
  <si>
    <t>BA</t>
    <phoneticPr fontId="3" type="noConversion"/>
  </si>
  <si>
    <t>BTN</t>
    <phoneticPr fontId="3" type="noConversion"/>
  </si>
  <si>
    <t>投資型批註條款</t>
    <phoneticPr fontId="3" type="noConversion"/>
  </si>
  <si>
    <t>InvEndorsement</t>
    <phoneticPr fontId="3" type="noConversion"/>
  </si>
  <si>
    <t>Y</t>
    <phoneticPr fontId="3" type="noConversion"/>
  </si>
  <si>
    <t>Y</t>
    <phoneticPr fontId="3" type="noConversion"/>
  </si>
  <si>
    <t>須計算保費的商品才設定</t>
    <phoneticPr fontId="3" type="noConversion"/>
  </si>
  <si>
    <t>投資型商品欄位</t>
    <phoneticPr fontId="3" type="noConversion"/>
  </si>
  <si>
    <t>報表欄位***
搭配建議書報表『個別保障』計算方法，若沒有設定預設為1***
1=投保保額*保額單位*ReportPlanPVal設定值***
2=以dbo.LifeInsAmtPlan.DispAmtPlanSerNo，對應ReportPlanPVal.Val取值</t>
    <phoneticPr fontId="3" type="noConversion"/>
  </si>
  <si>
    <t>報表欄位</t>
    <phoneticPr fontId="3" type="noConversion"/>
  </si>
  <si>
    <t>報表欄位</t>
    <phoneticPr fontId="3" type="noConversion"/>
  </si>
  <si>
    <t>BgnInvBasicPrem</t>
    <phoneticPr fontId="3" type="noConversion"/>
  </si>
  <si>
    <t>EndInvBasicPrem</t>
    <phoneticPr fontId="3" type="noConversion"/>
  </si>
  <si>
    <t>InvBasicPremUnit</t>
    <phoneticPr fontId="3" type="noConversion"/>
  </si>
  <si>
    <t>FactorAnnuityPercentValue</t>
    <phoneticPr fontId="3" type="noConversion"/>
  </si>
  <si>
    <t>MaintainFeeThreshold</t>
    <phoneticPr fontId="3" type="noConversion"/>
  </si>
  <si>
    <t>MaintainFeeValue</t>
    <phoneticPr fontId="3" type="noConversion"/>
  </si>
  <si>
    <t>PremFeePercentValue</t>
    <phoneticPr fontId="3" type="noConversion"/>
  </si>
  <si>
    <t>BenefitGrantedPercentValue</t>
    <phoneticPr fontId="3" type="noConversion"/>
  </si>
  <si>
    <t>最低基本保險費(投資型)</t>
    <phoneticPr fontId="3" type="noConversion"/>
  </si>
  <si>
    <t>最高基本保險費(投資型)</t>
    <phoneticPr fontId="3" type="noConversion"/>
  </si>
  <si>
    <t>基本保險費單位(投資型)</t>
    <phoneticPr fontId="3" type="noConversion"/>
  </si>
  <si>
    <t>顯示基本保險費單位(投資型)</t>
    <phoneticPr fontId="3" type="noConversion"/>
  </si>
  <si>
    <t>精算年金生命表百分比值</t>
    <phoneticPr fontId="3" type="noConversion"/>
  </si>
  <si>
    <t>保費費用百分比值</t>
    <phoneticPr fontId="3" type="noConversion"/>
  </si>
  <si>
    <t>加值給付金百分比值</t>
    <phoneticPr fontId="3" type="noConversion"/>
  </si>
  <si>
    <t>EndAge</t>
    <phoneticPr fontId="3" type="noConversion"/>
  </si>
  <si>
    <t>BasicPremMultiple</t>
    <phoneticPr fontId="3" type="noConversion"/>
  </si>
  <si>
    <t>Col1</t>
    <phoneticPr fontId="3" type="noConversion"/>
  </si>
  <si>
    <t>AdjPercentValue</t>
    <phoneticPr fontId="3" type="noConversion"/>
  </si>
  <si>
    <t>decimal(9,6)</t>
    <phoneticPr fontId="3" type="noConversion"/>
  </si>
  <si>
    <t>投資型年金給付週期(型別)，共用代碼PPL.000.047</t>
    <phoneticPr fontId="3" type="noConversion"/>
  </si>
  <si>
    <t>ActFactorVer</t>
  </si>
  <si>
    <t>Alvin</t>
    <phoneticPr fontId="3" type="noConversion"/>
  </si>
  <si>
    <t>M</t>
    <phoneticPr fontId="3" type="noConversion"/>
  </si>
  <si>
    <t>F</t>
    <phoneticPr fontId="3" type="noConversion"/>
  </si>
  <si>
    <t>B</t>
    <phoneticPr fontId="3" type="noConversion"/>
  </si>
  <si>
    <t>資料庫名稱</t>
    <phoneticPr fontId="3" type="noConversion"/>
  </si>
  <si>
    <t>保單維護費用門檻(元)</t>
    <phoneticPr fontId="3" type="noConversion"/>
  </si>
  <si>
    <t>保單維護費用值(元)</t>
    <phoneticPr fontId="3" type="noConversion"/>
  </si>
  <si>
    <t>LifeInsActFactorCOI_Data</t>
    <phoneticPr fontId="3" type="noConversion"/>
  </si>
  <si>
    <t>LifeInsActFactorAnnuity_Data</t>
    <phoneticPr fontId="3" type="noConversion"/>
  </si>
  <si>
    <t>PPL.000.046</t>
    <phoneticPr fontId="3" type="noConversion"/>
  </si>
  <si>
    <t>建議書類型</t>
    <phoneticPr fontId="3" type="noConversion"/>
  </si>
  <si>
    <t>ProposalType</t>
    <phoneticPr fontId="3" type="noConversion"/>
  </si>
  <si>
    <t>投資型基本保險費</t>
  </si>
  <si>
    <t>投資型年金給付週期(型別)</t>
  </si>
  <si>
    <t>int</t>
    <phoneticPr fontId="3" type="noConversion"/>
  </si>
  <si>
    <t>PPL.000.047</t>
    <phoneticPr fontId="3" type="noConversion"/>
  </si>
  <si>
    <t>InvBasicAmtPercentValue</t>
    <phoneticPr fontId="3" type="noConversion"/>
  </si>
  <si>
    <t>InvAnnuityAccYear</t>
    <phoneticPr fontId="3" type="noConversion"/>
  </si>
  <si>
    <t>InvAnnuityPayFreq</t>
    <phoneticPr fontId="3" type="noConversion"/>
  </si>
  <si>
    <t>InvAnnuityPayYear</t>
    <phoneticPr fontId="3" type="noConversion"/>
  </si>
  <si>
    <t>使用者建議書批註條款檔</t>
    <phoneticPr fontId="3" type="noConversion"/>
  </si>
  <si>
    <t>UserProposalEndorsement</t>
    <phoneticPr fontId="3" type="noConversion"/>
  </si>
  <si>
    <t>EndorsementSerNo</t>
  </si>
  <si>
    <t>批註條款序號</t>
  </si>
  <si>
    <t>顯示險種名稱</t>
  </si>
  <si>
    <t>DispInvBasicPremUnit</t>
    <phoneticPr fontId="3" type="noConversion"/>
  </si>
  <si>
    <t>DispInvBasicPremText</t>
    <phoneticPr fontId="3" type="noConversion"/>
  </si>
  <si>
    <t>顯示基本保險費文字(投資型)</t>
    <phoneticPr fontId="3" type="noConversion"/>
  </si>
  <si>
    <t>W1</t>
    <phoneticPr fontId="3" type="noConversion"/>
  </si>
  <si>
    <t>W2</t>
    <phoneticPr fontId="3" type="noConversion"/>
  </si>
  <si>
    <t>W2</t>
    <phoneticPr fontId="3" type="noConversion"/>
  </si>
  <si>
    <t>MIPlanCode</t>
    <phoneticPr fontId="3" type="noConversion"/>
  </si>
  <si>
    <t>行投險種代碼</t>
    <phoneticPr fontId="3" type="noConversion"/>
  </si>
  <si>
    <t>MIPlanCode</t>
    <phoneticPr fontId="3" type="noConversion"/>
  </si>
  <si>
    <t>壽險精算係數檔(年金表)</t>
    <phoneticPr fontId="3" type="noConversion"/>
  </si>
  <si>
    <t>AccDiscFact1CalcType</t>
    <phoneticPr fontId="3" type="noConversion"/>
  </si>
  <si>
    <t>AccDiscFact1試算類型</t>
    <phoneticPr fontId="3" type="noConversion"/>
  </si>
  <si>
    <t>AccDiscFact2CalcType</t>
    <phoneticPr fontId="3" type="noConversion"/>
  </si>
  <si>
    <t>AccDiscFact2試算類型</t>
    <phoneticPr fontId="3" type="noConversion"/>
  </si>
  <si>
    <t>壽險精算係數檔(祝壽金)</t>
    <phoneticPr fontId="3" type="noConversion"/>
  </si>
  <si>
    <t>LifeInsActFactorMB</t>
    <phoneticPr fontId="3" type="noConversion"/>
  </si>
  <si>
    <t>LifeInsActFactorMB</t>
    <phoneticPr fontId="3" type="noConversion"/>
  </si>
  <si>
    <t>AccBasicPremCalcType</t>
    <phoneticPr fontId="3" type="noConversion"/>
  </si>
  <si>
    <t>InvBasicPremCalcType</t>
    <phoneticPr fontId="3" type="noConversion"/>
  </si>
  <si>
    <t>InvBasicPrem試算類型</t>
    <phoneticPr fontId="3" type="noConversion"/>
  </si>
  <si>
    <t>BaseMIB1CalcType</t>
    <phoneticPr fontId="3" type="noConversion"/>
  </si>
  <si>
    <t>BaseMIB2CalcType</t>
    <phoneticPr fontId="3" type="noConversion"/>
  </si>
  <si>
    <t>基本資料：重大傷病保險金1試算類型</t>
    <phoneticPr fontId="3" type="noConversion"/>
  </si>
  <si>
    <t>基本資料：重大傷病保險金2試算類型</t>
    <phoneticPr fontId="3" type="noConversion"/>
  </si>
  <si>
    <t>系統共用代碼對應檔</t>
    <phoneticPr fontId="3" type="noConversion"/>
  </si>
  <si>
    <t>SysTargetCodeMap</t>
    <phoneticPr fontId="3" type="noConversion"/>
  </si>
  <si>
    <t>CompanyCode</t>
  </si>
  <si>
    <t>GroupId</t>
  </si>
  <si>
    <t>TypeId</t>
  </si>
  <si>
    <t>SourceValue</t>
  </si>
  <si>
    <t>TargetValue</t>
  </si>
  <si>
    <t>Description</t>
  </si>
  <si>
    <t>char(3)</t>
    <phoneticPr fontId="3" type="noConversion"/>
  </si>
  <si>
    <t>保險公司代碼</t>
    <phoneticPr fontId="3" type="noConversion"/>
  </si>
  <si>
    <t>群組Id</t>
    <phoneticPr fontId="3" type="noConversion"/>
  </si>
  <si>
    <t>類型Id</t>
    <phoneticPr fontId="3" type="noConversion"/>
  </si>
  <si>
    <t>來源值</t>
    <phoneticPr fontId="3" type="noConversion"/>
  </si>
  <si>
    <t>目標值</t>
    <phoneticPr fontId="3" type="noConversion"/>
  </si>
  <si>
    <t>描述</t>
    <phoneticPr fontId="3" type="noConversion"/>
  </si>
  <si>
    <t>資料類型配合COM.TBIAS_PARM_TRGT_CODE</t>
    <phoneticPr fontId="3" type="noConversion"/>
  </si>
  <si>
    <t>介接外部系統(目前中信行投使用)</t>
    <phoneticPr fontId="3" type="noConversion"/>
  </si>
  <si>
    <t>新增</t>
    <phoneticPr fontId="3" type="noConversion"/>
  </si>
  <si>
    <t>dbo.LifeIns.IsMultiKind之延伸設定。</t>
    <phoneticPr fontId="3" type="noConversion"/>
  </si>
  <si>
    <t>投資型使用。</t>
    <phoneticPr fontId="3" type="noConversion"/>
  </si>
  <si>
    <t>ESOAF平台資料表，建議書系統後台使用。</t>
    <phoneticPr fontId="3" type="noConversion"/>
  </si>
  <si>
    <t>ESOAF平台資料表。</t>
    <phoneticPr fontId="3" type="noConversion"/>
  </si>
  <si>
    <t>(1) C=一般費率(新契約)、CN=一般費率(續保)***
(2) C1=第一階段一般費率、 C2=第二階段一般費率***
(3) A開頭=高保額費率，搭配dbo.LifeInsHAmtDiscount.ActPremType設定***
(4) P開頭=高保費費率，搭配dbo.LifeInsHPremDiscount.ActPremType設定***
(5) U開頭=單位計劃型，搭配dbo.LifeInsAmtPlan.AmtPlan設定***
(6) L=豁免平準費率、I=豁免遞增費率</t>
    <phoneticPr fontId="3" type="noConversion"/>
  </si>
  <si>
    <t>KEY值可自定義***
對應dbo.LifeInsActFactorGP.ActPremType</t>
    <phoneticPr fontId="3" type="noConversion"/>
  </si>
  <si>
    <t>*=依該商品投保對象***
其他代碼=取指定投保對象之參數進行累計</t>
    <phoneticPr fontId="3" type="noConversion"/>
  </si>
  <si>
    <t>*=依該商品投保對象***
其他代碼=取指定投保對象之參數進行檢核</t>
    <phoneticPr fontId="3" type="noConversion"/>
  </si>
  <si>
    <t>IsCalculate</t>
    <phoneticPr fontId="3" type="noConversion"/>
  </si>
  <si>
    <t>Y</t>
    <phoneticPr fontId="3" type="noConversion"/>
  </si>
  <si>
    <t>N</t>
    <phoneticPr fontId="3" type="noConversion"/>
  </si>
  <si>
    <t>BgnAge</t>
    <phoneticPr fontId="3" type="noConversion"/>
  </si>
  <si>
    <t>EndAge</t>
    <phoneticPr fontId="3" type="noConversion"/>
  </si>
  <si>
    <t>NULL</t>
    <phoneticPr fontId="3" type="noConversion"/>
  </si>
  <si>
    <t>B</t>
    <phoneticPr fontId="3" type="noConversion"/>
  </si>
  <si>
    <t>Y</t>
    <phoneticPr fontId="3" type="noConversion"/>
  </si>
  <si>
    <t>N</t>
    <phoneticPr fontId="3" type="noConversion"/>
  </si>
  <si>
    <t>是否計算</t>
    <phoneticPr fontId="3" type="noConversion"/>
  </si>
  <si>
    <t>例如：15-40歲的最高保額比例，是透過計算得知；40歲以上的最高保額比例，則是直接取設定值。</t>
    <phoneticPr fontId="3" type="noConversion"/>
  </si>
  <si>
    <t>PayGoType</t>
    <phoneticPr fontId="3" type="noConversion"/>
  </si>
  <si>
    <t>實支實付類型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</si>
</sst>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76" formatCode="_-* #,##0_-;\-* #,##0_-;_-* &quot;-&quot;??_-;_-@_-"/>
  </numFmts>
  <fonts count="14">
    <font>
      <sz val="12"/>
      <color rgb="FF000000"/>
      <name val="Arial"/>
    </font>
    <font>
      <b/>
      <sz val="10"/>
      <color rgb="FF000000"/>
      <name val="微軟正黑體"/>
      <family val="2"/>
      <charset val="136"/>
    </font>
    <font>
      <sz val="10"/>
      <color rgb="FF000000"/>
      <name val="微軟正黑體"/>
      <family val="2"/>
      <charset val="136"/>
    </font>
    <font>
      <sz val="9"/>
      <name val="細明體"/>
      <family val="3"/>
      <charset val="136"/>
    </font>
    <font>
      <sz val="10"/>
      <color rgb="FFFF0000"/>
      <name val="微軟正黑體"/>
      <family val="2"/>
      <charset val="136"/>
    </font>
    <font>
      <sz val="10"/>
      <name val="微軟正黑體"/>
      <family val="2"/>
      <charset val="136"/>
    </font>
    <font>
      <u/>
      <sz val="12"/>
      <color theme="10"/>
      <name val="Arial"/>
      <family val="2"/>
    </font>
    <font>
      <u/>
      <sz val="10"/>
      <color theme="10"/>
      <name val="微軟正黑體"/>
      <family val="2"/>
      <charset val="136"/>
    </font>
    <font>
      <b/>
      <sz val="10"/>
      <name val="微軟正黑體"/>
      <family val="2"/>
      <charset val="136"/>
    </font>
    <font>
      <sz val="10"/>
      <color theme="1"/>
      <name val="微軟正黑體"/>
      <family val="2"/>
      <charset val="136"/>
    </font>
    <font>
      <u/>
      <sz val="10"/>
      <color rgb="FFFF0000"/>
      <name val="微軟正黑體"/>
      <family val="2"/>
      <charset val="136"/>
    </font>
    <font>
      <sz val="10"/>
      <color theme="6"/>
      <name val="微軟正黑體"/>
      <family val="2"/>
      <charset val="136"/>
    </font>
    <font>
      <sz val="12"/>
      <color rgb="FF000000"/>
      <name val="Arial"/>
      <family val="2"/>
    </font>
    <font>
      <sz val="12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43" fontId="12" fillId="0" borderId="0" applyFont="0" applyFill="0" applyBorder="0" applyAlignment="0" applyProtection="0">
      <alignment vertical="center"/>
    </xf>
  </cellStyleXfs>
  <cellXfs count="140">
    <xf numFmtId="0" fontId="0" fillId="0" borderId="0" xfId="0" applyFont="1" applyAlignment="1"/>
    <xf numFmtId="0" fontId="2" fillId="0" borderId="0" xfId="0" applyFont="1" applyAlignment="1">
      <alignment horizontal="left"/>
    </xf>
    <xf numFmtId="0" fontId="2" fillId="0" borderId="0" xfId="0" applyFont="1" applyAlignment="1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left"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1" fillId="0" borderId="0" xfId="0" applyFont="1" applyAlignment="1">
      <alignment vertical="top"/>
    </xf>
    <xf numFmtId="0" fontId="2" fillId="0" borderId="1" xfId="0" applyFont="1" applyFill="1" applyBorder="1" applyAlignment="1">
      <alignment vertical="top"/>
    </xf>
    <xf numFmtId="0" fontId="2" fillId="0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/>
    </xf>
    <xf numFmtId="0" fontId="7" fillId="0" borderId="0" xfId="1" applyFont="1" applyAlignment="1">
      <alignment vertical="top"/>
    </xf>
    <xf numFmtId="0" fontId="2" fillId="0" borderId="0" xfId="0" applyFont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left" vertical="top"/>
    </xf>
    <xf numFmtId="0" fontId="5" fillId="0" borderId="1" xfId="0" applyFont="1" applyFill="1" applyBorder="1" applyAlignment="1">
      <alignment vertical="top"/>
    </xf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top"/>
    </xf>
    <xf numFmtId="0" fontId="5" fillId="0" borderId="0" xfId="0" applyFont="1" applyAlignment="1">
      <alignment horizontal="center" vertical="top"/>
    </xf>
    <xf numFmtId="0" fontId="1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center" vertical="top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2" fillId="0" borderId="1" xfId="0" applyFont="1" applyBorder="1" applyAlignment="1">
      <alignment vertical="center"/>
    </xf>
    <xf numFmtId="0" fontId="2" fillId="0" borderId="0" xfId="0" quotePrefix="1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7" fillId="0" borderId="0" xfId="1" applyFont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9" fillId="0" borderId="0" xfId="0" applyFont="1" applyAlignment="1">
      <alignment horizontal="left" vertical="center"/>
    </xf>
    <xf numFmtId="0" fontId="2" fillId="0" borderId="1" xfId="0" quotePrefix="1" applyFont="1" applyBorder="1" applyAlignment="1">
      <alignment horizontal="left" vertical="top"/>
    </xf>
    <xf numFmtId="0" fontId="2" fillId="0" borderId="1" xfId="0" quotePrefix="1" applyFont="1" applyBorder="1" applyAlignment="1">
      <alignment horizontal="left"/>
    </xf>
    <xf numFmtId="0" fontId="7" fillId="0" borderId="0" xfId="1" applyFont="1" applyAlignment="1">
      <alignment horizontal="left" vertical="center"/>
    </xf>
    <xf numFmtId="0" fontId="0" fillId="0" borderId="0" xfId="0" applyFont="1" applyAlignment="1">
      <alignment horizontal="left" vertical="top"/>
    </xf>
    <xf numFmtId="0" fontId="8" fillId="0" borderId="1" xfId="0" applyFont="1" applyFill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0" fontId="2" fillId="0" borderId="1" xfId="0" applyFont="1" applyBorder="1" applyAlignment="1">
      <alignment vertical="top" wrapText="1"/>
    </xf>
    <xf numFmtId="47" fontId="2" fillId="0" borderId="0" xfId="0" applyNumberFormat="1" applyFont="1" applyAlignment="1">
      <alignment horizontal="left" vertical="top"/>
    </xf>
    <xf numFmtId="47" fontId="2" fillId="0" borderId="0" xfId="0" applyNumberFormat="1" applyFont="1" applyAlignment="1">
      <alignment horizontal="left" vertical="top" wrapText="1"/>
    </xf>
    <xf numFmtId="47" fontId="2" fillId="0" borderId="1" xfId="0" applyNumberFormat="1" applyFont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 wrapText="1"/>
    </xf>
    <xf numFmtId="0" fontId="1" fillId="3" borderId="0" xfId="0" applyFont="1" applyFill="1" applyAlignment="1">
      <alignment horizontal="left"/>
    </xf>
    <xf numFmtId="47" fontId="2" fillId="0" borderId="0" xfId="0" applyNumberFormat="1" applyFont="1" applyAlignment="1">
      <alignment horizontal="left"/>
    </xf>
    <xf numFmtId="0" fontId="1" fillId="3" borderId="0" xfId="0" applyFont="1" applyFill="1" applyAlignment="1">
      <alignment horizontal="left" vertical="top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 wrapText="1"/>
    </xf>
    <xf numFmtId="0" fontId="8" fillId="3" borderId="0" xfId="0" applyFont="1" applyFill="1" applyAlignment="1">
      <alignment horizontal="left" vertical="center"/>
    </xf>
    <xf numFmtId="0" fontId="1" fillId="3" borderId="0" xfId="0" applyFont="1" applyFill="1" applyAlignment="1">
      <alignment vertical="center"/>
    </xf>
    <xf numFmtId="0" fontId="0" fillId="3" borderId="0" xfId="0" applyFont="1" applyFill="1" applyAlignment="1"/>
    <xf numFmtId="0" fontId="1" fillId="2" borderId="0" xfId="0" applyFont="1" applyFill="1" applyAlignment="1">
      <alignment vertical="top"/>
    </xf>
    <xf numFmtId="0" fontId="4" fillId="0" borderId="0" xfId="0" applyFont="1" applyAlignment="1">
      <alignment vertical="top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10" fillId="0" borderId="0" xfId="1" applyFont="1" applyAlignment="1">
      <alignment horizontal="left" vertical="top"/>
    </xf>
    <xf numFmtId="0" fontId="8" fillId="2" borderId="0" xfId="0" applyFont="1" applyFill="1" applyAlignment="1">
      <alignment horizontal="left"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vertical="top"/>
    </xf>
    <xf numFmtId="0" fontId="11" fillId="0" borderId="0" xfId="0" applyFont="1" applyAlignment="1"/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/>
    </xf>
    <xf numFmtId="176" fontId="2" fillId="0" borderId="0" xfId="2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0" fontId="1" fillId="3" borderId="0" xfId="0" applyFont="1" applyFill="1" applyAlignment="1">
      <alignment vertical="top"/>
    </xf>
    <xf numFmtId="0" fontId="0" fillId="3" borderId="0" xfId="0" applyFont="1" applyFill="1" applyAlignment="1">
      <alignment vertical="top"/>
    </xf>
    <xf numFmtId="0" fontId="0" fillId="0" borderId="0" xfId="0" applyFont="1" applyAlignment="1">
      <alignment vertical="top"/>
    </xf>
    <xf numFmtId="49" fontId="2" fillId="0" borderId="0" xfId="0" applyNumberFormat="1" applyFont="1" applyAlignment="1">
      <alignment horizontal="left" vertical="top"/>
    </xf>
    <xf numFmtId="0" fontId="0" fillId="0" borderId="0" xfId="0" applyFont="1" applyAlignment="1">
      <alignment vertical="center"/>
    </xf>
    <xf numFmtId="47" fontId="5" fillId="0" borderId="0" xfId="0" applyNumberFormat="1" applyFont="1" applyAlignment="1">
      <alignment horizontal="left" vertical="top"/>
    </xf>
    <xf numFmtId="0" fontId="2" fillId="0" borderId="0" xfId="0" quotePrefix="1" applyFont="1" applyAlignment="1">
      <alignment vertical="top"/>
    </xf>
    <xf numFmtId="0" fontId="5" fillId="0" borderId="0" xfId="0" applyFont="1" applyAlignment="1">
      <alignment vertical="center"/>
    </xf>
    <xf numFmtId="0" fontId="2" fillId="0" borderId="1" xfId="0" applyFont="1" applyBorder="1"/>
    <xf numFmtId="0" fontId="2" fillId="0" borderId="0" xfId="0" applyFont="1" applyFill="1" applyAlignment="1">
      <alignment vertical="top"/>
    </xf>
    <xf numFmtId="0" fontId="5" fillId="4" borderId="0" xfId="0" applyFont="1" applyFill="1" applyAlignment="1">
      <alignment horizontal="left" vertical="top"/>
    </xf>
    <xf numFmtId="0" fontId="7" fillId="4" borderId="0" xfId="1" applyFont="1" applyFill="1" applyAlignment="1">
      <alignment horizontal="left" vertical="top"/>
    </xf>
    <xf numFmtId="0" fontId="2" fillId="4" borderId="0" xfId="0" applyFont="1" applyFill="1" applyAlignment="1">
      <alignment horizontal="left" vertical="top"/>
    </xf>
    <xf numFmtId="0" fontId="8" fillId="2" borderId="1" xfId="0" applyFont="1" applyFill="1" applyBorder="1" applyAlignment="1">
      <alignment horizontal="left" vertical="top"/>
    </xf>
    <xf numFmtId="0" fontId="8" fillId="2" borderId="1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0" borderId="0" xfId="0" applyFont="1" applyAlignment="1">
      <alignment vertical="center"/>
    </xf>
    <xf numFmtId="0" fontId="0" fillId="3" borderId="0" xfId="0" applyFont="1" applyFill="1" applyAlignment="1">
      <alignment horizontal="left"/>
    </xf>
    <xf numFmtId="0" fontId="4" fillId="0" borderId="0" xfId="0" applyFont="1" applyAlignment="1">
      <alignment horizontal="left" vertical="center"/>
    </xf>
    <xf numFmtId="0" fontId="0" fillId="0" borderId="0" xfId="0" applyFont="1" applyAlignment="1">
      <alignment horizontal="left"/>
    </xf>
    <xf numFmtId="0" fontId="4" fillId="0" borderId="1" xfId="0" applyFont="1" applyFill="1" applyBorder="1" applyAlignment="1">
      <alignment horizontal="center" vertical="top"/>
    </xf>
    <xf numFmtId="0" fontId="13" fillId="0" borderId="0" xfId="0" applyFont="1" applyAlignment="1">
      <alignment horizontal="left" vertical="top"/>
    </xf>
    <xf numFmtId="0" fontId="4" fillId="0" borderId="0" xfId="0" applyFont="1" applyFill="1" applyAlignment="1">
      <alignment horizontal="left" vertical="top"/>
    </xf>
    <xf numFmtId="0" fontId="4" fillId="0" borderId="0" xfId="0" applyFont="1" applyFill="1" applyAlignment="1">
      <alignment horizontal="center" vertical="top"/>
    </xf>
    <xf numFmtId="0" fontId="4" fillId="0" borderId="0" xfId="0" applyFont="1" applyFill="1" applyAlignment="1">
      <alignment vertical="top"/>
    </xf>
    <xf numFmtId="0" fontId="13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left" vertical="top"/>
    </xf>
    <xf numFmtId="0" fontId="7" fillId="0" borderId="0" xfId="1" applyFont="1" applyFill="1" applyAlignment="1">
      <alignment horizontal="left" vertical="top"/>
    </xf>
    <xf numFmtId="0" fontId="5" fillId="0" borderId="0" xfId="0" applyFont="1" applyFill="1" applyAlignment="1">
      <alignment horizontal="left" vertical="top"/>
    </xf>
  </cellXfs>
  <cellStyles count="3">
    <cellStyle name="一般" xfId="0" builtinId="0"/>
    <cellStyle name="千分位" xfId="2" builtinId="3"/>
    <cellStyle name="超連結" xfId="1" builtinId="8"/>
  </cellStyles>
  <dxfs count="2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102" Type="http://schemas.openxmlformats.org/officeDocument/2006/relationships/worksheet" Target="worksheets/sheet102.xml"/><Relationship Id="rId110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theme" Target="theme/theme1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>
    <tabColor theme="4" tint="0.79998168889431442"/>
  </sheetPr>
  <dimension ref="A1:C16"/>
  <sheetViews>
    <sheetView workbookViewId="0">
      <pane ySplit="1" topLeftCell="A2" activePane="bottomLeft" state="frozen"/>
      <selection pane="bottomLeft" activeCell="B1" sqref="B1"/>
    </sheetView>
  </sheetViews>
  <sheetFormatPr defaultRowHeight="13.8"/>
  <cols>
    <col min="1" max="2" width="8.7265625" style="15"/>
    <col min="3" max="3" width="69" style="15" bestFit="1" customWidth="1"/>
    <col min="4" max="16384" width="8.7265625" style="15"/>
  </cols>
  <sheetData>
    <row r="1" spans="1:3" s="38" customFormat="1">
      <c r="A1" s="65" t="s">
        <v>286</v>
      </c>
      <c r="B1" s="65" t="s">
        <v>245</v>
      </c>
      <c r="C1" s="65" t="s">
        <v>247</v>
      </c>
    </row>
    <row r="2" spans="1:3">
      <c r="A2" s="15" t="s">
        <v>299</v>
      </c>
      <c r="B2" s="15">
        <v>1</v>
      </c>
      <c r="C2" s="15" t="s">
        <v>298</v>
      </c>
    </row>
    <row r="5" spans="1:3">
      <c r="A5" s="15" t="s">
        <v>287</v>
      </c>
      <c r="B5" s="15">
        <v>1</v>
      </c>
      <c r="C5" s="15" t="s">
        <v>296</v>
      </c>
    </row>
    <row r="6" spans="1:3">
      <c r="B6" s="15">
        <v>2</v>
      </c>
      <c r="C6" s="15" t="s">
        <v>288</v>
      </c>
    </row>
    <row r="7" spans="1:3">
      <c r="B7" s="15">
        <v>3</v>
      </c>
      <c r="C7" s="15" t="s">
        <v>289</v>
      </c>
    </row>
    <row r="8" spans="1:3">
      <c r="B8" s="15">
        <v>4</v>
      </c>
      <c r="C8" s="15" t="s">
        <v>290</v>
      </c>
    </row>
    <row r="9" spans="1:3">
      <c r="B9" s="15">
        <v>5</v>
      </c>
      <c r="C9" s="15" t="s">
        <v>297</v>
      </c>
    </row>
    <row r="12" spans="1:3">
      <c r="A12" s="15" t="s">
        <v>291</v>
      </c>
      <c r="B12" s="15">
        <v>1</v>
      </c>
      <c r="C12" s="15" t="s">
        <v>292</v>
      </c>
    </row>
    <row r="13" spans="1:3">
      <c r="B13" s="15">
        <v>2</v>
      </c>
      <c r="C13" s="15" t="s">
        <v>288</v>
      </c>
    </row>
    <row r="14" spans="1:3">
      <c r="B14" s="15">
        <v>3</v>
      </c>
      <c r="C14" s="15" t="s">
        <v>293</v>
      </c>
    </row>
    <row r="15" spans="1:3">
      <c r="B15" s="15">
        <v>4</v>
      </c>
      <c r="C15" s="15" t="s">
        <v>294</v>
      </c>
    </row>
    <row r="16" spans="1:3">
      <c r="B16" s="15">
        <v>5</v>
      </c>
      <c r="C16" s="15" t="s">
        <v>295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>
    <tabColor theme="4" tint="0.79998168889431442"/>
  </sheetPr>
  <dimension ref="A1:K70"/>
  <sheetViews>
    <sheetView zoomScaleNormal="100" workbookViewId="0">
      <pane ySplit="1" topLeftCell="A2" activePane="bottomLeft" state="frozen"/>
      <selection activeCell="B1" sqref="B1"/>
      <selection pane="bottomLeft" activeCell="C2" sqref="C2"/>
    </sheetView>
  </sheetViews>
  <sheetFormatPr defaultRowHeight="13.8"/>
  <cols>
    <col min="1" max="1" width="10.1796875" style="15" bestFit="1" customWidth="1"/>
    <col min="2" max="2" width="7.453125" style="15" bestFit="1" customWidth="1"/>
    <col min="3" max="3" width="23.7265625" style="15" bestFit="1" customWidth="1"/>
    <col min="4" max="4" width="28.1796875" style="15" bestFit="1" customWidth="1"/>
    <col min="5" max="5" width="29.90625" style="15" bestFit="1" customWidth="1"/>
    <col min="6" max="6" width="5.90625" style="36" bestFit="1" customWidth="1"/>
    <col min="7" max="7" width="40.26953125" style="15" customWidth="1"/>
    <col min="8" max="8" width="27.6328125" style="15" bestFit="1" customWidth="1"/>
    <col min="9" max="16384" width="8.7265625" style="15"/>
  </cols>
  <sheetData>
    <row r="1" spans="1:11" s="38" customFormat="1">
      <c r="A1" s="65" t="s">
        <v>4921</v>
      </c>
      <c r="B1" s="65" t="s">
        <v>3775</v>
      </c>
      <c r="C1" s="65" t="s">
        <v>18</v>
      </c>
      <c r="D1" s="65" t="s">
        <v>3061</v>
      </c>
      <c r="E1" s="65" t="s">
        <v>106</v>
      </c>
      <c r="F1" s="97" t="s">
        <v>2981</v>
      </c>
      <c r="G1" s="65" t="s">
        <v>248</v>
      </c>
      <c r="H1" s="38" t="s">
        <v>4192</v>
      </c>
      <c r="I1" s="38" t="s">
        <v>4193</v>
      </c>
      <c r="J1" s="38" t="s">
        <v>4194</v>
      </c>
      <c r="K1" s="38" t="s">
        <v>4195</v>
      </c>
    </row>
    <row r="2" spans="1:11">
      <c r="A2" s="15" t="s">
        <v>3919</v>
      </c>
      <c r="B2" s="36" t="s">
        <v>3922</v>
      </c>
      <c r="C2" s="96" t="s">
        <v>3647</v>
      </c>
      <c r="D2" s="96" t="s">
        <v>3648</v>
      </c>
      <c r="E2" s="37" t="s">
        <v>107</v>
      </c>
      <c r="H2" s="15" t="str">
        <f>B2&amp;"."&amp;C2</f>
        <v>dbo.LifeIns</v>
      </c>
      <c r="I2" s="15" t="str">
        <f>"BCP "&amp;A2&amp;"."&amp;B2&amp;"."&amp;C2&amp;" out D:\BCP\"&amp;B2&amp;"."&amp;C2&amp;".bcp -n -S F25B-YTL-SIT -U sa -P p@ssw0rd"</f>
        <v>BCP ESOAF.dbo.LifeIns out D:\BCP\dbo.LifeIns.bcp -n -S F25B-YTL-SIT -U sa -P p@ssw0rd</v>
      </c>
      <c r="J2" s="15" t="str">
        <f>"SQLCMD -Q "&amp;""""&amp;"TRUNCATE TABLE "&amp;A2&amp;"."&amp;B2&amp;"."&amp;C2&amp;""&amp;""""&amp;" -S 18002691ALVIN -U sa -P p@ssw0rd"</f>
        <v>SQLCMD -Q "TRUNCATE TABLE ESOAF.dbo.LifeIns" -S 18002691ALVIN -U sa -P p@ssw0rd</v>
      </c>
      <c r="K2" s="15" t="str">
        <f>"BCP "&amp;A2&amp;"."&amp;B2&amp;"."&amp;C2&amp;" in D:\BCP\"&amp;B2&amp;"."&amp;C2&amp;".bcp -n -S 18002691ALVIN -U sa -P p@ssw0rd"</f>
        <v>BCP ESOAF.dbo.LifeIns in D:\BCP\dbo.LifeIns.bcp -n -S 18002691ALVIN -U sa -P p@ssw0rd</v>
      </c>
    </row>
    <row r="3" spans="1:11">
      <c r="A3" s="15" t="s">
        <v>3919</v>
      </c>
      <c r="B3" s="15" t="s">
        <v>240</v>
      </c>
      <c r="C3" s="63" t="s">
        <v>3653</v>
      </c>
      <c r="D3" s="63"/>
      <c r="E3" s="15" t="s">
        <v>108</v>
      </c>
      <c r="G3" s="15" t="s">
        <v>4984</v>
      </c>
      <c r="H3" s="15" t="str">
        <f t="shared" ref="H3:H65" si="0">B3&amp;"."&amp;C3</f>
        <v>dbo.LifeInsMultiKind</v>
      </c>
      <c r="I3" s="15" t="str">
        <f t="shared" ref="I3:I66" si="1">"BCP "&amp;A3&amp;"."&amp;B3&amp;"."&amp;C3&amp;" out D:\BCP\"&amp;B3&amp;"."&amp;C3&amp;".bcp -n -S F25B-YTL-SIT -U sa -P p@ssw0rd"</f>
        <v>BCP ESOAF.dbo.LifeInsMultiKind out D:\BCP\dbo.LifeInsMultiKind.bcp -n -S F25B-YTL-SIT -U sa -P p@ssw0rd</v>
      </c>
      <c r="J3" s="15" t="str">
        <f t="shared" ref="J3:J66" si="2">"SQLCMD -Q "&amp;""""&amp;"TRUNCATE TABLE "&amp;A3&amp;"."&amp;B3&amp;"."&amp;C3&amp;""&amp;""""&amp;" -S 18002691ALVIN -U sa -P p@ssw0rd"</f>
        <v>SQLCMD -Q "TRUNCATE TABLE ESOAF.dbo.LifeInsMultiKind" -S 18002691ALVIN -U sa -P p@ssw0rd</v>
      </c>
      <c r="K3" s="15" t="str">
        <f t="shared" ref="K3:K66" si="3">"BCP "&amp;A3&amp;"."&amp;B3&amp;"."&amp;C3&amp;" in D:\BCP\"&amp;B3&amp;"."&amp;C3&amp;".bcp -n -S 18002691ALVIN -U sa -P p@ssw0rd"</f>
        <v>BCP ESOAF.dbo.LifeInsMultiKind in D:\BCP\dbo.LifeInsMultiKind.bcp -n -S 18002691ALVIN -U sa -P p@ssw0rd</v>
      </c>
    </row>
    <row r="4" spans="1:11">
      <c r="A4" s="15" t="s">
        <v>3919</v>
      </c>
      <c r="B4" s="15" t="s">
        <v>240</v>
      </c>
      <c r="C4" s="63" t="s">
        <v>3665</v>
      </c>
      <c r="D4" s="63"/>
      <c r="E4" s="15" t="s">
        <v>109</v>
      </c>
      <c r="G4" s="15" t="s">
        <v>3879</v>
      </c>
      <c r="H4" s="15" t="str">
        <f t="shared" si="0"/>
        <v>dbo.LifeInsMultiCuy</v>
      </c>
      <c r="I4" s="15" t="str">
        <f t="shared" si="1"/>
        <v>BCP ESOAF.dbo.LifeInsMultiCuy out D:\BCP\dbo.LifeInsMultiCuy.bcp -n -S F25B-YTL-SIT -U sa -P p@ssw0rd</v>
      </c>
      <c r="J4" s="15" t="str">
        <f t="shared" si="2"/>
        <v>SQLCMD -Q "TRUNCATE TABLE ESOAF.dbo.LifeInsMultiCuy" -S 18002691ALVIN -U sa -P p@ssw0rd</v>
      </c>
      <c r="K4" s="15" t="str">
        <f t="shared" si="3"/>
        <v>BCP ESOAF.dbo.LifeInsMultiCuy in D:\BCP\dbo.LifeInsMultiCuy.bcp -n -S 18002691ALVIN -U sa -P p@ssw0rd</v>
      </c>
    </row>
    <row r="5" spans="1:11">
      <c r="A5" s="15" t="s">
        <v>3919</v>
      </c>
      <c r="B5" s="15" t="s">
        <v>240</v>
      </c>
      <c r="C5" s="63" t="s">
        <v>3666</v>
      </c>
      <c r="D5" s="63" t="s">
        <v>3667</v>
      </c>
      <c r="E5" s="15" t="s">
        <v>2988</v>
      </c>
      <c r="H5" s="15" t="str">
        <f t="shared" si="0"/>
        <v>dbo.LifeInsExchangeRate</v>
      </c>
      <c r="I5" s="15" t="str">
        <f t="shared" si="1"/>
        <v>BCP ESOAF.dbo.LifeInsExchangeRate out D:\BCP\dbo.LifeInsExchangeRate.bcp -n -S F25B-YTL-SIT -U sa -P p@ssw0rd</v>
      </c>
      <c r="J5" s="15" t="str">
        <f t="shared" si="2"/>
        <v>SQLCMD -Q "TRUNCATE TABLE ESOAF.dbo.LifeInsExchangeRate" -S 18002691ALVIN -U sa -P p@ssw0rd</v>
      </c>
      <c r="K5" s="15" t="str">
        <f t="shared" si="3"/>
        <v>BCP ESOAF.dbo.LifeInsExchangeRate in D:\BCP\dbo.LifeInsExchangeRate.bcp -n -S 18002691ALVIN -U sa -P p@ssw0rd</v>
      </c>
    </row>
    <row r="6" spans="1:11">
      <c r="A6" s="15" t="s">
        <v>3919</v>
      </c>
      <c r="B6" s="15" t="s">
        <v>240</v>
      </c>
      <c r="C6" s="63" t="s">
        <v>3668</v>
      </c>
      <c r="D6" s="63" t="s">
        <v>3669</v>
      </c>
      <c r="E6" s="15" t="s">
        <v>110</v>
      </c>
      <c r="G6" s="15" t="s">
        <v>3880</v>
      </c>
      <c r="H6" s="15" t="str">
        <f t="shared" si="0"/>
        <v>dbo.LifeInsAmtPlan</v>
      </c>
      <c r="I6" s="15" t="str">
        <f t="shared" si="1"/>
        <v>BCP ESOAF.dbo.LifeInsAmtPlan out D:\BCP\dbo.LifeInsAmtPlan.bcp -n -S F25B-YTL-SIT -U sa -P p@ssw0rd</v>
      </c>
      <c r="J6" s="15" t="str">
        <f t="shared" si="2"/>
        <v>SQLCMD -Q "TRUNCATE TABLE ESOAF.dbo.LifeInsAmtPlan" -S 18002691ALVIN -U sa -P p@ssw0rd</v>
      </c>
      <c r="K6" s="15" t="str">
        <f t="shared" si="3"/>
        <v>BCP ESOAF.dbo.LifeInsAmtPlan in D:\BCP\dbo.LifeInsAmtPlan.bcp -n -S 18002691ALVIN -U sa -P p@ssw0rd</v>
      </c>
    </row>
    <row r="7" spans="1:11">
      <c r="A7" s="15" t="s">
        <v>3919</v>
      </c>
      <c r="B7" s="15" t="s">
        <v>240</v>
      </c>
      <c r="C7" s="63" t="s">
        <v>3670</v>
      </c>
      <c r="D7" s="63" t="s">
        <v>3671</v>
      </c>
      <c r="E7" s="15" t="s">
        <v>462</v>
      </c>
      <c r="H7" s="15" t="str">
        <f t="shared" si="0"/>
        <v>dbo.LifeInsYear</v>
      </c>
      <c r="I7" s="15" t="str">
        <f t="shared" si="1"/>
        <v>BCP ESOAF.dbo.LifeInsYear out D:\BCP\dbo.LifeInsYear.bcp -n -S F25B-YTL-SIT -U sa -P p@ssw0rd</v>
      </c>
      <c r="J7" s="15" t="str">
        <f t="shared" si="2"/>
        <v>SQLCMD -Q "TRUNCATE TABLE ESOAF.dbo.LifeInsYear" -S 18002691ALVIN -U sa -P p@ssw0rd</v>
      </c>
      <c r="K7" s="15" t="str">
        <f t="shared" si="3"/>
        <v>BCP ESOAF.dbo.LifeInsYear in D:\BCP\dbo.LifeInsYear.bcp -n -S 18002691ALVIN -U sa -P p@ssw0rd</v>
      </c>
    </row>
    <row r="8" spans="1:11">
      <c r="A8" s="15" t="s">
        <v>3919</v>
      </c>
      <c r="B8" s="15" t="s">
        <v>240</v>
      </c>
      <c r="C8" s="63" t="s">
        <v>3672</v>
      </c>
      <c r="D8" s="63" t="s">
        <v>3673</v>
      </c>
      <c r="E8" s="15" t="s">
        <v>726</v>
      </c>
      <c r="H8" s="15" t="str">
        <f t="shared" si="0"/>
        <v>dbo.LifeInsAmtLimitAge</v>
      </c>
      <c r="I8" s="15" t="str">
        <f t="shared" si="1"/>
        <v>BCP ESOAF.dbo.LifeInsAmtLimitAge out D:\BCP\dbo.LifeInsAmtLimitAge.bcp -n -S F25B-YTL-SIT -U sa -P p@ssw0rd</v>
      </c>
      <c r="J8" s="15" t="str">
        <f t="shared" si="2"/>
        <v>SQLCMD -Q "TRUNCATE TABLE ESOAF.dbo.LifeInsAmtLimitAge" -S 18002691ALVIN -U sa -P p@ssw0rd</v>
      </c>
      <c r="K8" s="15" t="str">
        <f t="shared" si="3"/>
        <v>BCP ESOAF.dbo.LifeInsAmtLimitAge in D:\BCP\dbo.LifeInsAmtLimitAge.bcp -n -S 18002691ALVIN -U sa -P p@ssw0rd</v>
      </c>
    </row>
    <row r="9" spans="1:11">
      <c r="A9" s="15" t="s">
        <v>3919</v>
      </c>
      <c r="B9" s="15" t="s">
        <v>240</v>
      </c>
      <c r="C9" s="63" t="s">
        <v>3674</v>
      </c>
      <c r="D9" s="63" t="s">
        <v>3675</v>
      </c>
      <c r="E9" s="15" t="s">
        <v>4714</v>
      </c>
      <c r="H9" s="15" t="str">
        <f t="shared" si="0"/>
        <v>dbo.LifeInsAmtLimitJobGrade</v>
      </c>
      <c r="I9" s="15" t="str">
        <f t="shared" si="1"/>
        <v>BCP ESOAF.dbo.LifeInsAmtLimitJobGrade out D:\BCP\dbo.LifeInsAmtLimitJobGrade.bcp -n -S F25B-YTL-SIT -U sa -P p@ssw0rd</v>
      </c>
      <c r="J9" s="15" t="str">
        <f t="shared" si="2"/>
        <v>SQLCMD -Q "TRUNCATE TABLE ESOAF.dbo.LifeInsAmtLimitJobGrade" -S 18002691ALVIN -U sa -P p@ssw0rd</v>
      </c>
      <c r="K9" s="15" t="str">
        <f t="shared" si="3"/>
        <v>BCP ESOAF.dbo.LifeInsAmtLimitJobGrade in D:\BCP\dbo.LifeInsAmtLimitJobGrade.bcp -n -S 18002691ALVIN -U sa -P p@ssw0rd</v>
      </c>
    </row>
    <row r="10" spans="1:11" s="139" customFormat="1">
      <c r="A10" s="139" t="s">
        <v>3919</v>
      </c>
      <c r="B10" s="139" t="s">
        <v>240</v>
      </c>
      <c r="C10" s="138" t="s">
        <v>4711</v>
      </c>
      <c r="D10" s="138" t="s">
        <v>4713</v>
      </c>
      <c r="E10" s="137" t="s">
        <v>4717</v>
      </c>
      <c r="G10" s="139" t="s">
        <v>4985</v>
      </c>
      <c r="H10" s="15" t="str">
        <f t="shared" si="0"/>
        <v>dbo.LifeInsAmtLimitInvBgn</v>
      </c>
      <c r="I10" s="15" t="str">
        <f t="shared" si="1"/>
        <v>BCP ESOAF.dbo.LifeInsAmtLimitInvBgn out D:\BCP\dbo.LifeInsAmtLimitInvBgn.bcp -n -S F25B-YTL-SIT -U sa -P p@ssw0rd</v>
      </c>
      <c r="J10" s="15" t="str">
        <f t="shared" si="2"/>
        <v>SQLCMD -Q "TRUNCATE TABLE ESOAF.dbo.LifeInsAmtLimitInvBgn" -S 18002691ALVIN -U sa -P p@ssw0rd</v>
      </c>
      <c r="K10" s="15" t="str">
        <f t="shared" si="3"/>
        <v>BCP ESOAF.dbo.LifeInsAmtLimitInvBgn in D:\BCP\dbo.LifeInsAmtLimitInvBgn.bcp -n -S 18002691ALVIN -U sa -P p@ssw0rd</v>
      </c>
    </row>
    <row r="11" spans="1:11" s="139" customFormat="1">
      <c r="A11" s="139" t="s">
        <v>3919</v>
      </c>
      <c r="B11" s="139" t="s">
        <v>240</v>
      </c>
      <c r="C11" s="138" t="s">
        <v>4715</v>
      </c>
      <c r="D11" s="138" t="s">
        <v>4716</v>
      </c>
      <c r="E11" s="137" t="s">
        <v>4718</v>
      </c>
      <c r="G11" s="139" t="s">
        <v>4985</v>
      </c>
      <c r="H11" s="15" t="str">
        <f t="shared" si="0"/>
        <v>dbo.LifeInsAmtLimitInvEnd</v>
      </c>
      <c r="I11" s="15" t="str">
        <f t="shared" si="1"/>
        <v>BCP ESOAF.dbo.LifeInsAmtLimitInvEnd out D:\BCP\dbo.LifeInsAmtLimitInvEnd.bcp -n -S F25B-YTL-SIT -U sa -P p@ssw0rd</v>
      </c>
      <c r="J11" s="15" t="str">
        <f t="shared" si="2"/>
        <v>SQLCMD -Q "TRUNCATE TABLE ESOAF.dbo.LifeInsAmtLimitInvEnd" -S 18002691ALVIN -U sa -P p@ssw0rd</v>
      </c>
      <c r="K11" s="15" t="str">
        <f t="shared" si="3"/>
        <v>BCP ESOAF.dbo.LifeInsAmtLimitInvEnd in D:\BCP\dbo.LifeInsAmtLimitInvEnd.bcp -n -S 18002691ALVIN -U sa -P p@ssw0rd</v>
      </c>
    </row>
    <row r="12" spans="1:11" s="139" customFormat="1">
      <c r="A12" s="139" t="s">
        <v>3919</v>
      </c>
      <c r="B12" s="139" t="s">
        <v>240</v>
      </c>
      <c r="C12" s="138" t="s">
        <v>4766</v>
      </c>
      <c r="D12" s="138" t="s">
        <v>4768</v>
      </c>
      <c r="E12" s="137" t="s">
        <v>4767</v>
      </c>
      <c r="G12" s="139" t="s">
        <v>4985</v>
      </c>
      <c r="H12" s="15" t="str">
        <f t="shared" si="0"/>
        <v>dbo.LifeInsAnnuityAccYearLimit</v>
      </c>
      <c r="I12" s="15" t="str">
        <f t="shared" si="1"/>
        <v>BCP ESOAF.dbo.LifeInsAnnuityAccYearLimit out D:\BCP\dbo.LifeInsAnnuityAccYearLimit.bcp -n -S F25B-YTL-SIT -U sa -P p@ssw0rd</v>
      </c>
      <c r="J12" s="15" t="str">
        <f t="shared" si="2"/>
        <v>SQLCMD -Q "TRUNCATE TABLE ESOAF.dbo.LifeInsAnnuityAccYearLimit" -S 18002691ALVIN -U sa -P p@ssw0rd</v>
      </c>
      <c r="K12" s="15" t="str">
        <f t="shared" si="3"/>
        <v>BCP ESOAF.dbo.LifeInsAnnuityAccYearLimit in D:\BCP\dbo.LifeInsAnnuityAccYearLimit.bcp -n -S 18002691ALVIN -U sa -P p@ssw0rd</v>
      </c>
    </row>
    <row r="13" spans="1:11">
      <c r="A13" s="15" t="s">
        <v>3919</v>
      </c>
      <c r="B13" s="15" t="s">
        <v>240</v>
      </c>
      <c r="C13" s="63" t="s">
        <v>3676</v>
      </c>
      <c r="D13" s="63" t="s">
        <v>3677</v>
      </c>
      <c r="E13" s="15" t="s">
        <v>729</v>
      </c>
      <c r="H13" s="15" t="str">
        <f t="shared" si="0"/>
        <v>dbo.LifeInsDiscountPayWay</v>
      </c>
      <c r="I13" s="15" t="str">
        <f t="shared" si="1"/>
        <v>BCP ESOAF.dbo.LifeInsDiscountPayWay out D:\BCP\dbo.LifeInsDiscountPayWay.bcp -n -S F25B-YTL-SIT -U sa -P p@ssw0rd</v>
      </c>
      <c r="J13" s="15" t="str">
        <f t="shared" si="2"/>
        <v>SQLCMD -Q "TRUNCATE TABLE ESOAF.dbo.LifeInsDiscountPayWay" -S 18002691ALVIN -U sa -P p@ssw0rd</v>
      </c>
      <c r="K13" s="15" t="str">
        <f t="shared" si="3"/>
        <v>BCP ESOAF.dbo.LifeInsDiscountPayWay in D:\BCP\dbo.LifeInsDiscountPayWay.bcp -n -S 18002691ALVIN -U sa -P p@ssw0rd</v>
      </c>
    </row>
    <row r="14" spans="1:11">
      <c r="A14" s="15" t="s">
        <v>3919</v>
      </c>
      <c r="B14" s="15" t="s">
        <v>240</v>
      </c>
      <c r="C14" s="63" t="s">
        <v>3678</v>
      </c>
      <c r="D14" s="63" t="s">
        <v>3679</v>
      </c>
      <c r="E14" s="15" t="s">
        <v>727</v>
      </c>
      <c r="H14" s="15" t="str">
        <f t="shared" si="0"/>
        <v>dbo.LifeInsDiscountHighAmt</v>
      </c>
      <c r="I14" s="15" t="str">
        <f t="shared" si="1"/>
        <v>BCP ESOAF.dbo.LifeInsDiscountHighAmt out D:\BCP\dbo.LifeInsDiscountHighAmt.bcp -n -S F25B-YTL-SIT -U sa -P p@ssw0rd</v>
      </c>
      <c r="J14" s="15" t="str">
        <f t="shared" si="2"/>
        <v>SQLCMD -Q "TRUNCATE TABLE ESOAF.dbo.LifeInsDiscountHighAmt" -S 18002691ALVIN -U sa -P p@ssw0rd</v>
      </c>
      <c r="K14" s="15" t="str">
        <f t="shared" si="3"/>
        <v>BCP ESOAF.dbo.LifeInsDiscountHighAmt in D:\BCP\dbo.LifeInsDiscountHighAmt.bcp -n -S 18002691ALVIN -U sa -P p@ssw0rd</v>
      </c>
    </row>
    <row r="15" spans="1:11">
      <c r="A15" s="15" t="s">
        <v>3919</v>
      </c>
      <c r="B15" s="15" t="s">
        <v>240</v>
      </c>
      <c r="C15" s="63" t="s">
        <v>3680</v>
      </c>
      <c r="D15" s="63" t="s">
        <v>3681</v>
      </c>
      <c r="E15" s="15" t="s">
        <v>728</v>
      </c>
      <c r="H15" s="15" t="str">
        <f t="shared" si="0"/>
        <v>dbo.LifeInsDiscountHighPrem</v>
      </c>
      <c r="I15" s="15" t="str">
        <f t="shared" si="1"/>
        <v>BCP ESOAF.dbo.LifeInsDiscountHighPrem out D:\BCP\dbo.LifeInsDiscountHighPrem.bcp -n -S F25B-YTL-SIT -U sa -P p@ssw0rd</v>
      </c>
      <c r="J15" s="15" t="str">
        <f t="shared" si="2"/>
        <v>SQLCMD -Q "TRUNCATE TABLE ESOAF.dbo.LifeInsDiscountHighPrem" -S 18002691ALVIN -U sa -P p@ssw0rd</v>
      </c>
      <c r="K15" s="15" t="str">
        <f t="shared" si="3"/>
        <v>BCP ESOAF.dbo.LifeInsDiscountHighPrem in D:\BCP\dbo.LifeInsDiscountHighPrem.bcp -n -S 18002691ALVIN -U sa -P p@ssw0rd</v>
      </c>
    </row>
    <row r="16" spans="1:11">
      <c r="A16" s="15" t="s">
        <v>3919</v>
      </c>
      <c r="B16" s="15" t="s">
        <v>240</v>
      </c>
      <c r="C16" s="63" t="s">
        <v>3682</v>
      </c>
      <c r="D16" s="63" t="s">
        <v>3683</v>
      </c>
      <c r="E16" s="15" t="s">
        <v>487</v>
      </c>
      <c r="F16" s="34"/>
      <c r="G16" s="15" t="s">
        <v>4615</v>
      </c>
      <c r="H16" s="15" t="str">
        <f t="shared" si="0"/>
        <v>dbo.LifeInsAddRuleMaster</v>
      </c>
      <c r="I16" s="15" t="str">
        <f t="shared" si="1"/>
        <v>BCP ESOAF.dbo.LifeInsAddRuleMaster out D:\BCP\dbo.LifeInsAddRuleMaster.bcp -n -S F25B-YTL-SIT -U sa -P p@ssw0rd</v>
      </c>
      <c r="J16" s="15" t="str">
        <f t="shared" si="2"/>
        <v>SQLCMD -Q "TRUNCATE TABLE ESOAF.dbo.LifeInsAddRuleMaster" -S 18002691ALVIN -U sa -P p@ssw0rd</v>
      </c>
      <c r="K16" s="15" t="str">
        <f t="shared" si="3"/>
        <v>BCP ESOAF.dbo.LifeInsAddRuleMaster in D:\BCP\dbo.LifeInsAddRuleMaster.bcp -n -S 18002691ALVIN -U sa -P p@ssw0rd</v>
      </c>
    </row>
    <row r="17" spans="1:11">
      <c r="A17" s="15" t="s">
        <v>3919</v>
      </c>
      <c r="B17" s="15" t="s">
        <v>240</v>
      </c>
      <c r="C17" s="63" t="s">
        <v>3684</v>
      </c>
      <c r="D17" s="63" t="s">
        <v>3685</v>
      </c>
      <c r="E17" s="15" t="s">
        <v>488</v>
      </c>
      <c r="H17" s="15" t="str">
        <f t="shared" si="0"/>
        <v>dbo.LifeInsAddRuleRider</v>
      </c>
      <c r="I17" s="15" t="str">
        <f t="shared" si="1"/>
        <v>BCP ESOAF.dbo.LifeInsAddRuleRider out D:\BCP\dbo.LifeInsAddRuleRider.bcp -n -S F25B-YTL-SIT -U sa -P p@ssw0rd</v>
      </c>
      <c r="J17" s="15" t="str">
        <f t="shared" si="2"/>
        <v>SQLCMD -Q "TRUNCATE TABLE ESOAF.dbo.LifeInsAddRuleRider" -S 18002691ALVIN -U sa -P p@ssw0rd</v>
      </c>
      <c r="K17" s="15" t="str">
        <f t="shared" si="3"/>
        <v>BCP ESOAF.dbo.LifeInsAddRuleRider in D:\BCP\dbo.LifeInsAddRuleRider.bcp -n -S 18002691ALVIN -U sa -P p@ssw0rd</v>
      </c>
    </row>
    <row r="18" spans="1:11">
      <c r="A18" s="15" t="s">
        <v>3919</v>
      </c>
      <c r="B18" s="15" t="s">
        <v>240</v>
      </c>
      <c r="C18" s="63" t="s">
        <v>3686</v>
      </c>
      <c r="D18" s="63" t="s">
        <v>3687</v>
      </c>
      <c r="E18" s="15" t="s">
        <v>191</v>
      </c>
      <c r="H18" s="15" t="str">
        <f t="shared" si="0"/>
        <v>dbo.LifeInsPlanInputField</v>
      </c>
      <c r="I18" s="15" t="str">
        <f t="shared" si="1"/>
        <v>BCP ESOAF.dbo.LifeInsPlanInputField out D:\BCP\dbo.LifeInsPlanInputField.bcp -n -S F25B-YTL-SIT -U sa -P p@ssw0rd</v>
      </c>
      <c r="J18" s="15" t="str">
        <f t="shared" si="2"/>
        <v>SQLCMD -Q "TRUNCATE TABLE ESOAF.dbo.LifeInsPlanInputField" -S 18002691ALVIN -U sa -P p@ssw0rd</v>
      </c>
      <c r="K18" s="15" t="str">
        <f t="shared" si="3"/>
        <v>BCP ESOAF.dbo.LifeInsPlanInputField in D:\BCP\dbo.LifeInsPlanInputField.bcp -n -S 18002691ALVIN -U sa -P p@ssw0rd</v>
      </c>
    </row>
    <row r="19" spans="1:11">
      <c r="A19" s="15" t="s">
        <v>3919</v>
      </c>
      <c r="B19" s="15" t="s">
        <v>240</v>
      </c>
      <c r="C19" s="63" t="s">
        <v>3688</v>
      </c>
      <c r="D19" s="63" t="s">
        <v>3689</v>
      </c>
      <c r="E19" s="2" t="s">
        <v>3659</v>
      </c>
      <c r="H19" s="15" t="str">
        <f t="shared" si="0"/>
        <v>dbo.LifeInsPlanInputFieldMap</v>
      </c>
      <c r="I19" s="15" t="str">
        <f t="shared" si="1"/>
        <v>BCP ESOAF.dbo.LifeInsPlanInputFieldMap out D:\BCP\dbo.LifeInsPlanInputFieldMap.bcp -n -S F25B-YTL-SIT -U sa -P p@ssw0rd</v>
      </c>
      <c r="J19" s="15" t="str">
        <f t="shared" si="2"/>
        <v>SQLCMD -Q "TRUNCATE TABLE ESOAF.dbo.LifeInsPlanInputFieldMap" -S 18002691ALVIN -U sa -P p@ssw0rd</v>
      </c>
      <c r="K19" s="15" t="str">
        <f t="shared" si="3"/>
        <v>BCP ESOAF.dbo.LifeInsPlanInputFieldMap in D:\BCP\dbo.LifeInsPlanInputFieldMap.bcp -n -S 18002691ALVIN -U sa -P p@ssw0rd</v>
      </c>
    </row>
    <row r="20" spans="1:11">
      <c r="A20" s="15" t="s">
        <v>3919</v>
      </c>
      <c r="B20" s="15" t="s">
        <v>240</v>
      </c>
      <c r="C20" s="63" t="s">
        <v>3690</v>
      </c>
      <c r="D20" s="63" t="s">
        <v>3691</v>
      </c>
      <c r="E20" s="15" t="s">
        <v>150</v>
      </c>
      <c r="H20" s="15" t="str">
        <f t="shared" si="0"/>
        <v>dbo.LifeInsJobCode</v>
      </c>
      <c r="I20" s="15" t="str">
        <f t="shared" si="1"/>
        <v>BCP ESOAF.dbo.LifeInsJobCode out D:\BCP\dbo.LifeInsJobCode.bcp -n -S F25B-YTL-SIT -U sa -P p@ssw0rd</v>
      </c>
      <c r="J20" s="15" t="str">
        <f t="shared" si="2"/>
        <v>SQLCMD -Q "TRUNCATE TABLE ESOAF.dbo.LifeInsJobCode" -S 18002691ALVIN -U sa -P p@ssw0rd</v>
      </c>
      <c r="K20" s="15" t="str">
        <f t="shared" si="3"/>
        <v>BCP ESOAF.dbo.LifeInsJobCode in D:\BCP\dbo.LifeInsJobCode.bcp -n -S 18002691ALVIN -U sa -P p@ssw0rd</v>
      </c>
    </row>
    <row r="21" spans="1:11">
      <c r="A21" s="15" t="s">
        <v>3919</v>
      </c>
      <c r="B21" s="15" t="s">
        <v>240</v>
      </c>
      <c r="C21" s="63" t="s">
        <v>4161</v>
      </c>
      <c r="D21" s="63"/>
      <c r="E21" s="15" t="s">
        <v>4156</v>
      </c>
      <c r="H21" s="15" t="str">
        <f t="shared" si="0"/>
        <v>dbo.LifeInsUWRuleDescription</v>
      </c>
      <c r="I21" s="15" t="str">
        <f t="shared" si="1"/>
        <v>BCP ESOAF.dbo.LifeInsUWRuleDescription out D:\BCP\dbo.LifeInsUWRuleDescription.bcp -n -S F25B-YTL-SIT -U sa -P p@ssw0rd</v>
      </c>
      <c r="J21" s="15" t="str">
        <f t="shared" si="2"/>
        <v>SQLCMD -Q "TRUNCATE TABLE ESOAF.dbo.LifeInsUWRuleDescription" -S 18002691ALVIN -U sa -P p@ssw0rd</v>
      </c>
      <c r="K21" s="15" t="str">
        <f t="shared" si="3"/>
        <v>BCP ESOAF.dbo.LifeInsUWRuleDescription in D:\BCP\dbo.LifeInsUWRuleDescription.bcp -n -S 18002691ALVIN -U sa -P p@ssw0rd</v>
      </c>
    </row>
    <row r="22" spans="1:11">
      <c r="A22" s="15" t="s">
        <v>3919</v>
      </c>
      <c r="B22" s="15" t="s">
        <v>240</v>
      </c>
      <c r="C22" s="63" t="s">
        <v>3692</v>
      </c>
      <c r="D22" s="63"/>
      <c r="E22" s="15" t="s">
        <v>136</v>
      </c>
      <c r="H22" s="15" t="str">
        <f t="shared" si="0"/>
        <v>dbo.LifeInsUWRule</v>
      </c>
      <c r="I22" s="15" t="str">
        <f t="shared" si="1"/>
        <v>BCP ESOAF.dbo.LifeInsUWRule out D:\BCP\dbo.LifeInsUWRule.bcp -n -S F25B-YTL-SIT -U sa -P p@ssw0rd</v>
      </c>
      <c r="J22" s="15" t="str">
        <f t="shared" si="2"/>
        <v>SQLCMD -Q "TRUNCATE TABLE ESOAF.dbo.LifeInsUWRule" -S 18002691ALVIN -U sa -P p@ssw0rd</v>
      </c>
      <c r="K22" s="15" t="str">
        <f t="shared" si="3"/>
        <v>BCP ESOAF.dbo.LifeInsUWRule in D:\BCP\dbo.LifeInsUWRule.bcp -n -S 18002691ALVIN -U sa -P p@ssw0rd</v>
      </c>
    </row>
    <row r="23" spans="1:11">
      <c r="A23" s="15" t="s">
        <v>3919</v>
      </c>
      <c r="B23" s="15" t="s">
        <v>240</v>
      </c>
      <c r="C23" s="63" t="s">
        <v>3693</v>
      </c>
      <c r="D23" s="63"/>
      <c r="E23" s="15" t="s">
        <v>3660</v>
      </c>
      <c r="H23" s="15" t="str">
        <f t="shared" si="0"/>
        <v>dbo.LifeInsUWParam</v>
      </c>
      <c r="I23" s="15" t="str">
        <f t="shared" si="1"/>
        <v>BCP ESOAF.dbo.LifeInsUWParam out D:\BCP\dbo.LifeInsUWParam.bcp -n -S F25B-YTL-SIT -U sa -P p@ssw0rd</v>
      </c>
      <c r="J23" s="15" t="str">
        <f t="shared" si="2"/>
        <v>SQLCMD -Q "TRUNCATE TABLE ESOAF.dbo.LifeInsUWParam" -S 18002691ALVIN -U sa -P p@ssw0rd</v>
      </c>
      <c r="K23" s="15" t="str">
        <f t="shared" si="3"/>
        <v>BCP ESOAF.dbo.LifeInsUWParam in D:\BCP\dbo.LifeInsUWParam.bcp -n -S 18002691ALVIN -U sa -P p@ssw0rd</v>
      </c>
    </row>
    <row r="24" spans="1:11">
      <c r="A24" s="15" t="s">
        <v>3919</v>
      </c>
      <c r="B24" s="15" t="s">
        <v>240</v>
      </c>
      <c r="C24" s="63" t="s">
        <v>4049</v>
      </c>
      <c r="D24" s="63"/>
      <c r="E24" s="15" t="s">
        <v>4048</v>
      </c>
      <c r="F24" s="36" t="s">
        <v>537</v>
      </c>
      <c r="G24" s="15" t="s">
        <v>734</v>
      </c>
      <c r="H24" s="15" t="str">
        <f t="shared" si="0"/>
        <v>dbo.LifeInsUWPhysical</v>
      </c>
      <c r="I24" s="15" t="str">
        <f t="shared" si="1"/>
        <v>BCP ESOAF.dbo.LifeInsUWPhysical out D:\BCP\dbo.LifeInsUWPhysical.bcp -n -S F25B-YTL-SIT -U sa -P p@ssw0rd</v>
      </c>
      <c r="J24" s="15" t="str">
        <f t="shared" si="2"/>
        <v>SQLCMD -Q "TRUNCATE TABLE ESOAF.dbo.LifeInsUWPhysical" -S 18002691ALVIN -U sa -P p@ssw0rd</v>
      </c>
      <c r="K24" s="15" t="str">
        <f t="shared" si="3"/>
        <v>BCP ESOAF.dbo.LifeInsUWPhysical in D:\BCP\dbo.LifeInsUWPhysical.bcp -n -S 18002691ALVIN -U sa -P p@ssw0rd</v>
      </c>
    </row>
    <row r="25" spans="1:11">
      <c r="A25" s="15" t="s">
        <v>3919</v>
      </c>
      <c r="B25" s="15" t="s">
        <v>240</v>
      </c>
      <c r="C25" s="63" t="s">
        <v>3694</v>
      </c>
      <c r="D25" s="63"/>
      <c r="E25" s="15" t="s">
        <v>3636</v>
      </c>
      <c r="F25" s="37"/>
      <c r="G25" s="37"/>
      <c r="H25" s="15" t="str">
        <f t="shared" si="0"/>
        <v>dbo.LifeInsActFactorGP</v>
      </c>
      <c r="I25" s="15" t="str">
        <f t="shared" si="1"/>
        <v>BCP ESOAF.dbo.LifeInsActFactorGP out D:\BCP\dbo.LifeInsActFactorGP.bcp -n -S F25B-YTL-SIT -U sa -P p@ssw0rd</v>
      </c>
      <c r="J25" s="15" t="str">
        <f t="shared" si="2"/>
        <v>SQLCMD -Q "TRUNCATE TABLE ESOAF.dbo.LifeInsActFactorGP" -S 18002691ALVIN -U sa -P p@ssw0rd</v>
      </c>
      <c r="K25" s="15" t="str">
        <f t="shared" si="3"/>
        <v>BCP ESOAF.dbo.LifeInsActFactorGP in D:\BCP\dbo.LifeInsActFactorGP.bcp -n -S 18002691ALVIN -U sa -P p@ssw0rd</v>
      </c>
    </row>
    <row r="26" spans="1:11">
      <c r="A26" s="15" t="s">
        <v>3919</v>
      </c>
      <c r="B26" s="15" t="s">
        <v>240</v>
      </c>
      <c r="C26" s="63" t="s">
        <v>3695</v>
      </c>
      <c r="D26" s="63"/>
      <c r="E26" s="15" t="s">
        <v>3635</v>
      </c>
      <c r="F26" s="37"/>
      <c r="G26" s="36"/>
      <c r="H26" s="15" t="str">
        <f t="shared" si="0"/>
        <v>dbo.LifeInsActFactorPV</v>
      </c>
      <c r="I26" s="15" t="str">
        <f t="shared" si="1"/>
        <v>BCP ESOAF.dbo.LifeInsActFactorPV out D:\BCP\dbo.LifeInsActFactorPV.bcp -n -S F25B-YTL-SIT -U sa -P p@ssw0rd</v>
      </c>
      <c r="J26" s="15" t="str">
        <f t="shared" si="2"/>
        <v>SQLCMD -Q "TRUNCATE TABLE ESOAF.dbo.LifeInsActFactorPV" -S 18002691ALVIN -U sa -P p@ssw0rd</v>
      </c>
      <c r="K26" s="15" t="str">
        <f t="shared" si="3"/>
        <v>BCP ESOAF.dbo.LifeInsActFactorPV in D:\BCP\dbo.LifeInsActFactorPV.bcp -n -S 18002691ALVIN -U sa -P p@ssw0rd</v>
      </c>
    </row>
    <row r="27" spans="1:11">
      <c r="A27" s="15" t="s">
        <v>3919</v>
      </c>
      <c r="B27" s="15" t="s">
        <v>240</v>
      </c>
      <c r="C27" s="63" t="s">
        <v>3696</v>
      </c>
      <c r="D27" s="63"/>
      <c r="E27" s="15" t="s">
        <v>3638</v>
      </c>
      <c r="F27" s="37"/>
      <c r="G27" s="36"/>
      <c r="H27" s="15" t="str">
        <f t="shared" si="0"/>
        <v>dbo.LifeInsActFactorCSV</v>
      </c>
      <c r="I27" s="15" t="str">
        <f t="shared" si="1"/>
        <v>BCP ESOAF.dbo.LifeInsActFactorCSV out D:\BCP\dbo.LifeInsActFactorCSV.bcp -n -S F25B-YTL-SIT -U sa -P p@ssw0rd</v>
      </c>
      <c r="J27" s="15" t="str">
        <f t="shared" si="2"/>
        <v>SQLCMD -Q "TRUNCATE TABLE ESOAF.dbo.LifeInsActFactorCSV" -S 18002691ALVIN -U sa -P p@ssw0rd</v>
      </c>
      <c r="K27" s="15" t="str">
        <f t="shared" si="3"/>
        <v>BCP ESOAF.dbo.LifeInsActFactorCSV in D:\BCP\dbo.LifeInsActFactorCSV.bcp -n -S 18002691ALVIN -U sa -P p@ssw0rd</v>
      </c>
    </row>
    <row r="28" spans="1:11">
      <c r="A28" s="15" t="s">
        <v>3919</v>
      </c>
      <c r="B28" s="15" t="s">
        <v>240</v>
      </c>
      <c r="C28" s="63" t="s">
        <v>3697</v>
      </c>
      <c r="D28" s="63"/>
      <c r="E28" s="15" t="s">
        <v>3639</v>
      </c>
      <c r="F28" s="37"/>
      <c r="G28" s="36"/>
      <c r="H28" s="15" t="str">
        <f t="shared" si="0"/>
        <v>dbo.LifeInsActFactorRPU</v>
      </c>
      <c r="I28" s="15" t="str">
        <f t="shared" si="1"/>
        <v>BCP ESOAF.dbo.LifeInsActFactorRPU out D:\BCP\dbo.LifeInsActFactorRPU.bcp -n -S F25B-YTL-SIT -U sa -P p@ssw0rd</v>
      </c>
      <c r="J28" s="15" t="str">
        <f t="shared" si="2"/>
        <v>SQLCMD -Q "TRUNCATE TABLE ESOAF.dbo.LifeInsActFactorRPU" -S 18002691ALVIN -U sa -P p@ssw0rd</v>
      </c>
      <c r="K28" s="15" t="str">
        <f t="shared" si="3"/>
        <v>BCP ESOAF.dbo.LifeInsActFactorRPU in D:\BCP\dbo.LifeInsActFactorRPU.bcp -n -S 18002691ALVIN -U sa -P p@ssw0rd</v>
      </c>
    </row>
    <row r="29" spans="1:11">
      <c r="A29" s="15" t="s">
        <v>3919</v>
      </c>
      <c r="B29" s="15" t="s">
        <v>240</v>
      </c>
      <c r="C29" s="63" t="s">
        <v>3698</v>
      </c>
      <c r="D29" s="63"/>
      <c r="E29" s="15" t="s">
        <v>3640</v>
      </c>
      <c r="F29" s="37"/>
      <c r="G29" s="36"/>
      <c r="H29" s="15" t="str">
        <f t="shared" si="0"/>
        <v>dbo.LifeInsActFactorETI</v>
      </c>
      <c r="I29" s="15" t="str">
        <f t="shared" si="1"/>
        <v>BCP ESOAF.dbo.LifeInsActFactorETI out D:\BCP\dbo.LifeInsActFactorETI.bcp -n -S F25B-YTL-SIT -U sa -P p@ssw0rd</v>
      </c>
      <c r="J29" s="15" t="str">
        <f t="shared" si="2"/>
        <v>SQLCMD -Q "TRUNCATE TABLE ESOAF.dbo.LifeInsActFactorETI" -S 18002691ALVIN -U sa -P p@ssw0rd</v>
      </c>
      <c r="K29" s="15" t="str">
        <f t="shared" si="3"/>
        <v>BCP ESOAF.dbo.LifeInsActFactorETI in D:\BCP\dbo.LifeInsActFactorETI.bcp -n -S 18002691ALVIN -U sa -P p@ssw0rd</v>
      </c>
    </row>
    <row r="30" spans="1:11">
      <c r="A30" s="15" t="s">
        <v>3919</v>
      </c>
      <c r="B30" s="15" t="s">
        <v>240</v>
      </c>
      <c r="C30" s="63" t="s">
        <v>3699</v>
      </c>
      <c r="D30" s="63"/>
      <c r="E30" s="15" t="s">
        <v>3641</v>
      </c>
      <c r="F30" s="37"/>
      <c r="G30" s="36"/>
      <c r="H30" s="15" t="str">
        <f t="shared" si="0"/>
        <v>dbo.LifeInsActFactorETS</v>
      </c>
      <c r="I30" s="15" t="str">
        <f t="shared" si="1"/>
        <v>BCP ESOAF.dbo.LifeInsActFactorETS out D:\BCP\dbo.LifeInsActFactorETS.bcp -n -S F25B-YTL-SIT -U sa -P p@ssw0rd</v>
      </c>
      <c r="J30" s="15" t="str">
        <f t="shared" si="2"/>
        <v>SQLCMD -Q "TRUNCATE TABLE ESOAF.dbo.LifeInsActFactorETS" -S 18002691ALVIN -U sa -P p@ssw0rd</v>
      </c>
      <c r="K30" s="15" t="str">
        <f t="shared" si="3"/>
        <v>BCP ESOAF.dbo.LifeInsActFactorETS in D:\BCP\dbo.LifeInsActFactorETS.bcp -n -S 18002691ALVIN -U sa -P p@ssw0rd</v>
      </c>
    </row>
    <row r="31" spans="1:11">
      <c r="A31" s="15" t="s">
        <v>3919</v>
      </c>
      <c r="B31" s="15" t="s">
        <v>240</v>
      </c>
      <c r="C31" s="63" t="s">
        <v>3700</v>
      </c>
      <c r="D31" s="63"/>
      <c r="E31" s="15" t="s">
        <v>3642</v>
      </c>
      <c r="F31" s="37"/>
      <c r="G31" s="36"/>
      <c r="H31" s="15" t="str">
        <f t="shared" si="0"/>
        <v>dbo.LifeInsActFactorFA</v>
      </c>
      <c r="I31" s="15" t="str">
        <f t="shared" si="1"/>
        <v>BCP ESOAF.dbo.LifeInsActFactorFA out D:\BCP\dbo.LifeInsActFactorFA.bcp -n -S F25B-YTL-SIT -U sa -P p@ssw0rd</v>
      </c>
      <c r="J31" s="15" t="str">
        <f t="shared" si="2"/>
        <v>SQLCMD -Q "TRUNCATE TABLE ESOAF.dbo.LifeInsActFactorFA" -S 18002691ALVIN -U sa -P p@ssw0rd</v>
      </c>
      <c r="K31" s="15" t="str">
        <f t="shared" si="3"/>
        <v>BCP ESOAF.dbo.LifeInsActFactorFA in D:\BCP\dbo.LifeInsActFactorFA.bcp -n -S 18002691ALVIN -U sa -P p@ssw0rd</v>
      </c>
    </row>
    <row r="32" spans="1:11">
      <c r="A32" s="15" t="s">
        <v>3919</v>
      </c>
      <c r="B32" s="15" t="s">
        <v>240</v>
      </c>
      <c r="C32" s="63" t="s">
        <v>4638</v>
      </c>
      <c r="D32" s="63"/>
      <c r="E32" s="15" t="s">
        <v>4639</v>
      </c>
      <c r="F32" s="37"/>
      <c r="G32" s="36"/>
      <c r="H32" s="15" t="str">
        <f t="shared" si="0"/>
        <v>dbo.LifeInsActFactorNSPRPU</v>
      </c>
      <c r="I32" s="15" t="str">
        <f t="shared" si="1"/>
        <v>BCP ESOAF.dbo.LifeInsActFactorNSPRPU out D:\BCP\dbo.LifeInsActFactorNSPRPU.bcp -n -S F25B-YTL-SIT -U sa -P p@ssw0rd</v>
      </c>
      <c r="J32" s="15" t="str">
        <f t="shared" si="2"/>
        <v>SQLCMD -Q "TRUNCATE TABLE ESOAF.dbo.LifeInsActFactorNSPRPU" -S 18002691ALVIN -U sa -P p@ssw0rd</v>
      </c>
      <c r="K32" s="15" t="str">
        <f t="shared" si="3"/>
        <v>BCP ESOAF.dbo.LifeInsActFactorNSPRPU in D:\BCP\dbo.LifeInsActFactorNSPRPU.bcp -n -S 18002691ALVIN -U sa -P p@ssw0rd</v>
      </c>
    </row>
    <row r="33" spans="1:11" s="137" customFormat="1">
      <c r="A33" s="137" t="s">
        <v>3919</v>
      </c>
      <c r="B33" s="137" t="s">
        <v>240</v>
      </c>
      <c r="C33" s="138" t="s">
        <v>4958</v>
      </c>
      <c r="D33" s="138"/>
      <c r="E33" s="137" t="s">
        <v>4956</v>
      </c>
      <c r="F33" s="139"/>
      <c r="G33" s="139"/>
      <c r="H33" s="15" t="str">
        <f t="shared" si="0"/>
        <v>dbo.LifeInsActFactorMB</v>
      </c>
      <c r="I33" s="15" t="str">
        <f t="shared" si="1"/>
        <v>BCP ESOAF.dbo.LifeInsActFactorMB out D:\BCP\dbo.LifeInsActFactorMB.bcp -n -S F25B-YTL-SIT -U sa -P p@ssw0rd</v>
      </c>
      <c r="J33" s="15" t="str">
        <f t="shared" si="2"/>
        <v>SQLCMD -Q "TRUNCATE TABLE ESOAF.dbo.LifeInsActFactorMB" -S 18002691ALVIN -U sa -P p@ssw0rd</v>
      </c>
      <c r="K33" s="15" t="str">
        <f t="shared" si="3"/>
        <v>BCP ESOAF.dbo.LifeInsActFactorMB in D:\BCP\dbo.LifeInsActFactorMB.bcp -n -S 18002691ALVIN -U sa -P p@ssw0rd</v>
      </c>
    </row>
    <row r="34" spans="1:11" s="137" customFormat="1">
      <c r="A34" s="137" t="s">
        <v>3919</v>
      </c>
      <c r="B34" s="137" t="s">
        <v>240</v>
      </c>
      <c r="C34" s="138" t="s">
        <v>3701</v>
      </c>
      <c r="D34" s="138"/>
      <c r="E34" s="137" t="s">
        <v>3637</v>
      </c>
      <c r="F34" s="139"/>
      <c r="G34" s="139"/>
      <c r="H34" s="15" t="str">
        <f t="shared" si="0"/>
        <v>dbo.LifeInsActFactorCR</v>
      </c>
      <c r="I34" s="15" t="str">
        <f t="shared" si="1"/>
        <v>BCP ESOAF.dbo.LifeInsActFactorCR out D:\BCP\dbo.LifeInsActFactorCR.bcp -n -S F25B-YTL-SIT -U sa -P p@ssw0rd</v>
      </c>
      <c r="J34" s="15" t="str">
        <f t="shared" si="2"/>
        <v>SQLCMD -Q "TRUNCATE TABLE ESOAF.dbo.LifeInsActFactorCR" -S 18002691ALVIN -U sa -P p@ssw0rd</v>
      </c>
      <c r="K34" s="15" t="str">
        <f t="shared" si="3"/>
        <v>BCP ESOAF.dbo.LifeInsActFactorCR in D:\BCP\dbo.LifeInsActFactorCR.bcp -n -S 18002691ALVIN -U sa -P p@ssw0rd</v>
      </c>
    </row>
    <row r="35" spans="1:11" s="137" customFormat="1">
      <c r="A35" s="137" t="s">
        <v>3919</v>
      </c>
      <c r="B35" s="137" t="s">
        <v>240</v>
      </c>
      <c r="C35" s="138" t="s">
        <v>4781</v>
      </c>
      <c r="D35" s="138" t="s">
        <v>4924</v>
      </c>
      <c r="E35" s="137" t="s">
        <v>4780</v>
      </c>
      <c r="F35" s="139"/>
      <c r="G35" s="139" t="s">
        <v>4985</v>
      </c>
      <c r="H35" s="15" t="str">
        <f t="shared" si="0"/>
        <v>dbo.LifeInsActFactorCOI</v>
      </c>
      <c r="I35" s="15" t="str">
        <f t="shared" si="1"/>
        <v>BCP ESOAF.dbo.LifeInsActFactorCOI out D:\BCP\dbo.LifeInsActFactorCOI.bcp -n -S F25B-YTL-SIT -U sa -P p@ssw0rd</v>
      </c>
      <c r="J35" s="15" t="str">
        <f t="shared" si="2"/>
        <v>SQLCMD -Q "TRUNCATE TABLE ESOAF.dbo.LifeInsActFactorCOI" -S 18002691ALVIN -U sa -P p@ssw0rd</v>
      </c>
      <c r="K35" s="15" t="str">
        <f t="shared" si="3"/>
        <v>BCP ESOAF.dbo.LifeInsActFactorCOI in D:\BCP\dbo.LifeInsActFactorCOI.bcp -n -S 18002691ALVIN -U sa -P p@ssw0rd</v>
      </c>
    </row>
    <row r="36" spans="1:11" s="137" customFormat="1">
      <c r="A36" s="137" t="s">
        <v>3919</v>
      </c>
      <c r="B36" s="137" t="s">
        <v>240</v>
      </c>
      <c r="C36" s="138" t="s">
        <v>4783</v>
      </c>
      <c r="D36" s="138" t="s">
        <v>4925</v>
      </c>
      <c r="E36" s="137" t="s">
        <v>4951</v>
      </c>
      <c r="F36" s="139"/>
      <c r="G36" s="139" t="s">
        <v>4985</v>
      </c>
      <c r="H36" s="15" t="str">
        <f t="shared" si="0"/>
        <v>dbo.LifeInsActFactorAnnuity</v>
      </c>
      <c r="I36" s="15" t="str">
        <f t="shared" si="1"/>
        <v>BCP ESOAF.dbo.LifeInsActFactorAnnuity out D:\BCP\dbo.LifeInsActFactorAnnuity.bcp -n -S F25B-YTL-SIT -U sa -P p@ssw0rd</v>
      </c>
      <c r="J36" s="15" t="str">
        <f t="shared" si="2"/>
        <v>SQLCMD -Q "TRUNCATE TABLE ESOAF.dbo.LifeInsActFactorAnnuity" -S 18002691ALVIN -U sa -P p@ssw0rd</v>
      </c>
      <c r="K36" s="15" t="str">
        <f t="shared" si="3"/>
        <v>BCP ESOAF.dbo.LifeInsActFactorAnnuity in D:\BCP\dbo.LifeInsActFactorAnnuity.bcp -n -S 18002691ALVIN -U sa -P p@ssw0rd</v>
      </c>
    </row>
    <row r="37" spans="1:11" s="137" customFormat="1">
      <c r="A37" s="137" t="s">
        <v>3919</v>
      </c>
      <c r="B37" s="137" t="s">
        <v>240</v>
      </c>
      <c r="C37" s="138" t="s">
        <v>4784</v>
      </c>
      <c r="D37" s="138" t="s">
        <v>4802</v>
      </c>
      <c r="E37" s="137" t="s">
        <v>4801</v>
      </c>
      <c r="F37" s="139"/>
      <c r="G37" s="139" t="s">
        <v>4985</v>
      </c>
      <c r="H37" s="15" t="str">
        <f t="shared" si="0"/>
        <v>dbo.LifeInsPolicyFeeRate</v>
      </c>
      <c r="I37" s="15" t="str">
        <f t="shared" si="1"/>
        <v>BCP ESOAF.dbo.LifeInsPolicyFeeRate out D:\BCP\dbo.LifeInsPolicyFeeRate.bcp -n -S F25B-YTL-SIT -U sa -P p@ssw0rd</v>
      </c>
      <c r="J37" s="15" t="str">
        <f t="shared" si="2"/>
        <v>SQLCMD -Q "TRUNCATE TABLE ESOAF.dbo.LifeInsPolicyFeeRate" -S 18002691ALVIN -U sa -P p@ssw0rd</v>
      </c>
      <c r="K37" s="15" t="str">
        <f t="shared" si="3"/>
        <v>BCP ESOAF.dbo.LifeInsPolicyFeeRate in D:\BCP\dbo.LifeInsPolicyFeeRate.bcp -n -S 18002691ALVIN -U sa -P p@ssw0rd</v>
      </c>
    </row>
    <row r="38" spans="1:11" s="137" customFormat="1">
      <c r="A38" s="137" t="s">
        <v>3919</v>
      </c>
      <c r="B38" s="137" t="s">
        <v>240</v>
      </c>
      <c r="C38" s="138" t="s">
        <v>4874</v>
      </c>
      <c r="D38" s="138" t="s">
        <v>4875</v>
      </c>
      <c r="E38" s="137" t="s">
        <v>4872</v>
      </c>
      <c r="F38" s="139"/>
      <c r="G38" s="139" t="s">
        <v>4985</v>
      </c>
      <c r="H38" s="15" t="str">
        <f t="shared" si="0"/>
        <v>dbo.LifeInsEndorsementAmtAdj</v>
      </c>
      <c r="I38" s="15" t="str">
        <f t="shared" si="1"/>
        <v>BCP ESOAF.dbo.LifeInsEndorsementAmtAdj out D:\BCP\dbo.LifeInsEndorsementAmtAdj.bcp -n -S F25B-YTL-SIT -U sa -P p@ssw0rd</v>
      </c>
      <c r="J38" s="15" t="str">
        <f t="shared" si="2"/>
        <v>SQLCMD -Q "TRUNCATE TABLE ESOAF.dbo.LifeInsEndorsementAmtAdj" -S 18002691ALVIN -U sa -P p@ssw0rd</v>
      </c>
      <c r="K38" s="15" t="str">
        <f t="shared" si="3"/>
        <v>BCP ESOAF.dbo.LifeInsEndorsementAmtAdj in D:\BCP\dbo.LifeInsEndorsementAmtAdj.bcp -n -S 18002691ALVIN -U sa -P p@ssw0rd</v>
      </c>
    </row>
    <row r="39" spans="1:11" s="137" customFormat="1">
      <c r="A39" s="137" t="s">
        <v>3919</v>
      </c>
      <c r="B39" s="137" t="s">
        <v>240</v>
      </c>
      <c r="C39" s="138" t="s">
        <v>3771</v>
      </c>
      <c r="D39" s="138"/>
      <c r="E39" s="137" t="s">
        <v>3769</v>
      </c>
      <c r="F39" s="139"/>
      <c r="G39" s="139"/>
      <c r="H39" s="15" t="str">
        <f t="shared" si="0"/>
        <v>dbo.LifeInsCalcTypePrem</v>
      </c>
      <c r="I39" s="15" t="str">
        <f t="shared" si="1"/>
        <v>BCP ESOAF.dbo.LifeInsCalcTypePrem out D:\BCP\dbo.LifeInsCalcTypePrem.bcp -n -S F25B-YTL-SIT -U sa -P p@ssw0rd</v>
      </c>
      <c r="J39" s="15" t="str">
        <f t="shared" si="2"/>
        <v>SQLCMD -Q "TRUNCATE TABLE ESOAF.dbo.LifeInsCalcTypePrem" -S 18002691ALVIN -U sa -P p@ssw0rd</v>
      </c>
      <c r="K39" s="15" t="str">
        <f t="shared" si="3"/>
        <v>BCP ESOAF.dbo.LifeInsCalcTypePrem in D:\BCP\dbo.LifeInsCalcTypePrem.bcp -n -S 18002691ALVIN -U sa -P p@ssw0rd</v>
      </c>
    </row>
    <row r="40" spans="1:11" s="137" customFormat="1">
      <c r="A40" s="137" t="s">
        <v>3919</v>
      </c>
      <c r="B40" s="137" t="s">
        <v>240</v>
      </c>
      <c r="C40" s="138" t="s">
        <v>3772</v>
      </c>
      <c r="D40" s="138"/>
      <c r="E40" s="137" t="s">
        <v>3770</v>
      </c>
      <c r="F40" s="139"/>
      <c r="G40" s="139"/>
      <c r="H40" s="15" t="str">
        <f t="shared" si="0"/>
        <v>dbo.LifeInsCalcTypeBenefit</v>
      </c>
      <c r="I40" s="15" t="str">
        <f t="shared" si="1"/>
        <v>BCP ESOAF.dbo.LifeInsCalcTypeBenefit out D:\BCP\dbo.LifeInsCalcTypeBenefit.bcp -n -S F25B-YTL-SIT -U sa -P p@ssw0rd</v>
      </c>
      <c r="J40" s="15" t="str">
        <f t="shared" si="2"/>
        <v>SQLCMD -Q "TRUNCATE TABLE ESOAF.dbo.LifeInsCalcTypeBenefit" -S 18002691ALVIN -U sa -P p@ssw0rd</v>
      </c>
      <c r="K40" s="15" t="str">
        <f t="shared" si="3"/>
        <v>BCP ESOAF.dbo.LifeInsCalcTypeBenefit in D:\BCP\dbo.LifeInsCalcTypeBenefit.bcp -n -S 18002691ALVIN -U sa -P p@ssw0rd</v>
      </c>
    </row>
    <row r="41" spans="1:11" s="137" customFormat="1">
      <c r="A41" s="137" t="s">
        <v>3919</v>
      </c>
      <c r="B41" s="137" t="s">
        <v>240</v>
      </c>
      <c r="C41" s="138" t="s">
        <v>4694</v>
      </c>
      <c r="D41" s="138"/>
      <c r="E41" s="137" t="s">
        <v>4695</v>
      </c>
      <c r="F41" s="139"/>
      <c r="G41" s="139" t="s">
        <v>4985</v>
      </c>
      <c r="H41" s="15" t="str">
        <f t="shared" si="0"/>
        <v>dbo.LifeInsCalcTypeBenefitInv</v>
      </c>
      <c r="I41" s="15" t="str">
        <f t="shared" si="1"/>
        <v>BCP ESOAF.dbo.LifeInsCalcTypeBenefitInv out D:\BCP\dbo.LifeInsCalcTypeBenefitInv.bcp -n -S F25B-YTL-SIT -U sa -P p@ssw0rd</v>
      </c>
      <c r="J41" s="15" t="str">
        <f t="shared" si="2"/>
        <v>SQLCMD -Q "TRUNCATE TABLE ESOAF.dbo.LifeInsCalcTypeBenefitInv" -S 18002691ALVIN -U sa -P p@ssw0rd</v>
      </c>
      <c r="K41" s="15" t="str">
        <f t="shared" si="3"/>
        <v>BCP ESOAF.dbo.LifeInsCalcTypeBenefitInv in D:\BCP\dbo.LifeInsCalcTypeBenefitInv.bcp -n -S 18002691ALVIN -U sa -P p@ssw0rd</v>
      </c>
    </row>
    <row r="42" spans="1:11" s="137" customFormat="1">
      <c r="A42" s="137" t="s">
        <v>3919</v>
      </c>
      <c r="B42" s="137" t="s">
        <v>240</v>
      </c>
      <c r="C42" s="138" t="s">
        <v>4804</v>
      </c>
      <c r="D42" s="138"/>
      <c r="E42" s="137" t="s">
        <v>4805</v>
      </c>
      <c r="F42" s="139"/>
      <c r="G42" s="139" t="s">
        <v>4985</v>
      </c>
      <c r="H42" s="15" t="str">
        <f t="shared" si="0"/>
        <v>dbo.LifeInsCalcTypeAnnuity</v>
      </c>
      <c r="I42" s="15" t="str">
        <f t="shared" si="1"/>
        <v>BCP ESOAF.dbo.LifeInsCalcTypeAnnuity out D:\BCP\dbo.LifeInsCalcTypeAnnuity.bcp -n -S F25B-YTL-SIT -U sa -P p@ssw0rd</v>
      </c>
      <c r="J42" s="15" t="str">
        <f t="shared" si="2"/>
        <v>SQLCMD -Q "TRUNCATE TABLE ESOAF.dbo.LifeInsCalcTypeAnnuity" -S 18002691ALVIN -U sa -P p@ssw0rd</v>
      </c>
      <c r="K42" s="15" t="str">
        <f t="shared" si="3"/>
        <v>BCP ESOAF.dbo.LifeInsCalcTypeAnnuity in D:\BCP\dbo.LifeInsCalcTypeAnnuity.bcp -n -S 18002691ALVIN -U sa -P p@ssw0rd</v>
      </c>
    </row>
    <row r="43" spans="1:11">
      <c r="A43" s="15" t="s">
        <v>3919</v>
      </c>
      <c r="B43" s="15" t="s">
        <v>240</v>
      </c>
      <c r="C43" s="63" t="s">
        <v>3702</v>
      </c>
      <c r="D43" s="63" t="s">
        <v>3703</v>
      </c>
      <c r="E43" s="15" t="s">
        <v>3662</v>
      </c>
      <c r="H43" s="15" t="str">
        <f t="shared" si="0"/>
        <v>dbo.LifeInsCorePlanCodeMap</v>
      </c>
      <c r="I43" s="15" t="str">
        <f t="shared" si="1"/>
        <v>BCP ESOAF.dbo.LifeInsCorePlanCodeMap out D:\BCP\dbo.LifeInsCorePlanCodeMap.bcp -n -S F25B-YTL-SIT -U sa -P p@ssw0rd</v>
      </c>
      <c r="J43" s="15" t="str">
        <f t="shared" si="2"/>
        <v>SQLCMD -Q "TRUNCATE TABLE ESOAF.dbo.LifeInsCorePlanCodeMap" -S 18002691ALVIN -U sa -P p@ssw0rd</v>
      </c>
      <c r="K43" s="15" t="str">
        <f t="shared" si="3"/>
        <v>BCP ESOAF.dbo.LifeInsCorePlanCodeMap in D:\BCP\dbo.LifeInsCorePlanCodeMap.bcp -n -S 18002691ALVIN -U sa -P p@ssw0rd</v>
      </c>
    </row>
    <row r="44" spans="1:11">
      <c r="A44" s="15" t="s">
        <v>3919</v>
      </c>
      <c r="B44" s="36" t="s">
        <v>3872</v>
      </c>
      <c r="C44" s="96" t="s">
        <v>3873</v>
      </c>
      <c r="D44" s="96" t="s">
        <v>3874</v>
      </c>
      <c r="E44" s="37" t="s">
        <v>3875</v>
      </c>
      <c r="G44" s="15" t="s">
        <v>3876</v>
      </c>
      <c r="H44" s="15" t="str">
        <f t="shared" si="0"/>
        <v>dbo.ChannelPackage</v>
      </c>
      <c r="I44" s="15" t="str">
        <f t="shared" si="1"/>
        <v>BCP ESOAF.dbo.ChannelPackage out D:\BCP\dbo.ChannelPackage.bcp -n -S F25B-YTL-SIT -U sa -P p@ssw0rd</v>
      </c>
      <c r="J44" s="15" t="str">
        <f t="shared" si="2"/>
        <v>SQLCMD -Q "TRUNCATE TABLE ESOAF.dbo.ChannelPackage" -S 18002691ALVIN -U sa -P p@ssw0rd</v>
      </c>
      <c r="K44" s="15" t="str">
        <f t="shared" si="3"/>
        <v>BCP ESOAF.dbo.ChannelPackage in D:\BCP\dbo.ChannelPackage.bcp -n -S 18002691ALVIN -U sa -P p@ssw0rd</v>
      </c>
    </row>
    <row r="45" spans="1:11">
      <c r="A45" s="15" t="s">
        <v>3919</v>
      </c>
      <c r="B45" s="15" t="s">
        <v>3877</v>
      </c>
      <c r="C45" s="63" t="s">
        <v>3868</v>
      </c>
      <c r="D45" s="63" t="s">
        <v>3878</v>
      </c>
      <c r="E45" s="15" t="s">
        <v>3869</v>
      </c>
      <c r="G45" s="15" t="s">
        <v>3870</v>
      </c>
      <c r="H45" s="15" t="str">
        <f t="shared" si="0"/>
        <v>dbo.ChannelPackageMap</v>
      </c>
      <c r="I45" s="15" t="str">
        <f t="shared" si="1"/>
        <v>BCP ESOAF.dbo.ChannelPackageMap out D:\BCP\dbo.ChannelPackageMap.bcp -n -S F25B-YTL-SIT -U sa -P p@ssw0rd</v>
      </c>
      <c r="J45" s="15" t="str">
        <f t="shared" si="2"/>
        <v>SQLCMD -Q "TRUNCATE TABLE ESOAF.dbo.ChannelPackageMap" -S 18002691ALVIN -U sa -P p@ssw0rd</v>
      </c>
      <c r="K45" s="15" t="str">
        <f t="shared" si="3"/>
        <v>BCP ESOAF.dbo.ChannelPackageMap in D:\BCP\dbo.ChannelPackageMap.bcp -n -S 18002691ALVIN -U sa -P p@ssw0rd</v>
      </c>
    </row>
    <row r="46" spans="1:11">
      <c r="A46" s="15" t="s">
        <v>3919</v>
      </c>
      <c r="B46" s="15" t="s">
        <v>240</v>
      </c>
      <c r="C46" s="63" t="s">
        <v>3708</v>
      </c>
      <c r="D46" s="63" t="s">
        <v>3709</v>
      </c>
      <c r="E46" s="15" t="s">
        <v>182</v>
      </c>
      <c r="G46" s="15" t="s">
        <v>3871</v>
      </c>
      <c r="H46" s="15" t="str">
        <f t="shared" si="0"/>
        <v>dbo.ChannelPlanView</v>
      </c>
      <c r="I46" s="15" t="str">
        <f t="shared" si="1"/>
        <v>BCP ESOAF.dbo.ChannelPlanView out D:\BCP\dbo.ChannelPlanView.bcp -n -S F25B-YTL-SIT -U sa -P p@ssw0rd</v>
      </c>
      <c r="J46" s="15" t="str">
        <f t="shared" si="2"/>
        <v>SQLCMD -Q "TRUNCATE TABLE ESOAF.dbo.ChannelPlanView" -S 18002691ALVIN -U sa -P p@ssw0rd</v>
      </c>
      <c r="K46" s="15" t="str">
        <f t="shared" si="3"/>
        <v>BCP ESOAF.dbo.ChannelPlanView in D:\BCP\dbo.ChannelPlanView.bcp -n -S 18002691ALVIN -U sa -P p@ssw0rd</v>
      </c>
    </row>
    <row r="47" spans="1:11">
      <c r="A47" s="15" t="s">
        <v>3919</v>
      </c>
      <c r="B47" s="15" t="s">
        <v>240</v>
      </c>
      <c r="C47" s="63" t="s">
        <v>3710</v>
      </c>
      <c r="D47" s="63" t="s">
        <v>3711</v>
      </c>
      <c r="E47" s="15" t="s">
        <v>732</v>
      </c>
      <c r="H47" s="15" t="str">
        <f t="shared" si="0"/>
        <v>dbo.ChannelPackagePlan</v>
      </c>
      <c r="I47" s="15" t="str">
        <f t="shared" si="1"/>
        <v>BCP ESOAF.dbo.ChannelPackagePlan out D:\BCP\dbo.ChannelPackagePlan.bcp -n -S F25B-YTL-SIT -U sa -P p@ssw0rd</v>
      </c>
      <c r="J47" s="15" t="str">
        <f t="shared" si="2"/>
        <v>SQLCMD -Q "TRUNCATE TABLE ESOAF.dbo.ChannelPackagePlan" -S 18002691ALVIN -U sa -P p@ssw0rd</v>
      </c>
      <c r="K47" s="15" t="str">
        <f t="shared" si="3"/>
        <v>BCP ESOAF.dbo.ChannelPackagePlan in D:\BCP\dbo.ChannelPackagePlan.bcp -n -S 18002691ALVIN -U sa -P p@ssw0rd</v>
      </c>
    </row>
    <row r="48" spans="1:11">
      <c r="A48" s="15" t="s">
        <v>3919</v>
      </c>
      <c r="B48" s="15" t="s">
        <v>240</v>
      </c>
      <c r="C48" s="63" t="s">
        <v>3712</v>
      </c>
      <c r="D48" s="63" t="s">
        <v>3713</v>
      </c>
      <c r="E48" s="15" t="s">
        <v>730</v>
      </c>
      <c r="H48" s="15" t="str">
        <f t="shared" si="0"/>
        <v>dbo.ChannelPackagePlanYear</v>
      </c>
      <c r="I48" s="15" t="str">
        <f t="shared" si="1"/>
        <v>BCP ESOAF.dbo.ChannelPackagePlanYear out D:\BCP\dbo.ChannelPackagePlanYear.bcp -n -S F25B-YTL-SIT -U sa -P p@ssw0rd</v>
      </c>
      <c r="J48" s="15" t="str">
        <f t="shared" si="2"/>
        <v>SQLCMD -Q "TRUNCATE TABLE ESOAF.dbo.ChannelPackagePlanYear" -S 18002691ALVIN -U sa -P p@ssw0rd</v>
      </c>
      <c r="K48" s="15" t="str">
        <f t="shared" si="3"/>
        <v>BCP ESOAF.dbo.ChannelPackagePlanYear in D:\BCP\dbo.ChannelPackagePlanYear.bcp -n -S 18002691ALVIN -U sa -P p@ssw0rd</v>
      </c>
    </row>
    <row r="49" spans="1:11">
      <c r="A49" s="15" t="s">
        <v>3919</v>
      </c>
      <c r="B49" s="15" t="s">
        <v>240</v>
      </c>
      <c r="C49" s="63" t="s">
        <v>3705</v>
      </c>
      <c r="D49" s="63" t="s">
        <v>3714</v>
      </c>
      <c r="E49" s="15" t="s">
        <v>731</v>
      </c>
      <c r="H49" s="15" t="str">
        <f t="shared" si="0"/>
        <v>dbo.ChannelPackageAmtLimitAge</v>
      </c>
      <c r="I49" s="15" t="str">
        <f t="shared" si="1"/>
        <v>BCP ESOAF.dbo.ChannelPackageAmtLimitAge out D:\BCP\dbo.ChannelPackageAmtLimitAge.bcp -n -S F25B-YTL-SIT -U sa -P p@ssw0rd</v>
      </c>
      <c r="J49" s="15" t="str">
        <f t="shared" si="2"/>
        <v>SQLCMD -Q "TRUNCATE TABLE ESOAF.dbo.ChannelPackageAmtLimitAge" -S 18002691ALVIN -U sa -P p@ssw0rd</v>
      </c>
      <c r="K49" s="15" t="str">
        <f t="shared" si="3"/>
        <v>BCP ESOAF.dbo.ChannelPackageAmtLimitAge in D:\BCP\dbo.ChannelPackageAmtLimitAge.bcp -n -S 18002691ALVIN -U sa -P p@ssw0rd</v>
      </c>
    </row>
    <row r="50" spans="1:11">
      <c r="A50" s="15" t="s">
        <v>3919</v>
      </c>
      <c r="B50" s="15" t="s">
        <v>2931</v>
      </c>
      <c r="C50" s="63" t="s">
        <v>4070</v>
      </c>
      <c r="D50" s="63" t="s">
        <v>4071</v>
      </c>
      <c r="E50" s="15" t="s">
        <v>4069</v>
      </c>
      <c r="H50" s="15" t="str">
        <f t="shared" si="0"/>
        <v>dbo.ChannelCommRate</v>
      </c>
      <c r="I50" s="15" t="str">
        <f t="shared" si="1"/>
        <v>BCP ESOAF.dbo.ChannelCommRate out D:\BCP\dbo.ChannelCommRate.bcp -n -S F25B-YTL-SIT -U sa -P p@ssw0rd</v>
      </c>
      <c r="J50" s="15" t="str">
        <f t="shared" si="2"/>
        <v>SQLCMD -Q "TRUNCATE TABLE ESOAF.dbo.ChannelCommRate" -S 18002691ALVIN -U sa -P p@ssw0rd</v>
      </c>
      <c r="K50" s="15" t="str">
        <f t="shared" si="3"/>
        <v>BCP ESOAF.dbo.ChannelCommRate in D:\BCP\dbo.ChannelCommRate.bcp -n -S 18002691ALVIN -U sa -P p@ssw0rd</v>
      </c>
    </row>
    <row r="51" spans="1:11">
      <c r="A51" s="15" t="s">
        <v>3919</v>
      </c>
      <c r="B51" s="36" t="s">
        <v>240</v>
      </c>
      <c r="C51" s="96" t="s">
        <v>3706</v>
      </c>
      <c r="D51" s="96"/>
      <c r="E51" s="37" t="s">
        <v>185</v>
      </c>
      <c r="F51" s="34"/>
      <c r="H51" s="15" t="str">
        <f t="shared" si="0"/>
        <v>dbo.UserProposal</v>
      </c>
      <c r="I51" s="15" t="str">
        <f t="shared" si="1"/>
        <v>BCP ESOAF.dbo.UserProposal out D:\BCP\dbo.UserProposal.bcp -n -S F25B-YTL-SIT -U sa -P p@ssw0rd</v>
      </c>
      <c r="J51" s="15" t="str">
        <f t="shared" si="2"/>
        <v>SQLCMD -Q "TRUNCATE TABLE ESOAF.dbo.UserProposal" -S 18002691ALVIN -U sa -P p@ssw0rd</v>
      </c>
      <c r="K51" s="15" t="str">
        <f t="shared" si="3"/>
        <v>BCP ESOAF.dbo.UserProposal in D:\BCP\dbo.UserProposal.bcp -n -S 18002691ALVIN -U sa -P p@ssw0rd</v>
      </c>
    </row>
    <row r="52" spans="1:11">
      <c r="A52" s="15" t="s">
        <v>3919</v>
      </c>
      <c r="B52" s="15" t="s">
        <v>240</v>
      </c>
      <c r="C52" s="63" t="s">
        <v>3707</v>
      </c>
      <c r="D52" s="63"/>
      <c r="E52" s="15" t="s">
        <v>186</v>
      </c>
      <c r="H52" s="15" t="str">
        <f t="shared" si="0"/>
        <v>dbo.UserProposalInsObject</v>
      </c>
      <c r="I52" s="15" t="str">
        <f t="shared" si="1"/>
        <v>BCP ESOAF.dbo.UserProposalInsObject out D:\BCP\dbo.UserProposalInsObject.bcp -n -S F25B-YTL-SIT -U sa -P p@ssw0rd</v>
      </c>
      <c r="J52" s="15" t="str">
        <f t="shared" si="2"/>
        <v>SQLCMD -Q "TRUNCATE TABLE ESOAF.dbo.UserProposalInsObject" -S 18002691ALVIN -U sa -P p@ssw0rd</v>
      </c>
      <c r="K52" s="15" t="str">
        <f t="shared" si="3"/>
        <v>BCP ESOAF.dbo.UserProposalInsObject in D:\BCP\dbo.UserProposalInsObject.bcp -n -S 18002691ALVIN -U sa -P p@ssw0rd</v>
      </c>
    </row>
    <row r="53" spans="1:11">
      <c r="A53" s="15" t="s">
        <v>3919</v>
      </c>
      <c r="B53" s="15" t="s">
        <v>240</v>
      </c>
      <c r="C53" s="63" t="s">
        <v>190</v>
      </c>
      <c r="D53" s="63"/>
      <c r="E53" s="15" t="s">
        <v>187</v>
      </c>
      <c r="H53" s="15" t="str">
        <f t="shared" si="0"/>
        <v>dbo.UserProposalPlan</v>
      </c>
      <c r="I53" s="15" t="str">
        <f t="shared" si="1"/>
        <v>BCP ESOAF.dbo.UserProposalPlan out D:\BCP\dbo.UserProposalPlan.bcp -n -S F25B-YTL-SIT -U sa -P p@ssw0rd</v>
      </c>
      <c r="J53" s="15" t="str">
        <f t="shared" si="2"/>
        <v>SQLCMD -Q "TRUNCATE TABLE ESOAF.dbo.UserProposalPlan" -S 18002691ALVIN -U sa -P p@ssw0rd</v>
      </c>
      <c r="K53" s="15" t="str">
        <f t="shared" si="3"/>
        <v>BCP ESOAF.dbo.UserProposalPlan in D:\BCP\dbo.UserProposalPlan.bcp -n -S 18002691ALVIN -U sa -P p@ssw0rd</v>
      </c>
    </row>
    <row r="54" spans="1:11">
      <c r="A54" s="15" t="s">
        <v>3919</v>
      </c>
      <c r="B54" s="15" t="s">
        <v>240</v>
      </c>
      <c r="C54" s="63" t="s">
        <v>743</v>
      </c>
      <c r="D54" s="63"/>
      <c r="E54" s="15" t="s">
        <v>744</v>
      </c>
      <c r="H54" s="15" t="str">
        <f t="shared" si="0"/>
        <v>dbo.UserProposalPrem</v>
      </c>
      <c r="I54" s="15" t="str">
        <f t="shared" si="1"/>
        <v>BCP ESOAF.dbo.UserProposalPrem out D:\BCP\dbo.UserProposalPrem.bcp -n -S F25B-YTL-SIT -U sa -P p@ssw0rd</v>
      </c>
      <c r="J54" s="15" t="str">
        <f t="shared" si="2"/>
        <v>SQLCMD -Q "TRUNCATE TABLE ESOAF.dbo.UserProposalPrem" -S 18002691ALVIN -U sa -P p@ssw0rd</v>
      </c>
      <c r="K54" s="15" t="str">
        <f t="shared" si="3"/>
        <v>BCP ESOAF.dbo.UserProposalPrem in D:\BCP\dbo.UserProposalPrem.bcp -n -S 18002691ALVIN -U sa -P p@ssw0rd</v>
      </c>
    </row>
    <row r="55" spans="1:11" s="137" customFormat="1">
      <c r="A55" s="137" t="s">
        <v>3919</v>
      </c>
      <c r="B55" s="137" t="s">
        <v>240</v>
      </c>
      <c r="C55" s="138" t="s">
        <v>4938</v>
      </c>
      <c r="D55" s="138"/>
      <c r="E55" s="137" t="s">
        <v>4937</v>
      </c>
      <c r="F55" s="139"/>
      <c r="H55" s="15" t="str">
        <f t="shared" si="0"/>
        <v>dbo.UserProposalEndorsement</v>
      </c>
      <c r="I55" s="15" t="str">
        <f t="shared" si="1"/>
        <v>BCP ESOAF.dbo.UserProposalEndorsement out D:\BCP\dbo.UserProposalEndorsement.bcp -n -S F25B-YTL-SIT -U sa -P p@ssw0rd</v>
      </c>
      <c r="J55" s="15" t="str">
        <f t="shared" si="2"/>
        <v>SQLCMD -Q "TRUNCATE TABLE ESOAF.dbo.UserProposalEndorsement" -S 18002691ALVIN -U sa -P p@ssw0rd</v>
      </c>
      <c r="K55" s="15" t="str">
        <f t="shared" si="3"/>
        <v>BCP ESOAF.dbo.UserProposalEndorsement in D:\BCP\dbo.UserProposalEndorsement.bcp -n -S 18002691ALVIN -U sa -P p@ssw0rd</v>
      </c>
    </row>
    <row r="56" spans="1:11">
      <c r="A56" s="15" t="s">
        <v>3919</v>
      </c>
      <c r="B56" s="15" t="s">
        <v>240</v>
      </c>
      <c r="C56" s="63" t="s">
        <v>2918</v>
      </c>
      <c r="D56" s="63"/>
      <c r="E56" s="15" t="s">
        <v>2917</v>
      </c>
      <c r="G56" s="15" t="s">
        <v>4047</v>
      </c>
      <c r="H56" s="15" t="str">
        <f t="shared" si="0"/>
        <v>dbo.UserAgentInfo</v>
      </c>
      <c r="I56" s="15" t="str">
        <f t="shared" si="1"/>
        <v>BCP ESOAF.dbo.UserAgentInfo out D:\BCP\dbo.UserAgentInfo.bcp -n -S F25B-YTL-SIT -U sa -P p@ssw0rd</v>
      </c>
      <c r="J56" s="15" t="str">
        <f t="shared" si="2"/>
        <v>SQLCMD -Q "TRUNCATE TABLE ESOAF.dbo.UserAgentInfo" -S 18002691ALVIN -U sa -P p@ssw0rd</v>
      </c>
      <c r="K56" s="15" t="str">
        <f t="shared" si="3"/>
        <v>BCP ESOAF.dbo.UserAgentInfo in D:\BCP\dbo.UserAgentInfo.bcp -n -S 18002691ALVIN -U sa -P p@ssw0rd</v>
      </c>
    </row>
    <row r="57" spans="1:11">
      <c r="A57" s="15" t="s">
        <v>3919</v>
      </c>
      <c r="B57" s="15" t="s">
        <v>240</v>
      </c>
      <c r="C57" s="63" t="s">
        <v>3547</v>
      </c>
      <c r="D57" s="63" t="s">
        <v>3715</v>
      </c>
      <c r="E57" s="15" t="s">
        <v>3546</v>
      </c>
      <c r="G57" s="15" t="s">
        <v>4703</v>
      </c>
      <c r="H57" s="15" t="str">
        <f t="shared" si="0"/>
        <v>dbo.SysApiLog</v>
      </c>
      <c r="I57" s="15" t="str">
        <f t="shared" si="1"/>
        <v>BCP ESOAF.dbo.SysApiLog out D:\BCP\dbo.SysApiLog.bcp -n -S F25B-YTL-SIT -U sa -P p@ssw0rd</v>
      </c>
      <c r="J57" s="15" t="str">
        <f t="shared" si="2"/>
        <v>SQLCMD -Q "TRUNCATE TABLE ESOAF.dbo.SysApiLog" -S 18002691ALVIN -U sa -P p@ssw0rd</v>
      </c>
      <c r="K57" s="15" t="str">
        <f t="shared" si="3"/>
        <v>BCP ESOAF.dbo.SysApiLog in D:\BCP\dbo.SysApiLog.bcp -n -S 18002691ALVIN -U sa -P p@ssw0rd</v>
      </c>
    </row>
    <row r="58" spans="1:11">
      <c r="A58" s="15" t="s">
        <v>3919</v>
      </c>
      <c r="B58" s="15" t="s">
        <v>240</v>
      </c>
      <c r="C58" s="63" t="s">
        <v>413</v>
      </c>
      <c r="D58" s="63"/>
      <c r="E58" s="15" t="s">
        <v>412</v>
      </c>
      <c r="H58" s="15" t="str">
        <f t="shared" si="0"/>
        <v>dbo.SysLoginInfo</v>
      </c>
      <c r="I58" s="15" t="str">
        <f t="shared" si="1"/>
        <v>BCP ESOAF.dbo.SysLoginInfo out D:\BCP\dbo.SysLoginInfo.bcp -n -S F25B-YTL-SIT -U sa -P p@ssw0rd</v>
      </c>
      <c r="J58" s="15" t="str">
        <f t="shared" si="2"/>
        <v>SQLCMD -Q "TRUNCATE TABLE ESOAF.dbo.SysLoginInfo" -S 18002691ALVIN -U sa -P p@ssw0rd</v>
      </c>
      <c r="K58" s="15" t="str">
        <f t="shared" si="3"/>
        <v>BCP ESOAF.dbo.SysLoginInfo in D:\BCP\dbo.SysLoginInfo.bcp -n -S 18002691ALVIN -U sa -P p@ssw0rd</v>
      </c>
    </row>
    <row r="59" spans="1:11">
      <c r="A59" s="15" t="s">
        <v>3919</v>
      </c>
      <c r="B59" s="15" t="s">
        <v>240</v>
      </c>
      <c r="C59" s="63" t="s">
        <v>3485</v>
      </c>
      <c r="D59" s="63"/>
      <c r="E59" s="15" t="s">
        <v>3484</v>
      </c>
      <c r="H59" s="15" t="str">
        <f t="shared" si="0"/>
        <v>dbo.SysAgentInfo</v>
      </c>
      <c r="I59" s="15" t="str">
        <f t="shared" si="1"/>
        <v>BCP ESOAF.dbo.SysAgentInfo out D:\BCP\dbo.SysAgentInfo.bcp -n -S F25B-YTL-SIT -U sa -P p@ssw0rd</v>
      </c>
      <c r="J59" s="15" t="str">
        <f t="shared" si="2"/>
        <v>SQLCMD -Q "TRUNCATE TABLE ESOAF.dbo.SysAgentInfo" -S 18002691ALVIN -U sa -P p@ssw0rd</v>
      </c>
      <c r="K59" s="15" t="str">
        <f t="shared" si="3"/>
        <v>BCP ESOAF.dbo.SysAgentInfo in D:\BCP\dbo.SysAgentInfo.bcp -n -S 18002691ALVIN -U sa -P p@ssw0rd</v>
      </c>
    </row>
    <row r="60" spans="1:11">
      <c r="A60" s="15" t="s">
        <v>3919</v>
      </c>
      <c r="B60" s="15" t="s">
        <v>350</v>
      </c>
      <c r="C60" s="63" t="s">
        <v>4674</v>
      </c>
      <c r="D60" s="63"/>
      <c r="E60" s="15" t="s">
        <v>4673</v>
      </c>
      <c r="F60" s="36" t="s">
        <v>416</v>
      </c>
      <c r="G60" s="15" t="s">
        <v>3486</v>
      </c>
      <c r="H60" s="15" t="str">
        <f t="shared" si="0"/>
        <v>dbo.SysChannelCode</v>
      </c>
      <c r="I60" s="15" t="str">
        <f t="shared" si="1"/>
        <v>BCP ESOAF.dbo.SysChannelCode out D:\BCP\dbo.SysChannelCode.bcp -n -S F25B-YTL-SIT -U sa -P p@ssw0rd</v>
      </c>
      <c r="J60" s="15" t="str">
        <f t="shared" si="2"/>
        <v>SQLCMD -Q "TRUNCATE TABLE ESOAF.dbo.SysChannelCode" -S 18002691ALVIN -U sa -P p@ssw0rd</v>
      </c>
      <c r="K60" s="15" t="str">
        <f t="shared" si="3"/>
        <v>BCP ESOAF.dbo.SysChannelCode in D:\BCP\dbo.SysChannelCode.bcp -n -S 18002691ALVIN -U sa -P p@ssw0rd</v>
      </c>
    </row>
    <row r="61" spans="1:11">
      <c r="A61" s="15" t="s">
        <v>3919</v>
      </c>
      <c r="B61" s="15" t="s">
        <v>240</v>
      </c>
      <c r="C61" s="63" t="s">
        <v>4139</v>
      </c>
      <c r="D61" s="63" t="s">
        <v>4140</v>
      </c>
      <c r="E61" s="15" t="s">
        <v>3853</v>
      </c>
      <c r="H61" s="15" t="str">
        <f t="shared" si="0"/>
        <v>dbo.SysDocument</v>
      </c>
      <c r="I61" s="15" t="str">
        <f t="shared" si="1"/>
        <v>BCP ESOAF.dbo.SysDocument out D:\BCP\dbo.SysDocument.bcp -n -S F25B-YTL-SIT -U sa -P p@ssw0rd</v>
      </c>
      <c r="J61" s="15" t="str">
        <f t="shared" si="2"/>
        <v>SQLCMD -Q "TRUNCATE TABLE ESOAF.dbo.SysDocument" -S 18002691ALVIN -U sa -P p@ssw0rd</v>
      </c>
      <c r="K61" s="15" t="str">
        <f t="shared" si="3"/>
        <v>BCP ESOAF.dbo.SysDocument in D:\BCP\dbo.SysDocument.bcp -n -S 18002691ALVIN -U sa -P p@ssw0rd</v>
      </c>
    </row>
    <row r="62" spans="1:11">
      <c r="A62" s="15" t="s">
        <v>3919</v>
      </c>
      <c r="B62" s="15" t="s">
        <v>240</v>
      </c>
      <c r="C62" s="63" t="s">
        <v>3852</v>
      </c>
      <c r="D62" s="63" t="s">
        <v>3857</v>
      </c>
      <c r="E62" s="15" t="s">
        <v>3855</v>
      </c>
      <c r="H62" s="15" t="str">
        <f t="shared" si="0"/>
        <v>dbo.SysDocumentRule</v>
      </c>
      <c r="I62" s="15" t="str">
        <f t="shared" si="1"/>
        <v>BCP ESOAF.dbo.SysDocumentRule out D:\BCP\dbo.SysDocumentRule.bcp -n -S F25B-YTL-SIT -U sa -P p@ssw0rd</v>
      </c>
      <c r="J62" s="15" t="str">
        <f t="shared" si="2"/>
        <v>SQLCMD -Q "TRUNCATE TABLE ESOAF.dbo.SysDocumentRule" -S 18002691ALVIN -U sa -P p@ssw0rd</v>
      </c>
      <c r="K62" s="15" t="str">
        <f t="shared" si="3"/>
        <v>BCP ESOAF.dbo.SysDocumentRule in D:\BCP\dbo.SysDocumentRule.bcp -n -S 18002691ALVIN -U sa -P p@ssw0rd</v>
      </c>
    </row>
    <row r="63" spans="1:11">
      <c r="A63" s="15" t="s">
        <v>3919</v>
      </c>
      <c r="B63" s="15" t="s">
        <v>240</v>
      </c>
      <c r="C63" s="63" t="s">
        <v>3856</v>
      </c>
      <c r="D63" s="63" t="s">
        <v>4141</v>
      </c>
      <c r="E63" s="15" t="s">
        <v>3854</v>
      </c>
      <c r="H63" s="15" t="str">
        <f t="shared" si="0"/>
        <v>dbo.SysDocumentFile</v>
      </c>
      <c r="I63" s="15" t="str">
        <f t="shared" si="1"/>
        <v>BCP ESOAF.dbo.SysDocumentFile out D:\BCP\dbo.SysDocumentFile.bcp -n -S F25B-YTL-SIT -U sa -P p@ssw0rd</v>
      </c>
      <c r="J63" s="15" t="str">
        <f t="shared" si="2"/>
        <v>SQLCMD -Q "TRUNCATE TABLE ESOAF.dbo.SysDocumentFile" -S 18002691ALVIN -U sa -P p@ssw0rd</v>
      </c>
      <c r="K63" s="15" t="str">
        <f t="shared" si="3"/>
        <v>BCP ESOAF.dbo.SysDocumentFile in D:\BCP\dbo.SysDocumentFile.bcp -n -S 18002691ALVIN -U sa -P p@ssw0rd</v>
      </c>
    </row>
    <row r="64" spans="1:11" s="122" customFormat="1">
      <c r="A64" s="122" t="s">
        <v>3919</v>
      </c>
      <c r="B64" s="122" t="s">
        <v>240</v>
      </c>
      <c r="C64" s="121" t="s">
        <v>4967</v>
      </c>
      <c r="D64" s="121"/>
      <c r="E64" s="122" t="s">
        <v>4966</v>
      </c>
      <c r="F64" s="120" t="s">
        <v>4983</v>
      </c>
      <c r="G64" s="122" t="s">
        <v>4982</v>
      </c>
      <c r="H64" s="122" t="str">
        <f t="shared" si="0"/>
        <v>dbo.SysTargetCodeMap</v>
      </c>
      <c r="I64" s="122" t="str">
        <f t="shared" si="1"/>
        <v>BCP ESOAF.dbo.SysTargetCodeMap out D:\BCP\dbo.SysTargetCodeMap.bcp -n -S F25B-YTL-SIT -U sa -P p@ssw0rd</v>
      </c>
      <c r="J64" s="122" t="str">
        <f t="shared" si="2"/>
        <v>SQLCMD -Q "TRUNCATE TABLE ESOAF.dbo.SysTargetCodeMap" -S 18002691ALVIN -U sa -P p@ssw0rd</v>
      </c>
      <c r="K64" s="122" t="str">
        <f t="shared" si="3"/>
        <v>BCP ESOAF.dbo.SysTargetCodeMap in D:\BCP\dbo.SysTargetCodeMap.bcp -n -S 18002691ALVIN -U sa -P p@ssw0rd</v>
      </c>
    </row>
    <row r="65" spans="1:11">
      <c r="A65" s="15" t="s">
        <v>3919</v>
      </c>
      <c r="B65" s="15" t="s">
        <v>240</v>
      </c>
      <c r="C65" s="63" t="s">
        <v>4690</v>
      </c>
      <c r="D65" s="63"/>
      <c r="E65" s="15" t="s">
        <v>4687</v>
      </c>
      <c r="H65" s="15" t="str">
        <f t="shared" si="0"/>
        <v>dbo.BatchActFactorImport</v>
      </c>
      <c r="I65" s="15" t="str">
        <f t="shared" si="1"/>
        <v>BCP ESOAF.dbo.BatchActFactorImport out D:\BCP\dbo.BatchActFactorImport.bcp -n -S F25B-YTL-SIT -U sa -P p@ssw0rd</v>
      </c>
      <c r="J65" s="15" t="str">
        <f t="shared" si="2"/>
        <v>SQLCMD -Q "TRUNCATE TABLE ESOAF.dbo.BatchActFactorImport" -S 18002691ALVIN -U sa -P p@ssw0rd</v>
      </c>
      <c r="K65" s="15" t="str">
        <f t="shared" si="3"/>
        <v>BCP ESOAF.dbo.BatchActFactorImport in D:\BCP\dbo.BatchActFactorImport.bcp -n -S 18002691ALVIN -U sa -P p@ssw0rd</v>
      </c>
    </row>
    <row r="66" spans="1:11">
      <c r="A66" s="15" t="s">
        <v>3919</v>
      </c>
      <c r="B66" s="15" t="s">
        <v>3469</v>
      </c>
      <c r="C66" s="63" t="s">
        <v>3470</v>
      </c>
      <c r="D66" s="63"/>
      <c r="E66" s="15" t="s">
        <v>3471</v>
      </c>
      <c r="G66" s="15" t="s">
        <v>4986</v>
      </c>
      <c r="H66" s="15" t="str">
        <f t="shared" ref="H66:H70" si="4">B66&amp;"."&amp;C66</f>
        <v>ORG.TBIAS_AGNT_EMPY</v>
      </c>
      <c r="I66" s="15" t="str">
        <f t="shared" si="1"/>
        <v>BCP ESOAF.ORG.TBIAS_AGNT_EMPY out D:\BCP\ORG.TBIAS_AGNT_EMPY.bcp -n -S F25B-YTL-SIT -U sa -P p@ssw0rd</v>
      </c>
      <c r="J66" s="15" t="str">
        <f t="shared" si="2"/>
        <v>SQLCMD -Q "TRUNCATE TABLE ESOAF.ORG.TBIAS_AGNT_EMPY" -S 18002691ALVIN -U sa -P p@ssw0rd</v>
      </c>
      <c r="K66" s="15" t="str">
        <f t="shared" si="3"/>
        <v>BCP ESOAF.ORG.TBIAS_AGNT_EMPY in D:\BCP\ORG.TBIAS_AGNT_EMPY.bcp -n -S 18002691ALVIN -U sa -P p@ssw0rd</v>
      </c>
    </row>
    <row r="67" spans="1:11">
      <c r="A67" s="15" t="s">
        <v>3919</v>
      </c>
      <c r="B67" s="15" t="s">
        <v>241</v>
      </c>
      <c r="C67" s="63" t="s">
        <v>2950</v>
      </c>
      <c r="D67" s="63"/>
      <c r="E67" s="15" t="s">
        <v>3472</v>
      </c>
      <c r="G67" s="15" t="s">
        <v>4987</v>
      </c>
      <c r="H67" s="15" t="str">
        <f t="shared" si="4"/>
        <v>COM.TBIAS_PARM_TRGT_CODE</v>
      </c>
      <c r="I67" s="15" t="str">
        <f t="shared" ref="I67:I70" si="5">"BCP "&amp;A67&amp;"."&amp;B67&amp;"."&amp;C67&amp;" out D:\BCP\"&amp;B67&amp;"."&amp;C67&amp;".bcp -n -S F25B-YTL-SIT -U sa -P p@ssw0rd"</f>
        <v>BCP ESOAF.COM.TBIAS_PARM_TRGT_CODE out D:\BCP\COM.TBIAS_PARM_TRGT_CODE.bcp -n -S F25B-YTL-SIT -U sa -P p@ssw0rd</v>
      </c>
      <c r="J67" s="15" t="str">
        <f t="shared" ref="J67:J70" si="6">"SQLCMD -Q "&amp;""""&amp;"TRUNCATE TABLE "&amp;A67&amp;"."&amp;B67&amp;"."&amp;C67&amp;""&amp;""""&amp;" -S 18002691ALVIN -U sa -P p@ssw0rd"</f>
        <v>SQLCMD -Q "TRUNCATE TABLE ESOAF.COM.TBIAS_PARM_TRGT_CODE" -S 18002691ALVIN -U sa -P p@ssw0rd</v>
      </c>
      <c r="K67" s="15" t="str">
        <f t="shared" ref="K67:K70" si="7">"BCP "&amp;A67&amp;"."&amp;B67&amp;"."&amp;C67&amp;" in D:\BCP\"&amp;B67&amp;"."&amp;C67&amp;".bcp -n -S 18002691ALVIN -U sa -P p@ssw0rd"</f>
        <v>BCP ESOAF.COM.TBIAS_PARM_TRGT_CODE in D:\BCP\COM.TBIAS_PARM_TRGT_CODE.bcp -n -S 18002691ALVIN -U sa -P p@ssw0rd</v>
      </c>
    </row>
    <row r="68" spans="1:11">
      <c r="A68" s="15" t="s">
        <v>3919</v>
      </c>
      <c r="B68" s="15" t="s">
        <v>241</v>
      </c>
      <c r="C68" s="63" t="s">
        <v>2951</v>
      </c>
      <c r="D68" s="63"/>
      <c r="E68" s="15" t="s">
        <v>3473</v>
      </c>
      <c r="G68" s="15" t="s">
        <v>4987</v>
      </c>
      <c r="H68" s="15" t="str">
        <f t="shared" si="4"/>
        <v>COM.TBIAS_PARM_GLOBLE_CODE</v>
      </c>
      <c r="I68" s="15" t="str">
        <f t="shared" si="5"/>
        <v>BCP ESOAF.COM.TBIAS_PARM_GLOBLE_CODE out D:\BCP\COM.TBIAS_PARM_GLOBLE_CODE.bcp -n -S F25B-YTL-SIT -U sa -P p@ssw0rd</v>
      </c>
      <c r="J68" s="15" t="str">
        <f t="shared" si="6"/>
        <v>SQLCMD -Q "TRUNCATE TABLE ESOAF.COM.TBIAS_PARM_GLOBLE_CODE" -S 18002691ALVIN -U sa -P p@ssw0rd</v>
      </c>
      <c r="K68" s="15" t="str">
        <f t="shared" si="7"/>
        <v>BCP ESOAF.COM.TBIAS_PARM_GLOBLE_CODE in D:\BCP\COM.TBIAS_PARM_GLOBLE_CODE.bcp -n -S 18002691ALVIN -U sa -P p@ssw0rd</v>
      </c>
    </row>
    <row r="69" spans="1:11">
      <c r="A69" s="15" t="s">
        <v>3919</v>
      </c>
      <c r="B69" s="15" t="s">
        <v>2940</v>
      </c>
      <c r="C69" s="63" t="s">
        <v>2952</v>
      </c>
      <c r="D69" s="63"/>
      <c r="E69" s="15" t="s">
        <v>3474</v>
      </c>
      <c r="G69" s="15" t="s">
        <v>4987</v>
      </c>
      <c r="H69" s="15" t="str">
        <f t="shared" si="4"/>
        <v>PLF.BrfErrorCode</v>
      </c>
      <c r="I69" s="15" t="str">
        <f t="shared" si="5"/>
        <v>BCP ESOAF.PLF.BrfErrorCode out D:\BCP\PLF.BrfErrorCode.bcp -n -S F25B-YTL-SIT -U sa -P p@ssw0rd</v>
      </c>
      <c r="J69" s="15" t="str">
        <f t="shared" si="6"/>
        <v>SQLCMD -Q "TRUNCATE TABLE ESOAF.PLF.BrfErrorCode" -S 18002691ALVIN -U sa -P p@ssw0rd</v>
      </c>
      <c r="K69" s="15" t="str">
        <f t="shared" si="7"/>
        <v>BCP ESOAF.PLF.BrfErrorCode in D:\BCP\PLF.BrfErrorCode.bcp -n -S 18002691ALVIN -U sa -P p@ssw0rd</v>
      </c>
    </row>
    <row r="70" spans="1:11">
      <c r="A70" s="15" t="s">
        <v>3920</v>
      </c>
      <c r="B70" s="15" t="s">
        <v>3891</v>
      </c>
      <c r="C70" s="63" t="s">
        <v>3892</v>
      </c>
      <c r="D70" s="63" t="s">
        <v>3921</v>
      </c>
      <c r="E70" s="15" t="s">
        <v>3890</v>
      </c>
      <c r="G70" s="24" t="s">
        <v>3893</v>
      </c>
      <c r="H70" s="15" t="str">
        <f t="shared" si="4"/>
        <v>dbo.TrackLog</v>
      </c>
      <c r="I70" s="15" t="str">
        <f t="shared" si="5"/>
        <v>BCP ESOAF_LOG.dbo.TrackLog out D:\BCP\dbo.TrackLog.bcp -n -S F25B-YTL-SIT -U sa -P p@ssw0rd</v>
      </c>
      <c r="J70" s="15" t="str">
        <f t="shared" si="6"/>
        <v>SQLCMD -Q "TRUNCATE TABLE ESOAF_LOG.dbo.TrackLog" -S 18002691ALVIN -U sa -P p@ssw0rd</v>
      </c>
      <c r="K70" s="15" t="str">
        <f t="shared" si="7"/>
        <v>BCP ESOAF_LOG.dbo.TrackLog in D:\BCP\dbo.TrackLog.bcp -n -S 18002691ALVIN -U sa -P p@ssw0rd</v>
      </c>
    </row>
  </sheetData>
  <phoneticPr fontId="3" type="noConversion"/>
  <hyperlinks>
    <hyperlink ref="C14" location="LifeInsDiscountHighAmt!A1" display="LifeInsDiscountHighAmt"/>
    <hyperlink ref="C15" location="LifeInsDiscountHighPrem!A1" display="LifeInsDiscountHighPrem"/>
    <hyperlink ref="C26" location="LifeInsActFactorPV!A1" display="LifeInsActFactorPV"/>
    <hyperlink ref="C7" location="LifeInsYear!A1" display="LifeInsYear"/>
    <hyperlink ref="C9" location="LifeInsAmtLimitJobGrade!A1" display="LifeInsAmtLimitJobGrade"/>
    <hyperlink ref="C2" location="LifeIns!A1" display="LifeIns"/>
    <hyperlink ref="C3" location="LifeInsMultiKind!A1" display="LifeInsMultiKind"/>
    <hyperlink ref="C4" location="LifeInsMultiCuy!A1" display="LifeInsMultiCuy"/>
    <hyperlink ref="C8" location="LifeInsAmtLimitAge!A1" display="LifeInsAmtLimitAge"/>
    <hyperlink ref="C13" location="LifeInsDiscountPayWay!A1" display="LifeInsDiscountPayWay"/>
    <hyperlink ref="C6" location="LifeInsAmtPlan!A1" display="LifeInsAmtPlan"/>
    <hyperlink ref="C16" location="LifeInsAddRuleMaster!A1" display="LifeInsAddRuleMaster"/>
    <hyperlink ref="C24" location="LifeInsUWPhysical!A1" display="LifeInsUWPhysical"/>
    <hyperlink ref="C23" location="LifeInsUWParam!A1" display="LifeInsUWParam"/>
    <hyperlink ref="C22" location="LifeInsUWRule!A1" display="LifeInsUWRule"/>
    <hyperlink ref="C40" location="LifeInsCalcTypeBenefit!A1" display="LifeInsCalcTypeBenefit"/>
    <hyperlink ref="C20" location="LifeInsJobCode!A1" display="LifeInsJobCode"/>
    <hyperlink ref="C45" location="ChannelPackageMap!A1" display="ChannelPackageMap"/>
    <hyperlink ref="C44" location="ChannelPackage!A1" display="ChannelPackage"/>
    <hyperlink ref="C47" location="ChannelPackagePlan!A1" display="ChannelPackagePlan"/>
    <hyperlink ref="C46" location="ChannelPlanView!A1" display="ChannelPlanView"/>
    <hyperlink ref="C19" location="LifeInsPlanInputFieldMap!A1" display="LifeInsPlanInputFieldMap"/>
    <hyperlink ref="C18" location="LifeInsPlanInputField!A1" display="LifeInsPlanInputField"/>
    <hyperlink ref="C67" location="TBIAS_PARM_TRGT_CODE!A1" display="TBIAS_PARM_TRGT_CODE"/>
    <hyperlink ref="C68" location="TBIAS_PARM_GLOBLE_CODE!A1" display="TBIAS_PARM_GLOBLE_CODE"/>
    <hyperlink ref="C51" location="UserProposal!A1" display="UserProposal"/>
    <hyperlink ref="C52" location="UserProposalInsObject!A1" display="UserProposalInsObject"/>
    <hyperlink ref="C53" location="UserProposalPlan!A1" display="UserProposalPlan"/>
    <hyperlink ref="C60" location="SysChannelData!A1" display="SysChannelData"/>
    <hyperlink ref="C56" location="UserAgentInfo!A1" display="UserAgentInfo"/>
    <hyperlink ref="C58" location="SysLoginInfo!A1" display="SysLoginInfo"/>
    <hyperlink ref="C61" location="SysDocument!A1" display="SysDocument"/>
    <hyperlink ref="C17" location="LifeInsAddRuleRider!A1" display="LifeInsAddRuleRider"/>
    <hyperlink ref="C48" location="ChannelPackagePlanYear!A1" display="ChannelPackagePlanYear"/>
    <hyperlink ref="C49" location="ChannelPackageAmtLimitAge!A1" display="ChannelPackageAmtLimitAge"/>
    <hyperlink ref="C54" location="UserProposalPrem!A1" display="UserProposalPrem"/>
    <hyperlink ref="C63" location="SysDocumentFile!A1" display="SysDocumentFile"/>
    <hyperlink ref="C62" location="SysDocumentRule!A1" display="SysDocumentRule"/>
    <hyperlink ref="C69" location="BrfErrorCode!A1" display="BrfErrorCode"/>
    <hyperlink ref="C50" location="ChannelCommRate!A1" display="ChannelCommRate"/>
    <hyperlink ref="C5" location="LifeInsExchangeRate!A1" display="LifeInsExchangeRate"/>
    <hyperlink ref="D2" location="LifeIns_Data!A1" display="LifeIns_Data"/>
    <hyperlink ref="D6" location="LifeInsAmtPlan_Data!A1" display="LifeInsAmtPlan_Data"/>
    <hyperlink ref="D13" location="LifeInsDiscountPayWay_Data!A1" display="LifeInsDiscountPayWay_Data"/>
    <hyperlink ref="D17" location="LifeInsAddRuleRider_Data!A1" display="LifeInsAddRuleRider_Data"/>
    <hyperlink ref="D16" location="LifeInsAddRuleMaster_Data!A1" display="LifeInsAddRuleMaster_Data"/>
    <hyperlink ref="D7" location="LifeInsYear_Data!A1" display="LifeInsYear_Data"/>
    <hyperlink ref="D20" location="LifeInsJobCode_Data!A1" display="LifeInsJobCode_Data"/>
    <hyperlink ref="D5" location="LifeInsExchangeRate_Data!A1" display="LifeInsExchangeRate_Data"/>
    <hyperlink ref="D8" location="LifeInsAmtLimitAge_Data!A1" display="LifeInsAmtLimitAge_Data"/>
    <hyperlink ref="D9" location="LifeInsAmtLimitJobGrade_Data!A1" display="LifeInsAmtLimitJobGrade_Data"/>
    <hyperlink ref="D15" location="LifeInsDiscountHighPrem_Data!A1" display="LifeInsDiscountHighPrem_Data"/>
    <hyperlink ref="D14" location="LifeInsDiscountHighAmt_Data!A1" display="LifeInsDiscountHighAmt_Data"/>
    <hyperlink ref="D18" location="LifeInsPlanInputField_Data!A1" display="LifeInsPlanInputField_Data"/>
    <hyperlink ref="D19" location="LifeInsPlanInputFieldMap_Data!A1" display="LifeInsPlanInputFieldMap_Data"/>
    <hyperlink ref="D45" location="ChannelPackageMap_Data!A1" display="Channel_Data"/>
    <hyperlink ref="D46" location="ChannelPlanView_Data!A1" display="ChannelPlanView_Data"/>
    <hyperlink ref="D44" location="ChannelPackage_Data!A1" display="ChannelPackage_Data"/>
    <hyperlink ref="D47" location="ChannelPackagePlan_Data!A1" display="ChannelPackagePlan_Data"/>
    <hyperlink ref="D48" location="ChannelPackagePlanYear_Data!A1" display="ChannelPackagePlanYear_Data"/>
    <hyperlink ref="D49" location="ChannelPackageAmtLimitAge_Data!A1" display="ChannelPackageAmtLimitAge_Data"/>
    <hyperlink ref="C66" location="ORG.TBIAS_AGNT_EMPY!A1" display="TBIAS_AGNT_EMPY"/>
    <hyperlink ref="C57" location="SysApiLog!A1" display="SysApiLog"/>
    <hyperlink ref="C59" location="SysAgentInfo!A1" display="SysAgentInfo"/>
    <hyperlink ref="D61" location="SysDocument_Data!A1" display="SysDocument_Data"/>
    <hyperlink ref="D63" location="SysDocumentFile_Data!A1" display="SysDocumentFile_Data"/>
    <hyperlink ref="D62" location="SysDocumentRule_Data!A1" display="SysDocumentRule_Data"/>
    <hyperlink ref="C43" location="LifeInsCorePlanCodeMap!A1" display="LifeInsCorePlanCodeMap"/>
    <hyperlink ref="D43" location="LifeInsCorePlanCodeMap_Data!A1" display="LifeInsCorePlanCodeMap_Data"/>
    <hyperlink ref="D50" location="ChannelCommRate_Data!A1" display="ChannelCommRate_Data"/>
    <hyperlink ref="D57" location="SysApiLog_Data!A1" display="SysApiLog_Data"/>
    <hyperlink ref="C39" location="LifeInsCalcTypePrem!A1" display="LifeInsCalcTypePrem"/>
    <hyperlink ref="C27" location="LifeInsActFactorCSV!A1" display="LifeInsActFactorCSV"/>
    <hyperlink ref="C28" location="LifeInsActFactorRPU!A1" display="LifeInsActFactorRPU"/>
    <hyperlink ref="C29" location="LifeInsActFactorETI!A1" display="LifeInsActFactorETI"/>
    <hyperlink ref="C30" location="LifeInsActFactorETS!A1" display="LifeInsActFactorETS"/>
    <hyperlink ref="C31" location="LifeInsActFactorFA!A1" display="LifeInsActFactorFA"/>
    <hyperlink ref="C32" location="LifeInsActFactorNSPRPU!A1" display="LifeInsActFactorNSPRPU"/>
    <hyperlink ref="C25" location="LifeInsActFactorGP!A1" display="LifeInsActFactorGP"/>
    <hyperlink ref="C34" location="LifeInsActFactorCR!A1" display="LifeInsActFactorCR"/>
    <hyperlink ref="C70" location="TrackLog!A1" display="TrackLog"/>
    <hyperlink ref="D70" location="TrackLog_Data!A1" display="TrackLog_Data"/>
    <hyperlink ref="C21" location="LifeInsUWRuleDescription!A1" display="LifeInsUWRuleDescription"/>
    <hyperlink ref="C65" location="BatchActFactorImport!A1" display="BatchActFactorImport"/>
    <hyperlink ref="C41" location="LifeInsCalcTypeBenefitInv!A1" display="LifeInsCalcTypeBenefitInv"/>
    <hyperlink ref="D10" location="LifeInsAmtLimitInvBgn_Data!A1" display="LifeInsAmtLimitInvBgn_Data"/>
    <hyperlink ref="D11" location="LifeInsAmtLimitInvEnd_Data!A1" display="LifeInsAmtLimitInvEnd_Data"/>
    <hyperlink ref="C10" location="LifeInsAmtLimitInvBgn!A1" display="LifeInsAmtLimitInvBgn"/>
    <hyperlink ref="C11" location="LifeInsAmtLimitInvEnd!A1" display="LifeInsAmtLimitInvEnd"/>
    <hyperlink ref="C12" location="LifeInsAnnuityAccYearLimit!A1" display="LifeInsAnnuityAccYearLimit"/>
    <hyperlink ref="D12" location="LifeInsAnnuityAccYearLimit_Data!A1" display="LifeInsAnnuityAccYearLimit_Data"/>
    <hyperlink ref="C35" location="LifeInsActFactorCOI!A1" display="LifeInsActFactorCOI"/>
    <hyperlink ref="C36" location="LifeInsActFactorAnnuity!A1" display="LifeInsActFactorAnnuity"/>
    <hyperlink ref="C37" location="LifeInsPolicyFeeRate!A1" display="LifeInsPolicyFeeRate"/>
    <hyperlink ref="D37" location="LifeInsPolicyFeeRate_Data!A1" display="LifeInsPolicyFeeRate_Data"/>
    <hyperlink ref="C42" location="LifeInsCalcTypeAnnuity!A1" display="LifeInsCalcTypeAnnuity"/>
    <hyperlink ref="C38" location="LifeInsEndorsementAmtAdj!A1" display="LifeInsEndorsementAmtAdj"/>
    <hyperlink ref="D38" location="LifeInsEndorsementAmtAdj_Data!A1" display="LifeInsEndorsementAmtAdj_Data"/>
    <hyperlink ref="D35" location="LifeInsActFactorCOI_Data!A1" display="LifeInsActFactorCOI_Data"/>
    <hyperlink ref="D36" location="LifeInsActFactorAnnuity_Data!A1" display="LifeInsActFactorAnnuity_Data"/>
    <hyperlink ref="C55" location="UserProposalEndorsement!A1" display="UserProposalEndorsement"/>
    <hyperlink ref="C33" location="LifeInsActFactorMB!A1" display="LifeInsActFactorMB"/>
    <hyperlink ref="C64" location="SysTargetCodeMap!A1" display="SysTargetCodeMap"/>
  </hyperlink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>
    <tabColor theme="4" tint="0.79998168889431442"/>
  </sheetPr>
  <dimension ref="A1:C24"/>
  <sheetViews>
    <sheetView zoomScaleNormal="100" workbookViewId="0">
      <pane ySplit="1" topLeftCell="A14" activePane="bottomLeft" state="frozen"/>
      <selection activeCell="B1" sqref="B1"/>
      <selection pane="bottomLeft" activeCell="B20" sqref="B20"/>
    </sheetView>
  </sheetViews>
  <sheetFormatPr defaultRowHeight="13.8"/>
  <cols>
    <col min="1" max="1" width="17.26953125" style="10" bestFit="1" customWidth="1"/>
    <col min="2" max="2" width="69.453125" style="10" bestFit="1" customWidth="1"/>
    <col min="3" max="3" width="49" style="10" bestFit="1" customWidth="1"/>
    <col min="4" max="16384" width="8.7265625" style="10"/>
  </cols>
  <sheetData>
    <row r="1" spans="1:3" s="17" customFormat="1">
      <c r="A1" s="90" t="s">
        <v>246</v>
      </c>
      <c r="B1" s="90" t="s">
        <v>248</v>
      </c>
      <c r="C1" s="90" t="s">
        <v>139</v>
      </c>
    </row>
    <row r="2" spans="1:3">
      <c r="A2" s="91" t="s">
        <v>411</v>
      </c>
      <c r="B2" s="91" t="s">
        <v>4084</v>
      </c>
    </row>
    <row r="3" spans="1:3" ht="27.6">
      <c r="A3" s="10" t="s">
        <v>563</v>
      </c>
      <c r="B3" s="26" t="s">
        <v>564</v>
      </c>
    </row>
    <row r="4" spans="1:3" ht="27.6">
      <c r="A4" s="10" t="s">
        <v>279</v>
      </c>
      <c r="B4" s="26" t="s">
        <v>4152</v>
      </c>
    </row>
    <row r="5" spans="1:3" ht="124.2">
      <c r="A5" s="10" t="s">
        <v>280</v>
      </c>
      <c r="B5" s="26" t="s">
        <v>4151</v>
      </c>
      <c r="C5" s="26"/>
    </row>
    <row r="6" spans="1:3" ht="41.4">
      <c r="A6" s="10" t="s">
        <v>349</v>
      </c>
      <c r="B6" s="26" t="s">
        <v>2934</v>
      </c>
      <c r="C6" s="26" t="s">
        <v>2938</v>
      </c>
    </row>
    <row r="7" spans="1:3" s="32" customFormat="1">
      <c r="A7" s="32" t="s">
        <v>2963</v>
      </c>
      <c r="B7" s="32" t="s">
        <v>2964</v>
      </c>
      <c r="C7" s="95"/>
    </row>
    <row r="8" spans="1:3">
      <c r="A8" s="10" t="s">
        <v>2960</v>
      </c>
      <c r="B8" s="26" t="s">
        <v>2961</v>
      </c>
      <c r="C8" s="26"/>
    </row>
    <row r="9" spans="1:3">
      <c r="A9" s="10" t="s">
        <v>249</v>
      </c>
      <c r="B9" s="10" t="s">
        <v>250</v>
      </c>
    </row>
    <row r="10" spans="1:3" ht="82.8">
      <c r="A10" s="10" t="s">
        <v>2935</v>
      </c>
      <c r="B10" s="26" t="s">
        <v>2939</v>
      </c>
      <c r="C10" s="26" t="s">
        <v>4153</v>
      </c>
    </row>
    <row r="11" spans="1:3" ht="82.8">
      <c r="A11" s="10" t="s">
        <v>2937</v>
      </c>
      <c r="B11" s="26" t="s">
        <v>2991</v>
      </c>
      <c r="C11" s="26" t="s">
        <v>4154</v>
      </c>
    </row>
    <row r="12" spans="1:3" ht="69">
      <c r="A12" s="10" t="s">
        <v>2936</v>
      </c>
      <c r="B12" s="26" t="s">
        <v>4155</v>
      </c>
    </row>
    <row r="13" spans="1:3">
      <c r="A13" s="10" t="s">
        <v>3001</v>
      </c>
      <c r="B13" s="26" t="s">
        <v>3003</v>
      </c>
      <c r="C13" s="91" t="s">
        <v>3002</v>
      </c>
    </row>
    <row r="14" spans="1:3">
      <c r="A14" s="10" t="s">
        <v>3960</v>
      </c>
      <c r="C14" s="91" t="s">
        <v>2930</v>
      </c>
    </row>
    <row r="15" spans="1:3" ht="55.2">
      <c r="A15" s="10" t="s">
        <v>2933</v>
      </c>
      <c r="B15" s="26" t="s">
        <v>3417</v>
      </c>
      <c r="C15" s="10" t="s">
        <v>3418</v>
      </c>
    </row>
    <row r="16" spans="1:3">
      <c r="A16" s="10" t="s">
        <v>2932</v>
      </c>
    </row>
    <row r="17" spans="1:2" s="91" customFormat="1">
      <c r="A17" s="91" t="s">
        <v>3604</v>
      </c>
      <c r="B17" s="91" t="s">
        <v>4085</v>
      </c>
    </row>
    <row r="18" spans="1:2" s="91" customFormat="1" ht="27.6">
      <c r="A18" s="91" t="s">
        <v>3607</v>
      </c>
      <c r="B18" s="94" t="s">
        <v>3608</v>
      </c>
    </row>
    <row r="19" spans="1:2" s="91" customFormat="1" ht="27.6">
      <c r="A19" s="91" t="s">
        <v>4671</v>
      </c>
      <c r="B19" s="94" t="s">
        <v>4672</v>
      </c>
    </row>
    <row r="20" spans="1:2" s="91" customFormat="1"/>
    <row r="21" spans="1:2" s="91" customFormat="1"/>
    <row r="22" spans="1:2" s="91" customFormat="1"/>
    <row r="23" spans="1:2" s="91" customFormat="1"/>
    <row r="24" spans="1:2" s="91" customFormat="1"/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/>
  <dimension ref="A1:U65"/>
  <sheetViews>
    <sheetView tabSelected="1" workbookViewId="0">
      <pane ySplit="1" topLeftCell="A2" activePane="bottomLeft" state="frozen"/>
      <selection activeCell="B1" sqref="B1"/>
      <selection pane="bottomLeft"/>
    </sheetView>
  </sheetViews>
  <sheetFormatPr defaultColWidth="11.1796875" defaultRowHeight="13.8"/>
  <cols>
    <col min="1" max="1" width="7.453125" style="10" bestFit="1" customWidth="1"/>
    <col min="2" max="2" width="4.36328125" style="14" bestFit="1" customWidth="1"/>
    <col min="3" max="3" width="25.1796875" style="36" bestFit="1" customWidth="1"/>
    <col min="4" max="4" width="10.08984375" style="36" bestFit="1" customWidth="1"/>
    <col min="5" max="5" width="7.54296875" style="41" bestFit="1" customWidth="1"/>
    <col min="6" max="6" width="8.08984375" style="32" customWidth="1"/>
    <col min="7" max="7" width="25.08984375" style="32" customWidth="1"/>
    <col min="8" max="8" width="33.36328125" style="36" customWidth="1"/>
    <col min="9" max="9" width="20.1796875" style="36" customWidth="1"/>
    <col min="10" max="10" width="5.6328125" style="36" customWidth="1"/>
    <col min="11" max="11" width="5.26953125" style="36" customWidth="1"/>
    <col min="12" max="12" width="4.26953125" style="36" bestFit="1" customWidth="1"/>
    <col min="13" max="13" width="12.7265625" style="36" customWidth="1"/>
    <col min="14" max="17" width="8.81640625" style="36" customWidth="1"/>
    <col min="18" max="18" width="6.6328125" style="36" customWidth="1"/>
    <col min="19" max="21" width="6.6328125" style="32" customWidth="1"/>
    <col min="22" max="34" width="6.6328125" style="10" customWidth="1"/>
    <col min="35" max="36" width="14.453125" style="10" customWidth="1"/>
    <col min="37" max="16384" width="11.1796875" style="10"/>
  </cols>
  <sheetData>
    <row r="1" spans="1:21" s="17" customFormat="1">
      <c r="A1" s="23" t="s">
        <v>36</v>
      </c>
      <c r="B1" s="5" t="s">
        <v>5</v>
      </c>
      <c r="C1" s="123" t="s">
        <v>3</v>
      </c>
      <c r="D1" s="123" t="s">
        <v>4</v>
      </c>
      <c r="E1" s="124" t="s">
        <v>6</v>
      </c>
      <c r="F1" s="125" t="s">
        <v>13</v>
      </c>
      <c r="G1" s="125" t="s">
        <v>7</v>
      </c>
      <c r="H1" s="123" t="s">
        <v>8</v>
      </c>
      <c r="I1" s="35" t="s">
        <v>467</v>
      </c>
      <c r="J1" s="71"/>
      <c r="K1" s="71"/>
      <c r="L1" s="72" t="s">
        <v>468</v>
      </c>
      <c r="M1" s="72" t="s">
        <v>3647</v>
      </c>
      <c r="N1" s="72" t="s">
        <v>470</v>
      </c>
      <c r="O1" s="72" t="s">
        <v>471</v>
      </c>
      <c r="P1" s="72" t="s">
        <v>472</v>
      </c>
      <c r="Q1" s="72" t="s">
        <v>473</v>
      </c>
      <c r="R1" s="72" t="s">
        <v>474</v>
      </c>
      <c r="S1" s="73" t="s">
        <v>475</v>
      </c>
      <c r="T1" s="73"/>
      <c r="U1" s="73"/>
    </row>
    <row r="2" spans="1:21">
      <c r="B2" s="11" t="s">
        <v>14</v>
      </c>
      <c r="C2" s="29" t="s">
        <v>417</v>
      </c>
      <c r="D2" s="30" t="s">
        <v>429</v>
      </c>
      <c r="E2" s="28"/>
      <c r="F2" s="22"/>
      <c r="G2" s="126" t="s">
        <v>476</v>
      </c>
      <c r="I2" s="27"/>
      <c r="J2" s="29"/>
      <c r="K2" s="29"/>
      <c r="M2" s="34"/>
      <c r="N2" s="36" t="str">
        <f t="shared" ref="N2:N10" si="0">"EXEC sp_dropextendedproperty @name = N'MS_Description', @level0type=N'SCHEMA',@level0name=N'"&amp;$L$1&amp;"', @level1type=N'TABLE',@level1name=N'"&amp;$M$1&amp;"', @level2type=N'COLUMN',@level2name=N'"&amp;$C2&amp;"'"</f>
        <v>EXEC sp_dropextendedproperty @name = N'MS_Description', @level0type=N'SCHEMA',@level0name=N'dbo', @level1type=N'TABLE',@level1name=N'LifeIns', @level2type=N'COLUMN',@level2name=N'PlanCode'</v>
      </c>
      <c r="O2" s="36" t="str">
        <f t="shared" ref="O2:O10" si="1">"EXEC sp_dropextendedproperty @name = N'Rule', @level0type=N'SCHEMA',@level0name=N'"&amp;$L$1&amp;"', @level1type=N'TABLE',@level1name=N'"&amp;$M$1&amp;"', @level2type=N'COLUMN',@level2name=N'"&amp;$C2&amp;"'"</f>
        <v>EXEC sp_dropextendedproperty @name = N'Rule', @level0type=N'SCHEMA',@level0name=N'dbo', @level1type=N'TABLE',@level1name=N'LifeIns', @level2type=N'COLUMN',@level2name=N'PlanCode'</v>
      </c>
      <c r="P2" s="36" t="str">
        <f t="shared" ref="P2:P10" si="2">"EXEC sp_dropextendedproperty @name = N'Memo', @level0type=N'SCHEMA',@level0name=N'"&amp;$L$1&amp;"', @level1type=N'TABLE',@level1name=N'"&amp;$M$1&amp;"', @level2type=N'COLUMN',@level2name=N'"&amp;$C2&amp;"'"</f>
        <v>EXEC sp_dropextendedproperty @name = N'Memo', @level0type=N'SCHEMA',@level0name=N'dbo', @level1type=N'TABLE',@level1name=N'LifeIns', @level2type=N'COLUMN',@level2name=N'PlanCode'</v>
      </c>
      <c r="Q2" s="36" t="str">
        <f t="shared" ref="Q2:Q10" si="3">"set @OldWording = N'"&amp;SUBSTITUTE($G2,CHAR(10),"")&amp;"'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@level2type=N'COLUMN',@level2name=N'"&amp;$C2&amp;"'"</f>
        <v>set @OldWording = N'險種代碼' set @NewWording = REPLACE(@OldWording,'***',char(13)+char(10)) EXEC sys.sp_addextendedproperty @name=N'MS_Description', @value=@NewWording , @level0type=N'SCHEMA',@level0name=N'dbo', @level1type=N'TABLE',@level1name=N'LifeIns', @level2type=N'COLUMN',@level2name=N'PlanCode'</v>
      </c>
      <c r="R2" s="32" t="str">
        <f t="shared" ref="R2:R10" si="4">"set @OldWording = N'"&amp;SUBSTITUTE($H2,CHAR(10),"")&amp;"'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@name=N'Rule', @value=@NewWording , @level0type=N'SCHEMA',@level0name=N'dbo', @level1type=N'TABLE',@level1name=N'LifeIns', @level2type=N'COLUMN',@level2name=N'PlanCode'</v>
      </c>
      <c r="S2" s="36" t="str">
        <f t="shared" ref="S2:S10" si="5">"set @OldWording = N'"&amp;SUBSTITUTE($I2,CHAR(10),"")&amp;"' set @NewWording = REPLACE(@OldWording,'***',char(13)+char(10)) "&amp;"EXEC sys.sp_addextendedproperty @name=N'Memo',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@name=N'Memo', @value=@NewWording , @level0type=N'SCHEMA',@level0name=N'dbo', @level1type=N'TABLE',@level1name=N'LifeIns', @level2type=N'COLUMN',@level2name=N'PlanCode'</v>
      </c>
    </row>
    <row r="3" spans="1:21">
      <c r="B3" s="11"/>
      <c r="C3" s="29" t="s">
        <v>752</v>
      </c>
      <c r="D3" s="30" t="s">
        <v>111</v>
      </c>
      <c r="E3" s="28"/>
      <c r="F3" s="22"/>
      <c r="G3" s="126" t="s">
        <v>477</v>
      </c>
      <c r="I3" s="27"/>
      <c r="J3" s="29"/>
      <c r="K3" s="29"/>
      <c r="N3" s="36" t="str">
        <f t="shared" si="0"/>
        <v>EXEC sp_dropextendedproperty @name = N'MS_Description', @level0type=N'SCHEMA',@level0name=N'dbo', @level1type=N'TABLE',@level1name=N'LifeIns', @level2type=N'COLUMN',@level2name=N'DispPlanCode'</v>
      </c>
      <c r="O3" s="36" t="str">
        <f t="shared" si="1"/>
        <v>EXEC sp_dropextendedproperty @name = N'Rule', @level0type=N'SCHEMA',@level0name=N'dbo', @level1type=N'TABLE',@level1name=N'LifeIns', @level2type=N'COLUMN',@level2name=N'DispPlanCode'</v>
      </c>
      <c r="P3" s="36" t="str">
        <f t="shared" si="2"/>
        <v>EXEC sp_dropextendedproperty @name = N'Memo', @level0type=N'SCHEMA',@level0name=N'dbo', @level1type=N'TABLE',@level1name=N'LifeIns', @level2type=N'COLUMN',@level2name=N'DispPlanCode'</v>
      </c>
      <c r="Q3" s="36" t="str">
        <f t="shared" si="3"/>
        <v>set @OldWording = N'顯示險種代碼' set @NewWording = REPLACE(@OldWording,'***',char(13)+char(10)) EXEC sys.sp_addextendedproperty @name=N'MS_Description', @value=@NewWording , @level0type=N'SCHEMA',@level0name=N'dbo', @level1type=N'TABLE',@level1name=N'LifeIns', @level2type=N'COLUMN',@level2name=N'DispPlanCode'</v>
      </c>
      <c r="R3" s="32" t="str">
        <f t="shared" si="4"/>
        <v>set @OldWording = N'' set @NewWording = REPLACE(@OldWording,'***',char(13)+char(10)) EXEC sys.sp_addextendedproperty @name=N'Rule', @value=@NewWording , @level0type=N'SCHEMA',@level0name=N'dbo', @level1type=N'TABLE',@level1name=N'LifeIns', @level2type=N'COLUMN',@level2name=N'DispPlanCode'</v>
      </c>
      <c r="S3" s="36" t="str">
        <f t="shared" si="5"/>
        <v>set @OldWording = N'' set @NewWording = REPLACE(@OldWording,'***',char(13)+char(10)) EXEC sys.sp_addextendedproperty @name=N'Memo', @value=@NewWording , @level0type=N'SCHEMA',@level0name=N'dbo', @level1type=N'TABLE',@level1name=N'LifeIns', @level2type=N'COLUMN',@level2name=N'DispPlanCode'</v>
      </c>
    </row>
    <row r="4" spans="1:21">
      <c r="B4" s="11"/>
      <c r="C4" s="29" t="s">
        <v>753</v>
      </c>
      <c r="D4" s="30" t="s">
        <v>155</v>
      </c>
      <c r="E4" s="28"/>
      <c r="F4" s="22"/>
      <c r="G4" s="22" t="s">
        <v>754</v>
      </c>
      <c r="H4" s="29"/>
      <c r="I4" s="29"/>
      <c r="J4" s="29"/>
      <c r="K4" s="29"/>
      <c r="N4" s="36" t="str">
        <f t="shared" si="0"/>
        <v>EXEC sp_dropextendedproperty @name = N'MS_Description', @level0type=N'SCHEMA',@level0name=N'dbo', @level1type=N'TABLE',@level1name=N'LifeIns', @level2type=N'COLUMN',@level2name=N'DispPlanName'</v>
      </c>
      <c r="O4" s="36" t="str">
        <f t="shared" si="1"/>
        <v>EXEC sp_dropextendedproperty @name = N'Rule', @level0type=N'SCHEMA',@level0name=N'dbo', @level1type=N'TABLE',@level1name=N'LifeIns', @level2type=N'COLUMN',@level2name=N'DispPlanName'</v>
      </c>
      <c r="P4" s="36" t="str">
        <f t="shared" si="2"/>
        <v>EXEC sp_dropextendedproperty @name = N'Memo', @level0type=N'SCHEMA',@level0name=N'dbo', @level1type=N'TABLE',@level1name=N'LifeIns', @level2type=N'COLUMN',@level2name=N'DispPlanName'</v>
      </c>
      <c r="Q4" s="36" t="str">
        <f t="shared" si="3"/>
        <v>set @OldWording = N'顯示險種名稱' set @NewWording = REPLACE(@OldWording,'***',char(13)+char(10)) EXEC sys.sp_addextendedproperty @name=N'MS_Description', @value=@NewWording , @level0type=N'SCHEMA',@level0name=N'dbo', @level1type=N'TABLE',@level1name=N'LifeIns', @level2type=N'COLUMN',@level2name=N'DispPlanName'</v>
      </c>
      <c r="R4" s="32" t="str">
        <f t="shared" si="4"/>
        <v>set @OldWording = N'' set @NewWording = REPLACE(@OldWording,'***',char(13)+char(10)) EXEC sys.sp_addextendedproperty @name=N'Rule', @value=@NewWording , @level0type=N'SCHEMA',@level0name=N'dbo', @level1type=N'TABLE',@level1name=N'LifeIns', @level2type=N'COLUMN',@level2name=N'DispPlanName'</v>
      </c>
      <c r="S4" s="36" t="str">
        <f t="shared" si="5"/>
        <v>set @OldWording = N'' set @NewWording = REPLACE(@OldWording,'***',char(13)+char(10)) EXEC sys.sp_addextendedproperty @name=N'Memo', @value=@NewWording , @level0type=N'SCHEMA',@level0name=N'dbo', @level1type=N'TABLE',@level1name=N'LifeIns', @level2type=N'COLUMN',@level2name=N'DispPlanName'</v>
      </c>
    </row>
    <row r="5" spans="1:21" s="32" customFormat="1">
      <c r="B5" s="28"/>
      <c r="C5" s="29" t="s">
        <v>82</v>
      </c>
      <c r="D5" s="36" t="s">
        <v>2992</v>
      </c>
      <c r="E5" s="28"/>
      <c r="F5" s="22"/>
      <c r="G5" s="22" t="s">
        <v>430</v>
      </c>
      <c r="H5" s="29"/>
      <c r="I5" s="27" t="s">
        <v>469</v>
      </c>
      <c r="J5" s="27"/>
      <c r="K5" s="27"/>
      <c r="L5" s="36"/>
      <c r="M5" s="36"/>
      <c r="N5" s="36" t="str">
        <f t="shared" si="0"/>
        <v>EXEC sp_dropextendedproperty @name = N'MS_Description', @level0type=N'SCHEMA',@level0name=N'dbo', @level1type=N'TABLE',@level1name=N'LifeIns', @level2type=N'COLUMN',@level2name=N'PlanType'</v>
      </c>
      <c r="O5" s="36" t="str">
        <f t="shared" si="1"/>
        <v>EXEC sp_dropextendedproperty @name = N'Rule', @level0type=N'SCHEMA',@level0name=N'dbo', @level1type=N'TABLE',@level1name=N'LifeIns', @level2type=N'COLUMN',@level2name=N'PlanType'</v>
      </c>
      <c r="P5" s="36" t="str">
        <f t="shared" si="2"/>
        <v>EXEC sp_dropextendedproperty @name = N'Memo', @level0type=N'SCHEMA',@level0name=N'dbo', @level1type=N'TABLE',@level1name=N'LifeIns', @level2type=N'COLUMN',@level2name=N'PlanType'</v>
      </c>
      <c r="Q5" s="36" t="str">
        <f t="shared" si="3"/>
        <v>set @OldWording = N'險種類型' set @NewWording = REPLACE(@OldWording,'***',char(13)+char(10)) EXEC sys.sp_addextendedproperty @name=N'MS_Description', @value=@NewWording , @level0type=N'SCHEMA',@level0name=N'dbo', @level1type=N'TABLE',@level1name=N'LifeIns', @level2type=N'COLUMN',@level2name=N'PlanType'</v>
      </c>
      <c r="R5" s="32" t="str">
        <f t="shared" si="4"/>
        <v>set @OldWording = N'' set @NewWording = REPLACE(@OldWording,'***',char(13)+char(10)) EXEC sys.sp_addextendedproperty @name=N'Rule', @value=@NewWording , @level0type=N'SCHEMA',@level0name=N'dbo', @level1type=N'TABLE',@level1name=N'LifeIns', @level2type=N'COLUMN',@level2name=N'PlanType'</v>
      </c>
      <c r="S5" s="36" t="str">
        <f t="shared" si="5"/>
        <v>set @OldWording = N'PPL.000.002' set @NewWording = REPLACE(@OldWording,'***',char(13)+char(10)) EXEC sys.sp_addextendedproperty @name=N'Memo', @value=@NewWording , @level0type=N'SCHEMA',@level0name=N'dbo', @level1type=N'TABLE',@level1name=N'LifeIns', @level2type=N'COLUMN',@level2name=N'PlanType'</v>
      </c>
    </row>
    <row r="6" spans="1:21">
      <c r="C6" s="36" t="s">
        <v>418</v>
      </c>
      <c r="D6" s="36" t="s">
        <v>15</v>
      </c>
      <c r="E6" s="28"/>
      <c r="G6" s="32" t="s">
        <v>83</v>
      </c>
      <c r="H6" s="29"/>
      <c r="I6" s="27" t="s">
        <v>263</v>
      </c>
      <c r="J6" s="34"/>
      <c r="K6" s="34"/>
      <c r="N6" s="36" t="str">
        <f t="shared" si="0"/>
        <v>EXEC sp_dropextendedproperty @name = N'MS_Description', @level0type=N'SCHEMA',@level0name=N'dbo', @level1type=N'TABLE',@level1name=N'LifeIns', @level2type=N'COLUMN',@level2name=N'DispPlanType'</v>
      </c>
      <c r="O6" s="36" t="str">
        <f t="shared" si="1"/>
        <v>EXEC sp_dropextendedproperty @name = N'Rule', @level0type=N'SCHEMA',@level0name=N'dbo', @level1type=N'TABLE',@level1name=N'LifeIns', @level2type=N'COLUMN',@level2name=N'DispPlanType'</v>
      </c>
      <c r="P6" s="36" t="str">
        <f t="shared" si="2"/>
        <v>EXEC sp_dropextendedproperty @name = N'Memo', @level0type=N'SCHEMA',@level0name=N'dbo', @level1type=N'TABLE',@level1name=N'LifeIns', @level2type=N'COLUMN',@level2name=N'DispPlanType'</v>
      </c>
      <c r="Q6" s="36" t="str">
        <f t="shared" si="3"/>
        <v>set @OldWording = N'顯示險種類型' set @NewWording = REPLACE(@OldWording,'***',char(13)+char(10)) EXEC sys.sp_addextendedproperty @name=N'MS_Description', @value=@NewWording , @level0type=N'SCHEMA',@level0name=N'dbo', @level1type=N'TABLE',@level1name=N'LifeIns', @level2type=N'COLUMN',@level2name=N'DispPlanType'</v>
      </c>
      <c r="R6" s="32" t="str">
        <f t="shared" si="4"/>
        <v>set @OldWording = N'' set @NewWording = REPLACE(@OldWording,'***',char(13)+char(10)) EXEC sys.sp_addextendedproperty @name=N'Rule', @value=@NewWording , @level0type=N'SCHEMA',@level0name=N'dbo', @level1type=N'TABLE',@level1name=N'LifeIns', @level2type=N'COLUMN',@level2name=N'DispPlanType'</v>
      </c>
      <c r="S6" s="36" t="str">
        <f t="shared" si="5"/>
        <v>set @OldWording = N'PPL.000.003' set @NewWording = REPLACE(@OldWording,'***',char(13)+char(10)) EXEC sys.sp_addextendedproperty @name=N'Memo', @value=@NewWording , @level0type=N'SCHEMA',@level0name=N'dbo', @level1type=N'TABLE',@level1name=N'LifeIns', @level2type=N'COLUMN',@level2name=N'DispPlanType'</v>
      </c>
    </row>
    <row r="7" spans="1:21" s="91" customFormat="1">
      <c r="B7" s="108"/>
      <c r="C7" s="36" t="s">
        <v>5003</v>
      </c>
      <c r="D7" s="29" t="s">
        <v>21</v>
      </c>
      <c r="E7" s="28"/>
      <c r="F7" s="32"/>
      <c r="G7" s="32" t="s">
        <v>5004</v>
      </c>
      <c r="H7" s="29" t="s">
        <v>4727</v>
      </c>
      <c r="I7" s="27" t="s">
        <v>4699</v>
      </c>
      <c r="J7" s="104"/>
      <c r="K7" s="104"/>
      <c r="L7" s="37"/>
      <c r="M7" s="37"/>
      <c r="N7" s="37" t="str">
        <f t="shared" si="0"/>
        <v>EXEC sp_dropextendedproperty @name = N'MS_Description', @level0type=N'SCHEMA',@level0name=N'dbo', @level1type=N'TABLE',@level1name=N'LifeIns', @level2type=N'COLUMN',@level2name=N'PayGoType'</v>
      </c>
      <c r="O7" s="37" t="str">
        <f t="shared" si="1"/>
        <v>EXEC sp_dropextendedproperty @name = N'Rule', @level0type=N'SCHEMA',@level0name=N'dbo', @level1type=N'TABLE',@level1name=N'LifeIns', @level2type=N'COLUMN',@level2name=N'PayGoType'</v>
      </c>
      <c r="P7" s="37" t="str">
        <f t="shared" si="2"/>
        <v>EXEC sp_dropextendedproperty @name = N'Memo', @level0type=N'SCHEMA',@level0name=N'dbo', @level1type=N'TABLE',@level1name=N'LifeIns', @level2type=N'COLUMN',@level2name=N'PayGoType'</v>
      </c>
      <c r="Q7" s="37"/>
      <c r="R7" s="91" t="str">
        <f t="shared" si="4"/>
        <v>set @OldWording = N'檢查本欄為設定值&gt;0的商品，不可重複。' set @NewWording = REPLACE(@OldWording,'***',char(13)+char(10)) EXEC sys.sp_addextendedproperty @name=N'Rule', @value=@NewWording , @level0type=N'SCHEMA',@level0name=N'dbo', @level1type=N'TABLE',@level1name=N'LifeIns', @level2type=N'COLUMN',@level2name=N'PayGoType'</v>
      </c>
      <c r="S7" s="37"/>
    </row>
    <row r="8" spans="1:21" s="32" customFormat="1">
      <c r="B8" s="28"/>
      <c r="C8" s="29" t="s">
        <v>3730</v>
      </c>
      <c r="D8" s="29" t="s">
        <v>126</v>
      </c>
      <c r="E8" s="28"/>
      <c r="F8" s="22"/>
      <c r="G8" s="22" t="s">
        <v>125</v>
      </c>
      <c r="H8" s="29" t="s">
        <v>597</v>
      </c>
      <c r="I8" s="27"/>
      <c r="J8" s="27"/>
      <c r="K8" s="27"/>
      <c r="L8" s="36"/>
      <c r="M8" s="36"/>
      <c r="N8" s="36"/>
      <c r="O8" s="36"/>
      <c r="P8" s="36"/>
      <c r="Q8" s="36"/>
      <c r="S8" s="36"/>
    </row>
    <row r="9" spans="1:21" s="32" customFormat="1">
      <c r="B9" s="28"/>
      <c r="C9" s="29" t="s">
        <v>123</v>
      </c>
      <c r="D9" s="29" t="s">
        <v>126</v>
      </c>
      <c r="E9" s="28"/>
      <c r="F9" s="22"/>
      <c r="G9" s="22" t="s">
        <v>124</v>
      </c>
      <c r="H9" s="29" t="s">
        <v>598</v>
      </c>
      <c r="I9" s="27"/>
      <c r="J9" s="27"/>
      <c r="K9" s="27"/>
      <c r="L9" s="36"/>
      <c r="M9" s="36"/>
      <c r="N9" s="36"/>
      <c r="O9" s="36"/>
      <c r="P9" s="36"/>
      <c r="Q9" s="36"/>
      <c r="S9" s="36"/>
    </row>
    <row r="10" spans="1:21" s="32" customFormat="1">
      <c r="B10" s="28"/>
      <c r="C10" s="29" t="s">
        <v>3716</v>
      </c>
      <c r="D10" s="29" t="s">
        <v>21</v>
      </c>
      <c r="E10" s="28"/>
      <c r="F10" s="22"/>
      <c r="G10" s="22" t="s">
        <v>431</v>
      </c>
      <c r="H10" s="29"/>
      <c r="I10" s="27" t="s">
        <v>549</v>
      </c>
      <c r="J10" s="27"/>
      <c r="K10" s="27"/>
      <c r="L10" s="36"/>
      <c r="M10" s="36"/>
      <c r="N10" s="36" t="str">
        <f t="shared" si="0"/>
        <v>EXEC sp_dropextendedproperty @name = N'MS_Description', @level0type=N'SCHEMA',@level0name=N'dbo', @level1type=N'TABLE',@level1name=N'LifeIns', @level2type=N'COLUMN',@level2name=N'IsMain'</v>
      </c>
      <c r="O10" s="36" t="str">
        <f t="shared" si="1"/>
        <v>EXEC sp_dropextendedproperty @name = N'Rule', @level0type=N'SCHEMA',@level0name=N'dbo', @level1type=N'TABLE',@level1name=N'LifeIns', @level2type=N'COLUMN',@level2name=N'IsMain'</v>
      </c>
      <c r="P10" s="36" t="str">
        <f t="shared" si="2"/>
        <v>EXEC sp_dropextendedproperty @name = N'Memo', @level0type=N'SCHEMA',@level0name=N'dbo', @level1type=N'TABLE',@level1name=N'LifeIns', @level2type=N'COLUMN',@level2name=N'IsMain'</v>
      </c>
      <c r="Q10" s="36" t="str">
        <f t="shared" si="3"/>
        <v>set @OldWording = N'是否為主約' set @NewWording = REPLACE(@OldWording,'***',char(13)+char(10)) EXEC sys.sp_addextendedproperty @name=N'MS_Description', @value=@NewWording , @level0type=N'SCHEMA',@level0name=N'dbo', @level1type=N'TABLE',@level1name=N'LifeIns', @level2type=N'COLUMN',@level2name=N'IsMain'</v>
      </c>
      <c r="R10" s="32" t="str">
        <f t="shared" si="4"/>
        <v>set @OldWording = N'' set @NewWording = REPLACE(@OldWording,'***',char(13)+char(10)) EXEC sys.sp_addextendedproperty @name=N'Rule', @value=@NewWording , @level0type=N'SCHEMA',@level0name=N'dbo', @level1type=N'TABLE',@level1name=N'LifeIns', @level2type=N'COLUMN',@level2name=N'IsMain'</v>
      </c>
      <c r="S10" s="36" t="str">
        <f t="shared" si="5"/>
        <v>set @OldWording = N'PPL.000.001' set @NewWording = REPLACE(@OldWording,'***',char(13)+char(10)) EXEC sys.sp_addextendedproperty @name=N'Memo', @value=@NewWording , @level0type=N'SCHEMA',@level0name=N'dbo', @level1type=N'TABLE',@level1name=N'LifeIns', @level2type=N'COLUMN',@level2name=N'IsMain'</v>
      </c>
    </row>
    <row r="11" spans="1:21">
      <c r="B11" s="11"/>
      <c r="C11" s="29" t="s">
        <v>3726</v>
      </c>
      <c r="D11" s="29" t="s">
        <v>77</v>
      </c>
      <c r="E11" s="28"/>
      <c r="F11" s="22"/>
      <c r="G11" s="22" t="s">
        <v>76</v>
      </c>
      <c r="H11" s="36" t="s">
        <v>3727</v>
      </c>
      <c r="I11" s="27" t="s">
        <v>264</v>
      </c>
      <c r="J11" s="27"/>
      <c r="K11" s="27"/>
      <c r="N11" s="36" t="str">
        <f t="shared" ref="N11:N16" si="6">"EXEC sp_dropextendedproperty @name = N'MS_Description', @level0type=N'SCHEMA',@level0name=N'"&amp;$L$1&amp;"', @level1type=N'TABLE',@level1name=N'"&amp;$M$1&amp;"', @level2type=N'COLUMN',@level2name=N'"&amp;$C11&amp;"'"</f>
        <v>EXEC sp_dropextendedproperty @name = N'MS_Description', @level0type=N'SCHEMA',@level0name=N'dbo', @level1type=N'TABLE',@level1name=N'LifeIns', @level2type=N'COLUMN',@level2name=N'IsMultiKind'</v>
      </c>
      <c r="O11" s="36" t="str">
        <f t="shared" ref="O11:O16" si="7">"EXEC sp_dropextendedproperty @name = N'Rule', @level0type=N'SCHEMA',@level0name=N'"&amp;$L$1&amp;"', @level1type=N'TABLE',@level1name=N'"&amp;$M$1&amp;"', @level2type=N'COLUMN',@level2name=N'"&amp;$C11&amp;"'"</f>
        <v>EXEC sp_dropextendedproperty @name = N'Rule', @level0type=N'SCHEMA',@level0name=N'dbo', @level1type=N'TABLE',@level1name=N'LifeIns', @level2type=N'COLUMN',@level2name=N'IsMultiKind'</v>
      </c>
      <c r="P11" s="36" t="str">
        <f t="shared" ref="P11:P16" si="8">"EXEC sp_dropextendedproperty @name = N'Memo', @level0type=N'SCHEMA',@level0name=N'"&amp;$L$1&amp;"', @level1type=N'TABLE',@level1name=N'"&amp;$M$1&amp;"', @level2type=N'COLUMN',@level2name=N'"&amp;$C11&amp;"'"</f>
        <v>EXEC sp_dropextendedproperty @name = N'Memo', @level0type=N'SCHEMA',@level0name=N'dbo', @level1type=N'TABLE',@level1name=N'LifeIns', @level2type=N'COLUMN',@level2name=N'IsMultiKind'</v>
      </c>
      <c r="Q11" s="36" t="str">
        <f t="shared" ref="Q11:Q16" si="9">"set @OldWording = N'"&amp;SUBSTITUTE($G11,CHAR(10),"")&amp;"'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@level2type=N'COLUMN',@level2name=N'"&amp;$C11&amp;"'"</f>
        <v>set @OldWording = N'是否為多型別' set @NewWording = REPLACE(@OldWording,'***',char(13)+char(10)) EXEC sys.sp_addextendedproperty @name=N'MS_Description', @value=@NewWording , @level0type=N'SCHEMA',@level0name=N'dbo', @level1type=N'TABLE',@level1name=N'LifeIns', @level2type=N'COLUMN',@level2name=N'IsMultiKind'</v>
      </c>
      <c r="R11" s="32" t="str">
        <f t="shared" ref="R11:R16" si="10">"set @OldWording = N'"&amp;SUBSTITUTE($H11,CHAR(10),"")&amp;"'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@level2type=N'COLUMN',@level2name=N'"&amp;$C11&amp;"'"</f>
        <v>set @OldWording = N'預留結構***IsMultiKind=Y，  搭配dbo.LifeInsMultiKind設定' set @NewWording = REPLACE(@OldWording,'***',char(13)+char(10)) EXEC sys.sp_addextendedproperty @name=N'Rule', @value=@NewWording , @level0type=N'SCHEMA',@level0name=N'dbo', @level1type=N'TABLE',@level1name=N'LifeIns', @level2type=N'COLUMN',@level2name=N'IsMultiKind'</v>
      </c>
      <c r="S11" s="36" t="str">
        <f t="shared" ref="S11:S16" si="11">"set @OldWording = N'"&amp;SUBSTITUTE($I11,CHAR(10),"")&amp;"' set @NewWording = REPLACE(@OldWording,'***',char(13)+char(10)) "&amp;"EXEC sys.sp_addextendedproperty @name=N'Memo', @value=@NewWording , @level0type=N'SCHEMA',@level0name=N'"&amp;$L$1&amp;"', @level1type=N'TABLE',@level1name=N'"&amp;$M$1&amp;"', @level2type=N'COLUMN',@level2name=N'"&amp;$C11&amp;"'"</f>
        <v>set @OldWording = N'PPL.000.001' set @NewWording = REPLACE(@OldWording,'***',char(13)+char(10)) EXEC sys.sp_addextendedproperty @name=N'Memo', @value=@NewWording , @level0type=N'SCHEMA',@level0name=N'dbo', @level1type=N'TABLE',@level1name=N'LifeIns', @level2type=N'COLUMN',@level2name=N'IsMultiKind'</v>
      </c>
    </row>
    <row r="12" spans="1:21">
      <c r="C12" s="36" t="s">
        <v>3718</v>
      </c>
      <c r="D12" s="36" t="s">
        <v>21</v>
      </c>
      <c r="G12" s="32" t="s">
        <v>432</v>
      </c>
      <c r="H12" s="36" t="s">
        <v>3725</v>
      </c>
      <c r="I12" s="27" t="s">
        <v>264</v>
      </c>
      <c r="N12" s="36" t="str">
        <f t="shared" si="6"/>
        <v>EXEC sp_dropextendedproperty @name = N'MS_Description', @level0type=N'SCHEMA',@level0name=N'dbo', @level1type=N'TABLE',@level1name=N'LifeIns', @level2type=N'COLUMN',@level2name=N'IsMultiCuy'</v>
      </c>
      <c r="O12" s="36" t="str">
        <f t="shared" si="7"/>
        <v>EXEC sp_dropextendedproperty @name = N'Rule', @level0type=N'SCHEMA',@level0name=N'dbo', @level1type=N'TABLE',@level1name=N'LifeIns', @level2type=N'COLUMN',@level2name=N'IsMultiCuy'</v>
      </c>
      <c r="P12" s="36" t="str">
        <f t="shared" si="8"/>
        <v>EXEC sp_dropextendedproperty @name = N'Memo', @level0type=N'SCHEMA',@level0name=N'dbo', @level1type=N'TABLE',@level1name=N'LifeIns', @level2type=N'COLUMN',@level2name=N'IsMultiCuy'</v>
      </c>
      <c r="Q12" s="36" t="str">
        <f t="shared" si="9"/>
        <v>set @OldWording = N'是否為多幣別' set @NewWording = REPLACE(@OldWording,'***',char(13)+char(10)) EXEC sys.sp_addextendedproperty @name=N'MS_Description', @value=@NewWording , @level0type=N'SCHEMA',@level0name=N'dbo', @level1type=N'TABLE',@level1name=N'LifeIns', @level2type=N'COLUMN',@level2name=N'IsMultiCuy'</v>
      </c>
      <c r="R12" s="32" t="str">
        <f t="shared" si="10"/>
        <v>set @OldWording = N'預留結構***IsMultiCuy=Y，搭配dbo.LifeInsMultiCuy設定' set @NewWording = REPLACE(@OldWording,'***',char(13)+char(10)) EXEC sys.sp_addextendedproperty @name=N'Rule', @value=@NewWording , @level0type=N'SCHEMA',@level0name=N'dbo', @level1type=N'TABLE',@level1name=N'LifeIns', @level2type=N'COLUMN',@level2name=N'IsMultiCuy'</v>
      </c>
      <c r="S12" s="36" t="str">
        <f t="shared" si="11"/>
        <v>set @OldWording = N'PPL.000.001' set @NewWording = REPLACE(@OldWording,'***',char(13)+char(10)) EXEC sys.sp_addextendedproperty @name=N'Memo', @value=@NewWording , @level0type=N'SCHEMA',@level0name=N'dbo', @level1type=N'TABLE',@level1name=N'LifeIns', @level2type=N'COLUMN',@level2name=N'IsMultiCuy'</v>
      </c>
    </row>
    <row r="13" spans="1:21">
      <c r="C13" s="36" t="s">
        <v>419</v>
      </c>
      <c r="D13" s="36" t="s">
        <v>112</v>
      </c>
      <c r="G13" s="32" t="s">
        <v>433</v>
      </c>
      <c r="H13" s="36" t="s">
        <v>3005</v>
      </c>
      <c r="I13" s="27" t="s">
        <v>386</v>
      </c>
      <c r="N13" s="36" t="str">
        <f t="shared" si="6"/>
        <v>EXEC sp_dropextendedproperty @name = N'MS_Description', @level0type=N'SCHEMA',@level0name=N'dbo', @level1type=N'TABLE',@level1name=N'LifeIns', @level2type=N'COLUMN',@level2name=N'Cuy'</v>
      </c>
      <c r="O13" s="36" t="str">
        <f t="shared" si="7"/>
        <v>EXEC sp_dropextendedproperty @name = N'Rule', @level0type=N'SCHEMA',@level0name=N'dbo', @level1type=N'TABLE',@level1name=N'LifeIns', @level2type=N'COLUMN',@level2name=N'Cuy'</v>
      </c>
      <c r="P13" s="36" t="str">
        <f t="shared" si="8"/>
        <v>EXEC sp_dropextendedproperty @name = N'Memo', @level0type=N'SCHEMA',@level0name=N'dbo', @level1type=N'TABLE',@level1name=N'LifeIns', @level2type=N'COLUMN',@level2name=N'Cuy'</v>
      </c>
      <c r="Q13" s="36" t="str">
        <f t="shared" si="9"/>
        <v>set @OldWording = N'幣別' set @NewWording = REPLACE(@OldWording,'***',char(13)+char(10)) EXEC sys.sp_addextendedproperty @name=N'MS_Description', @value=@NewWording , @level0type=N'SCHEMA',@level0name=N'dbo', @level1type=N'TABLE',@level1name=N'LifeIns', @level2type=N'COLUMN',@level2name=N'Cuy'</v>
      </c>
      <c r="R13" s="32" t="str">
        <f t="shared" si="10"/>
        <v>set @OldWording = N'單一幣別=該險種幣別***多幣別=預設幣別，並讀取dbo.LifeInsPlanMulCuy設定' set @NewWording = REPLACE(@OldWording,'***',char(13)+char(10)) EXEC sys.sp_addextendedproperty @name=N'Rule', @value=@NewWording , @level0type=N'SCHEMA',@level0name=N'dbo', @level1type=N'TABLE',@level1name=N'LifeIns', @level2type=N'COLUMN',@level2name=N'Cuy'</v>
      </c>
      <c r="S13" s="36" t="str">
        <f t="shared" si="11"/>
        <v>set @OldWording = N'PPL.000.014' set @NewWording = REPLACE(@OldWording,'***',char(13)+char(10)) EXEC sys.sp_addextendedproperty @name=N'Memo', @value=@NewWording , @level0type=N'SCHEMA',@level0name=N'dbo', @level1type=N'TABLE',@level1name=N'LifeIns', @level2type=N'COLUMN',@level2name=N'Cuy'</v>
      </c>
    </row>
    <row r="14" spans="1:21">
      <c r="B14" s="11"/>
      <c r="C14" s="29" t="s">
        <v>3719</v>
      </c>
      <c r="D14" s="29" t="s">
        <v>119</v>
      </c>
      <c r="E14" s="28"/>
      <c r="F14" s="22"/>
      <c r="G14" s="22" t="s">
        <v>434</v>
      </c>
      <c r="H14" s="29" t="s">
        <v>266</v>
      </c>
      <c r="I14" s="27" t="s">
        <v>265</v>
      </c>
      <c r="J14" s="27"/>
      <c r="K14" s="27"/>
      <c r="N14" s="36" t="str">
        <f t="shared" si="6"/>
        <v>EXEC sp_dropextendedproperty @name = N'MS_Description', @level0type=N'SCHEMA',@level0name=N'dbo', @level1type=N'TABLE',@level1name=N'LifeIns', @level2type=N'COLUMN',@level2name=N'InsObject'</v>
      </c>
      <c r="O14" s="36" t="str">
        <f t="shared" si="7"/>
        <v>EXEC sp_dropextendedproperty @name = N'Rule', @level0type=N'SCHEMA',@level0name=N'dbo', @level1type=N'TABLE',@level1name=N'LifeIns', @level2type=N'COLUMN',@level2name=N'InsObject'</v>
      </c>
      <c r="P14" s="36" t="str">
        <f t="shared" si="8"/>
        <v>EXEC sp_dropextendedproperty @name = N'Memo', @level0type=N'SCHEMA',@level0name=N'dbo', @level1type=N'TABLE',@level1name=N'LifeIns', @level2type=N'COLUMN',@level2name=N'InsObject'</v>
      </c>
      <c r="Q14" s="36" t="str">
        <f t="shared" si="9"/>
        <v>set @OldWording = N'投保對象' set @NewWording = REPLACE(@OldWording,'***',char(13)+char(10)) EXEC sys.sp_addextendedproperty @name=N'MS_Description', @value=@NewWording , @level0type=N'SCHEMA',@level0name=N'dbo', @level1type=N'TABLE',@level1name=N'LifeIns', @level2type=N'COLUMN',@level2name=N'InsObject'</v>
      </c>
      <c r="R14" s="32" t="str">
        <f t="shared" si="10"/>
        <v>set @OldWording = N'多筆以|符號分隔，例如：1|2|3|4' set @NewWording = REPLACE(@OldWording,'***',char(13)+char(10)) EXEC sys.sp_addextendedproperty @name=N'Rule', @value=@NewWording , @level0type=N'SCHEMA',@level0name=N'dbo', @level1type=N'TABLE',@level1name=N'LifeIns', @level2type=N'COLUMN',@level2name=N'InsObject'</v>
      </c>
      <c r="S14" s="36" t="str">
        <f t="shared" si="11"/>
        <v>set @OldWording = N'PPL.000.005' set @NewWording = REPLACE(@OldWording,'***',char(13)+char(10)) EXEC sys.sp_addextendedproperty @name=N'Memo', @value=@NewWording , @level0type=N'SCHEMA',@level0name=N'dbo', @level1type=N'TABLE',@level1name=N'LifeIns', @level2type=N'COLUMN',@level2name=N'InsObject'</v>
      </c>
    </row>
    <row r="15" spans="1:21">
      <c r="B15" s="11"/>
      <c r="C15" s="29" t="s">
        <v>22</v>
      </c>
      <c r="D15" s="29" t="s">
        <v>21</v>
      </c>
      <c r="E15" s="28" t="s">
        <v>16</v>
      </c>
      <c r="F15" s="22"/>
      <c r="G15" s="22" t="s">
        <v>3606</v>
      </c>
      <c r="H15" s="29" t="s">
        <v>2990</v>
      </c>
      <c r="I15" s="27" t="s">
        <v>264</v>
      </c>
      <c r="J15" s="27"/>
      <c r="K15" s="27"/>
      <c r="N15" s="36" t="str">
        <f t="shared" si="6"/>
        <v>EXEC sp_dropextendedproperty @name = N'MS_Description', @level0type=N'SCHEMA',@level0name=N'dbo', @level1type=N'TABLE',@level1name=N'LifeIns', @level2type=N'COLUMN',@level2name=N'IsSamePerson'</v>
      </c>
      <c r="O15" s="36" t="str">
        <f t="shared" si="7"/>
        <v>EXEC sp_dropextendedproperty @name = N'Rule', @level0type=N'SCHEMA',@level0name=N'dbo', @level1type=N'TABLE',@level1name=N'LifeIns', @level2type=N'COLUMN',@level2name=N'IsSamePerson'</v>
      </c>
      <c r="P15" s="36" t="str">
        <f t="shared" si="8"/>
        <v>EXEC sp_dropextendedproperty @name = N'Memo', @level0type=N'SCHEMA',@level0name=N'dbo', @level1type=N'TABLE',@level1name=N'LifeIns', @level2type=N'COLUMN',@level2name=N'IsSamePerson'</v>
      </c>
      <c r="Q15" s="36" t="str">
        <f t="shared" si="9"/>
        <v>set @OldWording = N'要被保人同一人' set @NewWording = REPLACE(@OldWording,'***',char(13)+char(10)) EXEC sys.sp_addextendedproperty @name=N'MS_Description', @value=@NewWording , @level0type=N'SCHEMA',@level0name=N'dbo', @level1type=N'TABLE',@level1name=N'LifeIns', @level2type=N'COLUMN',@level2name=N'IsSamePerson'</v>
      </c>
      <c r="R15" s="32" t="str">
        <f t="shared" si="10"/>
        <v>set @OldWording = N'豁免附約欄位' set @NewWording = REPLACE(@OldWording,'***',char(13)+char(10)) EXEC sys.sp_addextendedproperty @name=N'Rule', @value=@NewWording , @level0type=N'SCHEMA',@level0name=N'dbo', @level1type=N'TABLE',@level1name=N'LifeIns', @level2type=N'COLUMN',@level2name=N'IsSamePerson'</v>
      </c>
      <c r="S15" s="36" t="str">
        <f t="shared" si="11"/>
        <v>set @OldWording = N'PPL.000.001' set @NewWording = REPLACE(@OldWording,'***',char(13)+char(10)) EXEC sys.sp_addextendedproperty @name=N'Memo', @value=@NewWording , @level0type=N'SCHEMA',@level0name=N'dbo', @level1type=N'TABLE',@level1name=N'LifeIns', @level2type=N'COLUMN',@level2name=N'IsSamePerson'</v>
      </c>
    </row>
    <row r="16" spans="1:21">
      <c r="B16" s="11"/>
      <c r="C16" s="29" t="s">
        <v>420</v>
      </c>
      <c r="D16" s="29" t="s">
        <v>21</v>
      </c>
      <c r="E16" s="28"/>
      <c r="F16" s="22"/>
      <c r="G16" s="22" t="s">
        <v>355</v>
      </c>
      <c r="H16" s="29" t="s">
        <v>493</v>
      </c>
      <c r="I16" s="27" t="s">
        <v>267</v>
      </c>
      <c r="J16" s="27"/>
      <c r="K16" s="27"/>
      <c r="N16" s="36" t="str">
        <f t="shared" si="6"/>
        <v>EXEC sp_dropextendedproperty @name = N'MS_Description', @level0type=N'SCHEMA',@level0name=N'dbo', @level1type=N'TABLE',@level1name=N'LifeIns', @level2type=N'COLUMN',@level2name=N'Sex'</v>
      </c>
      <c r="O16" s="36" t="str">
        <f t="shared" si="7"/>
        <v>EXEC sp_dropextendedproperty @name = N'Rule', @level0type=N'SCHEMA',@level0name=N'dbo', @level1type=N'TABLE',@level1name=N'LifeIns', @level2type=N'COLUMN',@level2name=N'Sex'</v>
      </c>
      <c r="P16" s="36" t="str">
        <f t="shared" si="8"/>
        <v>EXEC sp_dropextendedproperty @name = N'Memo', @level0type=N'SCHEMA',@level0name=N'dbo', @level1type=N'TABLE',@level1name=N'LifeIns', @level2type=N'COLUMN',@level2name=N'Sex'</v>
      </c>
      <c r="Q16" s="36" t="str">
        <f t="shared" si="9"/>
        <v>set @OldWording = N'性別' set @NewWording = REPLACE(@OldWording,'***',char(13)+char(10)) EXEC sys.sp_addextendedproperty @name=N'MS_Description', @value=@NewWording , @level0type=N'SCHEMA',@level0name=N'dbo', @level1type=N'TABLE',@level1name=N'LifeIns', @level2type=N'COLUMN',@level2name=N'Sex'</v>
      </c>
      <c r="R16" s="32" t="str">
        <f t="shared" si="10"/>
        <v>set @OldWording = N'*=不分性別' set @NewWording = REPLACE(@OldWording,'***',char(13)+char(10)) EXEC sys.sp_addextendedproperty @name=N'Rule', @value=@NewWording , @level0type=N'SCHEMA',@level0name=N'dbo', @level1type=N'TABLE',@level1name=N'LifeIns', @level2type=N'COLUMN',@level2name=N'Sex'</v>
      </c>
      <c r="S16" s="36" t="str">
        <f t="shared" si="11"/>
        <v>set @OldWording = N'PPL.000.006' set @NewWording = REPLACE(@OldWording,'***',char(13)+char(10)) EXEC sys.sp_addextendedproperty @name=N'Memo', @value=@NewWording , @level0type=N'SCHEMA',@level0name=N'dbo', @level1type=N'TABLE',@level1name=N'LifeIns', @level2type=N'COLUMN',@level2name=N'Sex'</v>
      </c>
    </row>
    <row r="17" spans="2:19" s="32" customFormat="1">
      <c r="B17" s="28"/>
      <c r="C17" s="29" t="s">
        <v>3720</v>
      </c>
      <c r="D17" s="29" t="s">
        <v>21</v>
      </c>
      <c r="E17" s="28"/>
      <c r="F17" s="22"/>
      <c r="G17" s="22" t="s">
        <v>595</v>
      </c>
      <c r="H17" s="29"/>
      <c r="I17" s="27" t="s">
        <v>268</v>
      </c>
      <c r="J17" s="27"/>
      <c r="K17" s="27"/>
      <c r="L17" s="36"/>
      <c r="M17" s="36"/>
      <c r="N17" s="36"/>
      <c r="O17" s="36"/>
      <c r="P17" s="36"/>
      <c r="Q17" s="36"/>
      <c r="S17" s="36"/>
    </row>
    <row r="18" spans="2:19" s="32" customFormat="1">
      <c r="B18" s="28"/>
      <c r="C18" s="29" t="s">
        <v>3721</v>
      </c>
      <c r="D18" s="29" t="s">
        <v>21</v>
      </c>
      <c r="E18" s="28"/>
      <c r="F18" s="22"/>
      <c r="G18" s="22" t="s">
        <v>596</v>
      </c>
      <c r="H18" s="29"/>
      <c r="I18" s="27" t="s">
        <v>268</v>
      </c>
      <c r="J18" s="27"/>
      <c r="K18" s="27"/>
      <c r="L18" s="36"/>
      <c r="M18" s="36"/>
      <c r="N18" s="36"/>
      <c r="O18" s="36"/>
      <c r="P18" s="36"/>
      <c r="Q18" s="36"/>
      <c r="S18" s="36"/>
    </row>
    <row r="19" spans="2:19">
      <c r="B19" s="11"/>
      <c r="C19" s="29" t="s">
        <v>422</v>
      </c>
      <c r="D19" s="29" t="s">
        <v>21</v>
      </c>
      <c r="E19" s="28" t="s">
        <v>16</v>
      </c>
      <c r="F19" s="22"/>
      <c r="G19" s="22" t="s">
        <v>443</v>
      </c>
      <c r="H19" s="29" t="s">
        <v>494</v>
      </c>
      <c r="I19" s="27" t="s">
        <v>269</v>
      </c>
      <c r="J19" s="27"/>
      <c r="K19" s="27"/>
      <c r="N19" s="36" t="str">
        <f t="shared" ref="N19:N54" si="12">"EXEC sp_dropextendedproperty @name = N'MS_Description', @level0type=N'SCHEMA',@level0name=N'"&amp;$L$1&amp;"', @level1type=N'TABLE',@level1name=N'"&amp;$M$1&amp;"', @level2type=N'COLUMN',@level2name=N'"&amp;$C19&amp;"'"</f>
        <v>EXEC sp_dropextendedproperty @name = N'MS_Description', @level0type=N'SCHEMA',@level0name=N'dbo', @level1type=N'TABLE',@level1name=N'LifeIns', @level2type=N'COLUMN',@level2name=N'AmtInputType'</v>
      </c>
      <c r="O19" s="36" t="str">
        <f t="shared" ref="O19:O54" si="13">"EXEC sp_dropextendedproperty @name = N'Rule', @level0type=N'SCHEMA',@level0name=N'"&amp;$L$1&amp;"', @level1type=N'TABLE',@level1name=N'"&amp;$M$1&amp;"', @level2type=N'COLUMN',@level2name=N'"&amp;$C19&amp;"'"</f>
        <v>EXEC sp_dropextendedproperty @name = N'Rule', @level0type=N'SCHEMA',@level0name=N'dbo', @level1type=N'TABLE',@level1name=N'LifeIns', @level2type=N'COLUMN',@level2name=N'AmtInputType'</v>
      </c>
      <c r="P19" s="36" t="str">
        <f t="shared" ref="P19:P54" si="14">"EXEC sp_dropextendedproperty @name = N'Memo', @level0type=N'SCHEMA',@level0name=N'"&amp;$L$1&amp;"', @level1type=N'TABLE',@level1name=N'"&amp;$M$1&amp;"', @level2type=N'COLUMN',@level2name=N'"&amp;$C19&amp;"'"</f>
        <v>EXEC sp_dropextendedproperty @name = N'Memo', @level0type=N'SCHEMA',@level0name=N'dbo', @level1type=N'TABLE',@level1name=N'LifeIns', @level2type=N'COLUMN',@level2name=N'AmtInputType'</v>
      </c>
      <c r="Q19" s="36" t="str">
        <f t="shared" ref="Q19:Q54" si="15">"set @OldWording = N'"&amp;SUBSTITUTE($G19,CHAR(10),"")&amp;"'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@level2type=N'COLUMN',@level2name=N'"&amp;$C19&amp;"'"</f>
        <v>set @OldWording = N'保額輸入類型' set @NewWording = REPLACE(@OldWording,'***',char(13)+char(10)) EXEC sys.sp_addextendedproperty @name=N'MS_Description', @value=@NewWording , @level0type=N'SCHEMA',@level0name=N'dbo', @level1type=N'TABLE',@level1name=N'LifeIns', @level2type=N'COLUMN',@level2name=N'AmtInputType'</v>
      </c>
      <c r="R19" s="32" t="str">
        <f t="shared" ref="R19:R54" si="16">"set @OldWording = N'"&amp;SUBSTITUTE($H19,CHAR(10),"")&amp;"'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@level2type=N'COLUMN',@level2name=N'"&amp;$C19&amp;"'"</f>
        <v>set @OldWording = N'AmtInputType=2，搭配dbo.LifeInsAmtPlan設定' set @NewWording = REPLACE(@OldWording,'***',char(13)+char(10)) EXEC sys.sp_addextendedproperty @name=N'Rule', @value=@NewWording , @level0type=N'SCHEMA',@level0name=N'dbo', @level1type=N'TABLE',@level1name=N'LifeIns', @level2type=N'COLUMN',@level2name=N'AmtInputType'</v>
      </c>
      <c r="S19" s="36" t="str">
        <f t="shared" ref="S19:S54" si="17">"set @OldWording = N'"&amp;SUBSTITUTE($I19,CHAR(10),"")&amp;"' set @NewWording = REPLACE(@OldWording,'***',char(13)+char(10)) "&amp;"EXEC sys.sp_addextendedproperty @name=N'Memo', @value=@NewWording , @level0type=N'SCHEMA',@level0name=N'"&amp;$L$1&amp;"', @level1type=N'TABLE',@level1name=N'"&amp;$M$1&amp;"', @level2type=N'COLUMN',@level2name=N'"&amp;$C19&amp;"'"</f>
        <v>set @OldWording = N'PPL.000.008' set @NewWording = REPLACE(@OldWording,'***',char(13)+char(10)) EXEC sys.sp_addextendedproperty @name=N'Memo', @value=@NewWording , @level0type=N'SCHEMA',@level0name=N'dbo', @level1type=N'TABLE',@level1name=N'LifeIns', @level2type=N'COLUMN',@level2name=N'AmtInputType'</v>
      </c>
    </row>
    <row r="20" spans="2:19">
      <c r="C20" s="36" t="s">
        <v>3747</v>
      </c>
      <c r="D20" s="29" t="s">
        <v>23</v>
      </c>
      <c r="E20" s="28" t="s">
        <v>16</v>
      </c>
      <c r="G20" s="32" t="s">
        <v>39</v>
      </c>
      <c r="N20" s="36" t="str">
        <f t="shared" si="12"/>
        <v>EXEC sp_dropextendedproperty @name = N'MS_Description', @level0type=N'SCHEMA',@level0name=N'dbo', @level1type=N'TABLE',@level1name=N'LifeIns', @level2type=N'COLUMN',@level2name=N'BgnAmt'</v>
      </c>
      <c r="O20" s="36" t="str">
        <f t="shared" si="13"/>
        <v>EXEC sp_dropextendedproperty @name = N'Rule', @level0type=N'SCHEMA',@level0name=N'dbo', @level1type=N'TABLE',@level1name=N'LifeIns', @level2type=N'COLUMN',@level2name=N'BgnAmt'</v>
      </c>
      <c r="P20" s="36" t="str">
        <f t="shared" si="14"/>
        <v>EXEC sp_dropextendedproperty @name = N'Memo', @level0type=N'SCHEMA',@level0name=N'dbo', @level1type=N'TABLE',@level1name=N'LifeIns', @level2type=N'COLUMN',@level2name=N'BgnAmt'</v>
      </c>
      <c r="Q20" s="36" t="str">
        <f t="shared" si="15"/>
        <v>set @OldWording = N'保額下限' set @NewWording = REPLACE(@OldWording,'***',char(13)+char(10)) EXEC sys.sp_addextendedproperty @name=N'MS_Description', @value=@NewWording , @level0type=N'SCHEMA',@level0name=N'dbo', @level1type=N'TABLE',@level1name=N'LifeIns', @level2type=N'COLUMN',@level2name=N'BgnAmt'</v>
      </c>
      <c r="R20" s="32" t="str">
        <f t="shared" si="16"/>
        <v>set @OldWording = N'' set @NewWording = REPLACE(@OldWording,'***',char(13)+char(10)) EXEC sys.sp_addextendedproperty @name=N'Rule', @value=@NewWording , @level0type=N'SCHEMA',@level0name=N'dbo', @level1type=N'TABLE',@level1name=N'LifeIns', @level2type=N'COLUMN',@level2name=N'BgnAmt'</v>
      </c>
      <c r="S20" s="36" t="str">
        <f t="shared" si="17"/>
        <v>set @OldWording = N'' set @NewWording = REPLACE(@OldWording,'***',char(13)+char(10)) EXEC sys.sp_addextendedproperty @name=N'Memo', @value=@NewWording , @level0type=N'SCHEMA',@level0name=N'dbo', @level1type=N'TABLE',@level1name=N'LifeIns', @level2type=N'COLUMN',@level2name=N'BgnAmt'</v>
      </c>
    </row>
    <row r="21" spans="2:19">
      <c r="C21" s="36" t="s">
        <v>3748</v>
      </c>
      <c r="D21" s="29" t="s">
        <v>23</v>
      </c>
      <c r="E21" s="28" t="s">
        <v>16</v>
      </c>
      <c r="G21" s="32" t="s">
        <v>40</v>
      </c>
      <c r="N21" s="36" t="str">
        <f t="shared" si="12"/>
        <v>EXEC sp_dropextendedproperty @name = N'MS_Description', @level0type=N'SCHEMA',@level0name=N'dbo', @level1type=N'TABLE',@level1name=N'LifeIns', @level2type=N'COLUMN',@level2name=N'EndAmt'</v>
      </c>
      <c r="O21" s="36" t="str">
        <f t="shared" si="13"/>
        <v>EXEC sp_dropextendedproperty @name = N'Rule', @level0type=N'SCHEMA',@level0name=N'dbo', @level1type=N'TABLE',@level1name=N'LifeIns', @level2type=N'COLUMN',@level2name=N'EndAmt'</v>
      </c>
      <c r="P21" s="36" t="str">
        <f t="shared" si="14"/>
        <v>EXEC sp_dropextendedproperty @name = N'Memo', @level0type=N'SCHEMA',@level0name=N'dbo', @level1type=N'TABLE',@level1name=N'LifeIns', @level2type=N'COLUMN',@level2name=N'EndAmt'</v>
      </c>
      <c r="Q21" s="36" t="str">
        <f t="shared" si="15"/>
        <v>set @OldWording = N'保額上限' set @NewWording = REPLACE(@OldWording,'***',char(13)+char(10)) EXEC sys.sp_addextendedproperty @name=N'MS_Description', @value=@NewWording , @level0type=N'SCHEMA',@level0name=N'dbo', @level1type=N'TABLE',@level1name=N'LifeIns', @level2type=N'COLUMN',@level2name=N'EndAmt'</v>
      </c>
      <c r="R21" s="32" t="str">
        <f t="shared" si="16"/>
        <v>set @OldWording = N'' set @NewWording = REPLACE(@OldWording,'***',char(13)+char(10)) EXEC sys.sp_addextendedproperty @name=N'Rule', @value=@NewWording , @level0type=N'SCHEMA',@level0name=N'dbo', @level1type=N'TABLE',@level1name=N'LifeIns', @level2type=N'COLUMN',@level2name=N'EndAmt'</v>
      </c>
      <c r="S21" s="36" t="str">
        <f t="shared" si="17"/>
        <v>set @OldWording = N'' set @NewWording = REPLACE(@OldWording,'***',char(13)+char(10)) EXEC sys.sp_addextendedproperty @name=N'Memo', @value=@NewWording , @level0type=N'SCHEMA',@level0name=N'dbo', @level1type=N'TABLE',@level1name=N'LifeIns', @level2type=N'COLUMN',@level2name=N'EndAmt'</v>
      </c>
    </row>
    <row r="22" spans="2:19">
      <c r="C22" s="36" t="s">
        <v>2956</v>
      </c>
      <c r="D22" s="29" t="s">
        <v>2957</v>
      </c>
      <c r="E22" s="28" t="s">
        <v>2958</v>
      </c>
      <c r="G22" s="32" t="s">
        <v>2959</v>
      </c>
      <c r="R22" s="32"/>
      <c r="S22" s="36"/>
    </row>
    <row r="23" spans="2:19">
      <c r="B23" s="11"/>
      <c r="C23" s="29" t="s">
        <v>2996</v>
      </c>
      <c r="D23" s="29" t="s">
        <v>23</v>
      </c>
      <c r="E23" s="28" t="s">
        <v>16</v>
      </c>
      <c r="F23" s="22"/>
      <c r="G23" s="22" t="s">
        <v>3000</v>
      </c>
      <c r="H23" s="29"/>
      <c r="I23" s="29"/>
      <c r="J23" s="29"/>
      <c r="K23" s="29"/>
      <c r="N23" s="36" t="str">
        <f>"EXEC sp_dropextendedproperty @name = N'MS_Description', @level0type=N'SCHEMA',@level0name=N'"&amp;$L$1&amp;"', @level1type=N'TABLE',@level1name=N'"&amp;$M$1&amp;"', @level2type=N'COLUMN',@level2name=N'"&amp;$C23&amp;"'"</f>
        <v>EXEC sp_dropextendedproperty @name = N'MS_Description', @level0type=N'SCHEMA',@level0name=N'dbo', @level1type=N'TABLE',@level1name=N'LifeIns', @level2type=N'COLUMN',@level2name=N'AmtUnit'</v>
      </c>
      <c r="O23" s="36" t="str">
        <f>"EXEC sp_dropextendedproperty @name = N'Rule', @level0type=N'SCHEMA',@level0name=N'"&amp;$L$1&amp;"', @level1type=N'TABLE',@level1name=N'"&amp;$M$1&amp;"', @level2type=N'COLUMN',@level2name=N'"&amp;$C23&amp;"'"</f>
        <v>EXEC sp_dropextendedproperty @name = N'Rule', @level0type=N'SCHEMA',@level0name=N'dbo', @level1type=N'TABLE',@level1name=N'LifeIns', @level2type=N'COLUMN',@level2name=N'AmtUnit'</v>
      </c>
      <c r="P23" s="36" t="str">
        <f>"EXEC sp_dropextendedproperty @name = N'Memo', @level0type=N'SCHEMA',@level0name=N'"&amp;$L$1&amp;"', @level1type=N'TABLE',@level1name=N'"&amp;$M$1&amp;"', @level2type=N'COLUMN',@level2name=N'"&amp;$C23&amp;"'"</f>
        <v>EXEC sp_dropextendedproperty @name = N'Memo', @level0type=N'SCHEMA',@level0name=N'dbo', @level1type=N'TABLE',@level1name=N'LifeIns', @level2type=N'COLUMN',@level2name=N'AmtUnit'</v>
      </c>
      <c r="Q23" s="36" t="str">
        <f>"set @OldWording = N'"&amp;SUBSTITUTE($G23,CHAR(10),"")&amp;"'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@level2type=N'COLUMN',@level2name=N'"&amp;$C23&amp;"'"</f>
        <v>set @OldWording = N'保額單位' set @NewWording = REPLACE(@OldWording,'***',char(13)+char(10)) EXEC sys.sp_addextendedproperty @name=N'MS_Description', @value=@NewWording , @level0type=N'SCHEMA',@level0name=N'dbo', @level1type=N'TABLE',@level1name=N'LifeIns', @level2type=N'COLUMN',@level2name=N'AmtUnit'</v>
      </c>
      <c r="R23" s="32" t="str">
        <f>"set @OldWording = N'"&amp;SUBSTITUTE($H23,CHAR(10),"")&amp;"'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@level2type=N'COLUMN',@level2name=N'"&amp;$C23&amp;"'"</f>
        <v>set @OldWording = N'' set @NewWording = REPLACE(@OldWording,'***',char(13)+char(10)) EXEC sys.sp_addextendedproperty @name=N'Rule', @value=@NewWording , @level0type=N'SCHEMA',@level0name=N'dbo', @level1type=N'TABLE',@level1name=N'LifeIns', @level2type=N'COLUMN',@level2name=N'AmtUnit'</v>
      </c>
      <c r="S23" s="36" t="str">
        <f>"set @OldWording = N'"&amp;SUBSTITUTE($I23,CHAR(10),"")&amp;"' set @NewWording = REPLACE(@OldWording,'***',char(13)+char(10)) "&amp;"EXEC sys.sp_addextendedproperty @name=N'Memo', @value=@NewWording , @level0type=N'SCHEMA',@level0name=N'"&amp;$L$1&amp;"', @level1type=N'TABLE',@level1name=N'"&amp;$M$1&amp;"', @level2type=N'COLUMN',@level2name=N'"&amp;$C23&amp;"'"</f>
        <v>set @OldWording = N'' set @NewWording = REPLACE(@OldWording,'***',char(13)+char(10)) EXEC sys.sp_addextendedproperty @name=N'Memo', @value=@NewWording , @level0type=N'SCHEMA',@level0name=N'dbo', @level1type=N'TABLE',@level1name=N'LifeIns', @level2type=N'COLUMN',@level2name=N'AmtUnit'</v>
      </c>
    </row>
    <row r="24" spans="2:19">
      <c r="B24" s="11"/>
      <c r="C24" s="29" t="s">
        <v>84</v>
      </c>
      <c r="D24" s="29" t="s">
        <v>23</v>
      </c>
      <c r="E24" s="28" t="s">
        <v>16</v>
      </c>
      <c r="F24" s="22"/>
      <c r="G24" s="22" t="s">
        <v>444</v>
      </c>
      <c r="H24" s="29"/>
      <c r="I24" s="29"/>
      <c r="J24" s="29"/>
      <c r="K24" s="29"/>
      <c r="N24" s="36" t="str">
        <f t="shared" si="12"/>
        <v>EXEC sp_dropextendedproperty @name = N'MS_Description', @level0type=N'SCHEMA',@level0name=N'dbo', @level1type=N'TABLE',@level1name=N'LifeIns', @level2type=N'COLUMN',@level2name=N'DispAmtUnit'</v>
      </c>
      <c r="O24" s="36" t="str">
        <f t="shared" si="13"/>
        <v>EXEC sp_dropextendedproperty @name = N'Rule', @level0type=N'SCHEMA',@level0name=N'dbo', @level1type=N'TABLE',@level1name=N'LifeIns', @level2type=N'COLUMN',@level2name=N'DispAmtUnit'</v>
      </c>
      <c r="P24" s="36" t="str">
        <f t="shared" si="14"/>
        <v>EXEC sp_dropextendedproperty @name = N'Memo', @level0type=N'SCHEMA',@level0name=N'dbo', @level1type=N'TABLE',@level1name=N'LifeIns', @level2type=N'COLUMN',@level2name=N'DispAmtUnit'</v>
      </c>
      <c r="Q24" s="36" t="str">
        <f t="shared" si="15"/>
        <v>set @OldWording = N'顯示保額單位' set @NewWording = REPLACE(@OldWording,'***',char(13)+char(10)) EXEC sys.sp_addextendedproperty @name=N'MS_Description', @value=@NewWording , @level0type=N'SCHEMA',@level0name=N'dbo', @level1type=N'TABLE',@level1name=N'LifeIns', @level2type=N'COLUMN',@level2name=N'DispAmtUnit'</v>
      </c>
      <c r="R24" s="32" t="str">
        <f t="shared" si="16"/>
        <v>set @OldWording = N'' set @NewWording = REPLACE(@OldWording,'***',char(13)+char(10)) EXEC sys.sp_addextendedproperty @name=N'Rule', @value=@NewWording , @level0type=N'SCHEMA',@level0name=N'dbo', @level1type=N'TABLE',@level1name=N'LifeIns', @level2type=N'COLUMN',@level2name=N'DispAmtUnit'</v>
      </c>
      <c r="S24" s="36" t="str">
        <f t="shared" si="17"/>
        <v>set @OldWording = N'' set @NewWording = REPLACE(@OldWording,'***',char(13)+char(10)) EXEC sys.sp_addextendedproperty @name=N'Memo', @value=@NewWording , @level0type=N'SCHEMA',@level0name=N'dbo', @level1type=N'TABLE',@level1name=N'LifeIns', @level2type=N'COLUMN',@level2name=N'DispAmtUnit'</v>
      </c>
    </row>
    <row r="25" spans="2:19">
      <c r="B25" s="11"/>
      <c r="C25" s="29" t="s">
        <v>2921</v>
      </c>
      <c r="D25" s="29" t="s">
        <v>28</v>
      </c>
      <c r="E25" s="28" t="s">
        <v>16</v>
      </c>
      <c r="F25" s="22"/>
      <c r="G25" s="22" t="s">
        <v>445</v>
      </c>
      <c r="H25" s="29"/>
      <c r="I25" s="27"/>
      <c r="J25" s="29"/>
      <c r="K25" s="29"/>
      <c r="N25" s="36" t="str">
        <f t="shared" si="12"/>
        <v>EXEC sp_dropextendedproperty @name = N'MS_Description', @level0type=N'SCHEMA',@level0name=N'dbo', @level1type=N'TABLE',@level1name=N'LifeIns', @level2type=N'COLUMN',@level2name=N'DispAmtText'</v>
      </c>
      <c r="O25" s="36" t="str">
        <f t="shared" si="13"/>
        <v>EXEC sp_dropextendedproperty @name = N'Rule', @level0type=N'SCHEMA',@level0name=N'dbo', @level1type=N'TABLE',@level1name=N'LifeIns', @level2type=N'COLUMN',@level2name=N'DispAmtText'</v>
      </c>
      <c r="P25" s="36" t="str">
        <f t="shared" si="14"/>
        <v>EXEC sp_dropextendedproperty @name = N'Memo', @level0type=N'SCHEMA',@level0name=N'dbo', @level1type=N'TABLE',@level1name=N'LifeIns', @level2type=N'COLUMN',@level2name=N'DispAmtText'</v>
      </c>
      <c r="Q25" s="36" t="str">
        <f t="shared" si="15"/>
        <v>set @OldWording = N'顯示保額文字' set @NewWording = REPLACE(@OldWording,'***',char(13)+char(10)) EXEC sys.sp_addextendedproperty @name=N'MS_Description', @value=@NewWording , @level0type=N'SCHEMA',@level0name=N'dbo', @level1type=N'TABLE',@level1name=N'LifeIns', @level2type=N'COLUMN',@level2name=N'DispAmtText'</v>
      </c>
      <c r="R25" s="32" t="str">
        <f t="shared" si="16"/>
        <v>set @OldWording = N'' set @NewWording = REPLACE(@OldWording,'***',char(13)+char(10)) EXEC sys.sp_addextendedproperty @name=N'Rule', @value=@NewWording , @level0type=N'SCHEMA',@level0name=N'dbo', @level1type=N'TABLE',@level1name=N'LifeIns', @level2type=N'COLUMN',@level2name=N'DispAmtText'</v>
      </c>
      <c r="S25" s="36" t="str">
        <f t="shared" si="17"/>
        <v>set @OldWording = N'' set @NewWording = REPLACE(@OldWording,'***',char(13)+char(10)) EXEC sys.sp_addextendedproperty @name=N'Memo', @value=@NewWording , @level0type=N'SCHEMA',@level0name=N'dbo', @level1type=N'TABLE',@level1name=N'LifeIns', @level2type=N'COLUMN',@level2name=N'DispAmtText'</v>
      </c>
    </row>
    <row r="26" spans="2:19">
      <c r="C26" s="36" t="s">
        <v>149</v>
      </c>
      <c r="D26" s="29" t="s">
        <v>23</v>
      </c>
      <c r="E26" s="28" t="s">
        <v>16</v>
      </c>
      <c r="G26" s="32" t="s">
        <v>148</v>
      </c>
      <c r="H26" s="29"/>
      <c r="N26" s="36" t="str">
        <f t="shared" si="12"/>
        <v>EXEC sp_dropextendedproperty @name = N'MS_Description', @level0type=N'SCHEMA',@level0name=N'dbo', @level1type=N'TABLE',@level1name=N'LifeIns', @level2type=N'COLUMN',@level2name=N'ActAmtUnit'</v>
      </c>
      <c r="O26" s="36" t="str">
        <f t="shared" si="13"/>
        <v>EXEC sp_dropextendedproperty @name = N'Rule', @level0type=N'SCHEMA',@level0name=N'dbo', @level1type=N'TABLE',@level1name=N'LifeIns', @level2type=N'COLUMN',@level2name=N'ActAmtUnit'</v>
      </c>
      <c r="P26" s="36" t="str">
        <f t="shared" si="14"/>
        <v>EXEC sp_dropextendedproperty @name = N'Memo', @level0type=N'SCHEMA',@level0name=N'dbo', @level1type=N'TABLE',@level1name=N'LifeIns', @level2type=N'COLUMN',@level2name=N'ActAmtUnit'</v>
      </c>
      <c r="Q26" s="36" t="str">
        <f t="shared" si="15"/>
        <v>set @OldWording = N'精算保額單位' set @NewWording = REPLACE(@OldWording,'***',char(13)+char(10)) EXEC sys.sp_addextendedproperty @name=N'MS_Description', @value=@NewWording , @level0type=N'SCHEMA',@level0name=N'dbo', @level1type=N'TABLE',@level1name=N'LifeIns', @level2type=N'COLUMN',@level2name=N'ActAmtUnit'</v>
      </c>
      <c r="R26" s="32" t="str">
        <f t="shared" si="16"/>
        <v>set @OldWording = N'' set @NewWording = REPLACE(@OldWording,'***',char(13)+char(10)) EXEC sys.sp_addextendedproperty @name=N'Rule', @value=@NewWording , @level0type=N'SCHEMA',@level0name=N'dbo', @level1type=N'TABLE',@level1name=N'LifeIns', @level2type=N'COLUMN',@level2name=N'ActAmtUnit'</v>
      </c>
      <c r="S26" s="36" t="str">
        <f t="shared" si="17"/>
        <v>set @OldWording = N'' set @NewWording = REPLACE(@OldWording,'***',char(13)+char(10)) EXEC sys.sp_addextendedproperty @name=N'Memo', @value=@NewWording , @level0type=N'SCHEMA',@level0name=N'dbo', @level1type=N'TABLE',@level1name=N'LifeIns', @level2type=N'COLUMN',@level2name=N'ActAmtUnit'</v>
      </c>
    </row>
    <row r="27" spans="2:19">
      <c r="B27" s="11"/>
      <c r="C27" s="29" t="s">
        <v>423</v>
      </c>
      <c r="D27" s="29" t="s">
        <v>21</v>
      </c>
      <c r="E27" s="28" t="s">
        <v>120</v>
      </c>
      <c r="F27" s="22"/>
      <c r="G27" s="22" t="s">
        <v>132</v>
      </c>
      <c r="H27" s="29"/>
      <c r="I27" s="27" t="s">
        <v>270</v>
      </c>
      <c r="J27" s="27"/>
      <c r="K27" s="27"/>
      <c r="N27" s="36" t="str">
        <f t="shared" si="12"/>
        <v>EXEC sp_dropextendedproperty @name = N'MS_Description', @level0type=N'SCHEMA',@level0name=N'dbo', @level1type=N'TABLE',@level1name=N'LifeIns', @level2type=N'COLUMN',@level2name=N'WaiverAmtType'</v>
      </c>
      <c r="O27" s="36" t="str">
        <f t="shared" si="13"/>
        <v>EXEC sp_dropextendedproperty @name = N'Rule', @level0type=N'SCHEMA',@level0name=N'dbo', @level1type=N'TABLE',@level1name=N'LifeIns', @level2type=N'COLUMN',@level2name=N'WaiverAmtType'</v>
      </c>
      <c r="P27" s="36" t="str">
        <f t="shared" si="14"/>
        <v>EXEC sp_dropextendedproperty @name = N'Memo', @level0type=N'SCHEMA',@level0name=N'dbo', @level1type=N'TABLE',@level1name=N'LifeIns', @level2type=N'COLUMN',@level2name=N'WaiverAmtType'</v>
      </c>
      <c r="Q27" s="36" t="str">
        <f t="shared" si="15"/>
        <v>set @OldWording = N'豁免保額類型' set @NewWording = REPLACE(@OldWording,'***',char(13)+char(10)) EXEC sys.sp_addextendedproperty @name=N'MS_Description', @value=@NewWording , @level0type=N'SCHEMA',@level0name=N'dbo', @level1type=N'TABLE',@level1name=N'LifeIns', @level2type=N'COLUMN',@level2name=N'WaiverAmtType'</v>
      </c>
      <c r="R27" s="32" t="str">
        <f t="shared" si="16"/>
        <v>set @OldWording = N'' set @NewWording = REPLACE(@OldWording,'***',char(13)+char(10)) EXEC sys.sp_addextendedproperty @name=N'Rule', @value=@NewWording , @level0type=N'SCHEMA',@level0name=N'dbo', @level1type=N'TABLE',@level1name=N'LifeIns', @level2type=N'COLUMN',@level2name=N'WaiverAmtType'</v>
      </c>
      <c r="S27" s="36" t="str">
        <f t="shared" si="17"/>
        <v>set @OldWording = N'PPL.000.009' set @NewWording = REPLACE(@OldWording,'***',char(13)+char(10)) EXEC sys.sp_addextendedproperty @name=N'Memo', @value=@NewWording , @level0type=N'SCHEMA',@level0name=N'dbo', @level1type=N'TABLE',@level1name=N'LifeIns', @level2type=N'COLUMN',@level2name=N'WaiverAmtType'</v>
      </c>
    </row>
    <row r="28" spans="2:19">
      <c r="B28" s="11"/>
      <c r="C28" s="29" t="s">
        <v>424</v>
      </c>
      <c r="D28" s="29" t="s">
        <v>118</v>
      </c>
      <c r="E28" s="28" t="s">
        <v>16</v>
      </c>
      <c r="F28" s="22"/>
      <c r="G28" s="22" t="s">
        <v>25</v>
      </c>
      <c r="H28" s="29" t="s">
        <v>4680</v>
      </c>
      <c r="I28" s="27" t="s">
        <v>271</v>
      </c>
      <c r="J28" s="27"/>
      <c r="K28" s="27"/>
      <c r="N28" s="36" t="str">
        <f t="shared" si="12"/>
        <v>EXEC sp_dropextendedproperty @name = N'MS_Description', @level0type=N'SCHEMA',@level0name=N'dbo', @level1type=N'TABLE',@level1name=N'LifeIns', @level2type=N'COLUMN',@level2name=N'PayFreq'</v>
      </c>
      <c r="O28" s="36" t="str">
        <f t="shared" si="13"/>
        <v>EXEC sp_dropextendedproperty @name = N'Rule', @level0type=N'SCHEMA',@level0name=N'dbo', @level1type=N'TABLE',@level1name=N'LifeIns', @level2type=N'COLUMN',@level2name=N'PayFreq'</v>
      </c>
      <c r="P28" s="36" t="str">
        <f t="shared" si="14"/>
        <v>EXEC sp_dropextendedproperty @name = N'Memo', @level0type=N'SCHEMA',@level0name=N'dbo', @level1type=N'TABLE',@level1name=N'LifeIns', @level2type=N'COLUMN',@level2name=N'PayFreq'</v>
      </c>
      <c r="Q28" s="36" t="str">
        <f t="shared" si="15"/>
        <v>set @OldWording = N'繳別' set @NewWording = REPLACE(@OldWording,'***',char(13)+char(10)) EXEC sys.sp_addextendedproperty @name=N'MS_Description', @value=@NewWording , @level0type=N'SCHEMA',@level0name=N'dbo', @level1type=N'TABLE',@level1name=N'LifeIns', @level2type=N'COLUMN',@level2name=N'PayFreq'</v>
      </c>
      <c r="R28" s="32" t="str">
        <f t="shared" si="16"/>
        <v>set @OldWording = N'附約不需設定***多筆以|符號分隔，例如：1|2|3|4' set @NewWording = REPLACE(@OldWording,'***',char(13)+char(10)) EXEC sys.sp_addextendedproperty @name=N'Rule', @value=@NewWording , @level0type=N'SCHEMA',@level0name=N'dbo', @level1type=N'TABLE',@level1name=N'LifeIns', @level2type=N'COLUMN',@level2name=N'PayFreq'</v>
      </c>
      <c r="S28" s="36" t="str">
        <f t="shared" si="17"/>
        <v>set @OldWording = N'PPL.000.010' set @NewWording = REPLACE(@OldWording,'***',char(13)+char(10)) EXEC sys.sp_addextendedproperty @name=N'Memo', @value=@NewWording , @level0type=N'SCHEMA',@level0name=N'dbo', @level1type=N'TABLE',@level1name=N'LifeIns', @level2type=N'COLUMN',@level2name=N'PayFreq'</v>
      </c>
    </row>
    <row r="29" spans="2:19">
      <c r="B29" s="11"/>
      <c r="C29" s="29" t="s">
        <v>3723</v>
      </c>
      <c r="D29" s="29" t="s">
        <v>118</v>
      </c>
      <c r="E29" s="28" t="s">
        <v>16</v>
      </c>
      <c r="F29" s="22"/>
      <c r="G29" s="22" t="s">
        <v>446</v>
      </c>
      <c r="H29" s="29" t="s">
        <v>550</v>
      </c>
      <c r="I29" s="27" t="s">
        <v>272</v>
      </c>
      <c r="J29" s="27"/>
      <c r="K29" s="27"/>
      <c r="N29" s="36" t="str">
        <f t="shared" si="12"/>
        <v>EXEC sp_dropextendedproperty @name = N'MS_Description', @level0type=N'SCHEMA',@level0name=N'dbo', @level1type=N'TABLE',@level1name=N'LifeIns', @level2type=N'COLUMN',@level2name=N'FirstPayWay'</v>
      </c>
      <c r="O29" s="36" t="str">
        <f t="shared" si="13"/>
        <v>EXEC sp_dropextendedproperty @name = N'Rule', @level0type=N'SCHEMA',@level0name=N'dbo', @level1type=N'TABLE',@level1name=N'LifeIns', @level2type=N'COLUMN',@level2name=N'FirstPayWay'</v>
      </c>
      <c r="P29" s="36" t="str">
        <f t="shared" si="14"/>
        <v>EXEC sp_dropextendedproperty @name = N'Memo', @level0type=N'SCHEMA',@level0name=N'dbo', @level1type=N'TABLE',@level1name=N'LifeIns', @level2type=N'COLUMN',@level2name=N'FirstPayWay'</v>
      </c>
      <c r="Q29" s="36" t="str">
        <f t="shared" si="15"/>
        <v>set @OldWording = N'首期繳費方式' set @NewWording = REPLACE(@OldWording,'***',char(13)+char(10)) EXEC sys.sp_addextendedproperty @name=N'MS_Description', @value=@NewWording , @level0type=N'SCHEMA',@level0name=N'dbo', @level1type=N'TABLE',@level1name=N'LifeIns', @level2type=N'COLUMN',@level2name=N'FirstPayWay'</v>
      </c>
      <c r="R29" s="32" t="str">
        <f t="shared" si="16"/>
        <v>set @OldWording = N'附約不需設定***多筆以|符號分隔，例如：1|2|3' set @NewWording = REPLACE(@OldWording,'***',char(13)+char(10)) EXEC sys.sp_addextendedproperty @name=N'Rule', @value=@NewWording , @level0type=N'SCHEMA',@level0name=N'dbo', @level1type=N'TABLE',@level1name=N'LifeIns', @level2type=N'COLUMN',@level2name=N'FirstPayWay'</v>
      </c>
      <c r="S29" s="36" t="str">
        <f t="shared" si="17"/>
        <v>set @OldWording = N'PPL.000.011' set @NewWording = REPLACE(@OldWording,'***',char(13)+char(10)) EXEC sys.sp_addextendedproperty @name=N'Memo', @value=@NewWording , @level0type=N'SCHEMA',@level0name=N'dbo', @level1type=N'TABLE',@level1name=N'LifeIns', @level2type=N'COLUMN',@level2name=N'FirstPayWay'</v>
      </c>
    </row>
    <row r="30" spans="2:19">
      <c r="B30" s="11"/>
      <c r="C30" s="29" t="s">
        <v>3724</v>
      </c>
      <c r="D30" s="29" t="s">
        <v>118</v>
      </c>
      <c r="E30" s="28" t="s">
        <v>16</v>
      </c>
      <c r="F30" s="22"/>
      <c r="G30" s="22" t="s">
        <v>447</v>
      </c>
      <c r="H30" s="29" t="s">
        <v>550</v>
      </c>
      <c r="I30" s="27" t="s">
        <v>2962</v>
      </c>
      <c r="J30" s="27"/>
      <c r="K30" s="27"/>
      <c r="N30" s="36" t="str">
        <f t="shared" si="12"/>
        <v>EXEC sp_dropextendedproperty @name = N'MS_Description', @level0type=N'SCHEMA',@level0name=N'dbo', @level1type=N'TABLE',@level1name=N'LifeIns', @level2type=N'COLUMN',@level2name=N'RenewPayWay'</v>
      </c>
      <c r="O30" s="36" t="str">
        <f t="shared" si="13"/>
        <v>EXEC sp_dropextendedproperty @name = N'Rule', @level0type=N'SCHEMA',@level0name=N'dbo', @level1type=N'TABLE',@level1name=N'LifeIns', @level2type=N'COLUMN',@level2name=N'RenewPayWay'</v>
      </c>
      <c r="P30" s="36" t="str">
        <f t="shared" si="14"/>
        <v>EXEC sp_dropextendedproperty @name = N'Memo', @level0type=N'SCHEMA',@level0name=N'dbo', @level1type=N'TABLE',@level1name=N'LifeIns', @level2type=N'COLUMN',@level2name=N'RenewPayWay'</v>
      </c>
      <c r="Q30" s="36" t="str">
        <f t="shared" si="15"/>
        <v>set @OldWording = N'續期繳費方式' set @NewWording = REPLACE(@OldWording,'***',char(13)+char(10)) EXEC sys.sp_addextendedproperty @name=N'MS_Description', @value=@NewWording , @level0type=N'SCHEMA',@level0name=N'dbo', @level1type=N'TABLE',@level1name=N'LifeIns', @level2type=N'COLUMN',@level2name=N'RenewPayWay'</v>
      </c>
      <c r="R30" s="32" t="str">
        <f t="shared" si="16"/>
        <v>set @OldWording = N'附約不需設定***多筆以|符號分隔，例如：1|2|3' set @NewWording = REPLACE(@OldWording,'***',char(13)+char(10)) EXEC sys.sp_addextendedproperty @name=N'Rule', @value=@NewWording , @level0type=N'SCHEMA',@level0name=N'dbo', @level1type=N'TABLE',@level1name=N'LifeIns', @level2type=N'COLUMN',@level2name=N'RenewPayWay'</v>
      </c>
      <c r="S30" s="36" t="str">
        <f t="shared" si="17"/>
        <v>set @OldWording = N'PPL.000.031' set @NewWording = REPLACE(@OldWording,'***',char(13)+char(10)) EXEC sys.sp_addextendedproperty @name=N'Memo', @value=@NewWording , @level0type=N'SCHEMA',@level0name=N'dbo', @level1type=N'TABLE',@level1name=N'LifeIns', @level2type=N'COLUMN',@level2name=N'RenewPayWay'</v>
      </c>
    </row>
    <row r="31" spans="2:19">
      <c r="B31" s="11"/>
      <c r="C31" s="29" t="s">
        <v>41</v>
      </c>
      <c r="D31" s="29" t="s">
        <v>21</v>
      </c>
      <c r="E31" s="28"/>
      <c r="F31" s="22"/>
      <c r="G31" s="22" t="s">
        <v>448</v>
      </c>
      <c r="H31" s="29" t="s">
        <v>274</v>
      </c>
      <c r="I31" s="27" t="s">
        <v>273</v>
      </c>
      <c r="J31" s="27"/>
      <c r="K31" s="27"/>
      <c r="N31" s="36" t="str">
        <f t="shared" si="12"/>
        <v>EXEC sp_dropextendedproperty @name = N'MS_Description', @level0type=N'SCHEMA',@level0name=N'dbo', @level1type=N'TABLE',@level1name=N'LifeIns', @level2type=N'COLUMN',@level2name=N'IsGroupPay'</v>
      </c>
      <c r="O31" s="36" t="str">
        <f t="shared" si="13"/>
        <v>EXEC sp_dropextendedproperty @name = N'Rule', @level0type=N'SCHEMA',@level0name=N'dbo', @level1type=N'TABLE',@level1name=N'LifeIns', @level2type=N'COLUMN',@level2name=N'IsGroupPay'</v>
      </c>
      <c r="P31" s="36" t="str">
        <f t="shared" si="14"/>
        <v>EXEC sp_dropextendedproperty @name = N'Memo', @level0type=N'SCHEMA',@level0name=N'dbo', @level1type=N'TABLE',@level1name=N'LifeIns', @level2type=N'COLUMN',@level2name=N'IsGroupPay'</v>
      </c>
      <c r="Q31" s="36" t="str">
        <f t="shared" si="15"/>
        <v>set @OldWording = N'是否有集體彙繳' set @NewWording = REPLACE(@OldWording,'***',char(13)+char(10)) EXEC sys.sp_addextendedproperty @name=N'MS_Description', @value=@NewWording , @level0type=N'SCHEMA',@level0name=N'dbo', @level1type=N'TABLE',@level1name=N'LifeIns', @level2type=N'COLUMN',@level2name=N'IsGroupPay'</v>
      </c>
      <c r="R31" s="32" t="str">
        <f t="shared" si="16"/>
        <v>set @OldWording = N'IsGroupPay=Y，畫面下拉選單讀共用代碼PPL.000.012' set @NewWording = REPLACE(@OldWording,'***',char(13)+char(10)) EXEC sys.sp_addextendedproperty @name=N'Rule', @value=@NewWording , @level0type=N'SCHEMA',@level0name=N'dbo', @level1type=N'TABLE',@level1name=N'LifeIns', @level2type=N'COLUMN',@level2name=N'IsGroupPay'</v>
      </c>
      <c r="S31" s="36" t="str">
        <f t="shared" si="17"/>
        <v>set @OldWording = N'PPL.000.001' set @NewWording = REPLACE(@OldWording,'***',char(13)+char(10)) EXEC sys.sp_addextendedproperty @name=N'Memo', @value=@NewWording , @level0type=N'SCHEMA',@level0name=N'dbo', @level1type=N'TABLE',@level1name=N'LifeIns', @level2type=N'COLUMN',@level2name=N'IsGroupPay'</v>
      </c>
    </row>
    <row r="32" spans="2:19" s="91" customFormat="1">
      <c r="B32" s="98"/>
      <c r="C32" s="29" t="s">
        <v>3004</v>
      </c>
      <c r="D32" s="29" t="s">
        <v>21</v>
      </c>
      <c r="E32" s="131" t="s">
        <v>4889</v>
      </c>
      <c r="F32" s="22"/>
      <c r="G32" s="22" t="s">
        <v>449</v>
      </c>
      <c r="H32" s="29" t="s">
        <v>4890</v>
      </c>
      <c r="I32" s="27" t="s">
        <v>275</v>
      </c>
      <c r="J32" s="21"/>
      <c r="K32" s="21"/>
      <c r="L32" s="37"/>
      <c r="M32" s="37"/>
      <c r="N32" s="37" t="str">
        <f t="shared" si="12"/>
        <v>EXEC sp_dropextendedproperty @name = N'MS_Description', @level0type=N'SCHEMA',@level0name=N'dbo', @level1type=N'TABLE',@level1name=N'LifeIns', @level2type=N'COLUMN',@level2name=N'PremType'</v>
      </c>
      <c r="O32" s="37" t="str">
        <f t="shared" si="13"/>
        <v>EXEC sp_dropextendedproperty @name = N'Rule', @level0type=N'SCHEMA',@level0name=N'dbo', @level1type=N'TABLE',@level1name=N'LifeIns', @level2type=N'COLUMN',@level2name=N'PremType'</v>
      </c>
      <c r="P32" s="37" t="str">
        <f t="shared" si="14"/>
        <v>EXEC sp_dropextendedproperty @name = N'Memo', @level0type=N'SCHEMA',@level0name=N'dbo', @level1type=N'TABLE',@level1name=N'LifeIns', @level2type=N'COLUMN',@level2name=N'PremType'</v>
      </c>
      <c r="Q32" s="37" t="str">
        <f t="shared" si="15"/>
        <v>set @OldWording = N'保費類型' set @NewWording = REPLACE(@OldWording,'***',char(13)+char(10)) EXEC sys.sp_addextendedproperty @name=N'MS_Description', @value=@NewWording , @level0type=N'SCHEMA',@level0name=N'dbo', @level1type=N'TABLE',@level1name=N'LifeIns', @level2type=N'COLUMN',@level2name=N'PremType'</v>
      </c>
      <c r="R32" s="91" t="str">
        <f t="shared" si="16"/>
        <v>set @OldWording = N'須計算保費的商品才設定' set @NewWording = REPLACE(@OldWording,'***',char(13)+char(10)) EXEC sys.sp_addextendedproperty @name=N'Rule', @value=@NewWording , @level0type=N'SCHEMA',@level0name=N'dbo', @level1type=N'TABLE',@level1name=N'LifeIns', @level2type=N'COLUMN',@level2name=N'PremType'</v>
      </c>
      <c r="S32" s="37" t="str">
        <f t="shared" si="17"/>
        <v>set @OldWording = N'PPL.000.013' set @NewWording = REPLACE(@OldWording,'***',char(13)+char(10)) EXEC sys.sp_addextendedproperty @name=N'Memo', @value=@NewWording , @level0type=N'SCHEMA',@level0name=N'dbo', @level1type=N'TABLE',@level1name=N'LifeIns', @level2type=N'COLUMN',@level2name=N'PremType'</v>
      </c>
    </row>
    <row r="33" spans="2:19" s="91" customFormat="1">
      <c r="B33" s="98"/>
      <c r="C33" s="29" t="s">
        <v>4665</v>
      </c>
      <c r="D33" s="29" t="s">
        <v>4666</v>
      </c>
      <c r="E33" s="28" t="s">
        <v>4667</v>
      </c>
      <c r="F33" s="22"/>
      <c r="G33" s="22" t="s">
        <v>4668</v>
      </c>
      <c r="H33" s="29" t="s">
        <v>4670</v>
      </c>
      <c r="I33" s="27" t="s">
        <v>4669</v>
      </c>
      <c r="J33" s="21"/>
      <c r="K33" s="21"/>
      <c r="L33" s="37"/>
      <c r="M33" s="37"/>
      <c r="N33" s="37" t="str">
        <f t="shared" si="12"/>
        <v>EXEC sp_dropextendedproperty @name = N'MS_Description', @level0type=N'SCHEMA',@level0name=N'dbo', @level1type=N'TABLE',@level1name=N'LifeIns', @level2type=N'COLUMN',@level2name=N'DeathBenefitType'</v>
      </c>
      <c r="O33" s="37" t="str">
        <f t="shared" si="13"/>
        <v>EXEC sp_dropextendedproperty @name = N'Rule', @level0type=N'SCHEMA',@level0name=N'dbo', @level1type=N'TABLE',@level1name=N'LifeIns', @level2type=N'COLUMN',@level2name=N'DeathBenefitType'</v>
      </c>
      <c r="P33" s="37" t="str">
        <f t="shared" si="14"/>
        <v>EXEC sp_dropextendedproperty @name = N'Memo', @level0type=N'SCHEMA',@level0name=N'dbo', @level1type=N'TABLE',@level1name=N'LifeIns', @level2type=N'COLUMN',@level2name=N'DeathBenefitType'</v>
      </c>
      <c r="Q33" s="37" t="str">
        <f t="shared" si="15"/>
        <v>set @OldWording = N'身故保險金類型' set @NewWording = REPLACE(@OldWording,'***',char(13)+char(10)) EXEC sys.sp_addextendedproperty @name=N'MS_Description', @value=@NewWording , @level0type=N'SCHEMA',@level0name=N'dbo', @level1type=N'TABLE',@level1name=N'LifeIns', @level2type=N'COLUMN',@level2name=N'DeathBenefitType'</v>
      </c>
      <c r="R33" s="91" t="str">
        <f t="shared" si="16"/>
        <v>set @OldWording = N'實作於第二層檢核，身故金類型相同的商品，方可互搭。' set @NewWording = REPLACE(@OldWording,'***',char(13)+char(10)) EXEC sys.sp_addextendedproperty @name=N'Rule', @value=@NewWording , @level0type=N'SCHEMA',@level0name=N'dbo', @level1type=N'TABLE',@level1name=N'LifeIns', @level2type=N'COLUMN',@level2name=N'DeathBenefitType'</v>
      </c>
      <c r="S33" s="37"/>
    </row>
    <row r="34" spans="2:19" s="91" customFormat="1">
      <c r="B34" s="98"/>
      <c r="C34" s="29" t="s">
        <v>3858</v>
      </c>
      <c r="D34" s="29" t="s">
        <v>3859</v>
      </c>
      <c r="E34" s="28" t="s">
        <v>3860</v>
      </c>
      <c r="F34" s="22"/>
      <c r="G34" s="22" t="s">
        <v>3861</v>
      </c>
      <c r="H34" s="29" t="s">
        <v>3862</v>
      </c>
      <c r="I34" s="27"/>
      <c r="J34" s="21"/>
      <c r="K34" s="21"/>
      <c r="L34" s="37"/>
      <c r="M34" s="37"/>
      <c r="N34" s="37" t="str">
        <f t="shared" si="12"/>
        <v>EXEC sp_dropextendedproperty @name = N'MS_Description', @level0type=N'SCHEMA',@level0name=N'dbo', @level1type=N'TABLE',@level1name=N'LifeIns', @level2type=N'COLUMN',@level2name=N'FstEndAmt'</v>
      </c>
      <c r="O34" s="37" t="str">
        <f t="shared" si="13"/>
        <v>EXEC sp_dropextendedproperty @name = N'Rule', @level0type=N'SCHEMA',@level0name=N'dbo', @level1type=N'TABLE',@level1name=N'LifeIns', @level2type=N'COLUMN',@level2name=N'FstEndAmt'</v>
      </c>
      <c r="P34" s="37" t="str">
        <f t="shared" si="14"/>
        <v>EXEC sp_dropextendedproperty @name = N'Memo', @level0type=N'SCHEMA',@level0name=N'dbo', @level1type=N'TABLE',@level1name=N'LifeIns', @level2type=N'COLUMN',@level2name=N'FstEndAmt'</v>
      </c>
      <c r="Q34" s="37" t="str">
        <f t="shared" si="15"/>
        <v>set @OldWording = N'第一階段保額上限' set @NewWording = REPLACE(@OldWording,'***',char(13)+char(10)) EXEC sys.sp_addextendedproperty @name=N'MS_Description', @value=@NewWording , @level0type=N'SCHEMA',@level0name=N'dbo', @level1type=N'TABLE',@level1name=N'LifeIns', @level2type=N'COLUMN',@level2name=N'FstEndAmt'</v>
      </c>
      <c r="R34" s="91" t="str">
        <f t="shared" si="16"/>
        <v>set @OldWording = N'拆分兩個階段保額與單位費率計算原始保費***代表險種：QR、MR' set @NewWording = REPLACE(@OldWording,'***',char(13)+char(10)) EXEC sys.sp_addextendedproperty @name=N'Rule', @value=@NewWording , @level0type=N'SCHEMA',@level0name=N'dbo', @level1type=N'TABLE',@level1name=N'LifeIns', @level2type=N'COLUMN',@level2name=N'FstEndAmt'</v>
      </c>
      <c r="S34" s="37"/>
    </row>
    <row r="35" spans="2:19" s="91" customFormat="1">
      <c r="B35" s="98"/>
      <c r="C35" s="29" t="s">
        <v>3610</v>
      </c>
      <c r="D35" s="29" t="s">
        <v>34</v>
      </c>
      <c r="E35" s="28" t="s">
        <v>3616</v>
      </c>
      <c r="F35" s="22"/>
      <c r="G35" s="22" t="s">
        <v>3611</v>
      </c>
      <c r="H35" s="29" t="s">
        <v>3634</v>
      </c>
      <c r="I35" s="27"/>
      <c r="J35" s="21"/>
      <c r="K35" s="21"/>
      <c r="L35" s="37"/>
      <c r="M35" s="37"/>
      <c r="N35" s="37" t="str">
        <f t="shared" si="12"/>
        <v>EXEC sp_dropextendedproperty @name = N'MS_Description', @level0type=N'SCHEMA',@level0name=N'dbo', @level1type=N'TABLE',@level1name=N'LifeIns', @level2type=N'COLUMN',@level2name=N'FstAddedBonusEndYear'</v>
      </c>
      <c r="O35" s="37" t="str">
        <f t="shared" si="13"/>
        <v>EXEC sp_dropextendedproperty @name = N'Rule', @level0type=N'SCHEMA',@level0name=N'dbo', @level1type=N'TABLE',@level1name=N'LifeIns', @level2type=N'COLUMN',@level2name=N'FstAddedBonusEndYear'</v>
      </c>
      <c r="P35" s="37" t="str">
        <f t="shared" si="14"/>
        <v>EXEC sp_dropextendedproperty @name = N'Memo', @level0type=N'SCHEMA',@level0name=N'dbo', @level1type=N'TABLE',@level1name=N'LifeIns', @level2type=N'COLUMN',@level2name=N'FstAddedBonusEndYear'</v>
      </c>
      <c r="Q35" s="37" t="str">
        <f t="shared" si="15"/>
        <v>set @OldWording = N'第一階段增值回饋金結束年度' set @NewWording = REPLACE(@OldWording,'***',char(13)+char(10)) EXEC sys.sp_addextendedproperty @name=N'MS_Description', @value=@NewWording , @level0type=N'SCHEMA',@level0name=N'dbo', @level1type=N'TABLE',@level1name=N'LifeIns', @level2type=N'COLUMN',@level2name=N'FstAddedBonusEndYear'</v>
      </c>
      <c r="R35" s="91" t="str">
        <f t="shared" si="16"/>
        <v>set @OldWording = N'利變型欄位' set @NewWording = REPLACE(@OldWording,'***',char(13)+char(10)) EXEC sys.sp_addextendedproperty @name=N'Rule', @value=@NewWording , @level0type=N'SCHEMA',@level0name=N'dbo', @level1type=N'TABLE',@level1name=N'LifeIns', @level2type=N'COLUMN',@level2name=N'FstAddedBonusEndYear'</v>
      </c>
      <c r="S35" s="37"/>
    </row>
    <row r="36" spans="2:19" s="91" customFormat="1">
      <c r="B36" s="98"/>
      <c r="C36" s="29" t="s">
        <v>3612</v>
      </c>
      <c r="D36" s="29" t="s">
        <v>34</v>
      </c>
      <c r="E36" s="28" t="s">
        <v>3616</v>
      </c>
      <c r="F36" s="22"/>
      <c r="G36" s="22" t="s">
        <v>3614</v>
      </c>
      <c r="H36" s="29" t="s">
        <v>3632</v>
      </c>
      <c r="I36" s="27"/>
      <c r="J36" s="21"/>
      <c r="K36" s="21"/>
      <c r="L36" s="37"/>
      <c r="M36" s="37"/>
      <c r="N36" s="37"/>
      <c r="O36" s="37"/>
      <c r="P36" s="37"/>
      <c r="Q36" s="37"/>
      <c r="S36" s="37"/>
    </row>
    <row r="37" spans="2:19" s="91" customFormat="1">
      <c r="B37" s="98"/>
      <c r="C37" s="29" t="s">
        <v>3613</v>
      </c>
      <c r="D37" s="29" t="s">
        <v>34</v>
      </c>
      <c r="E37" s="28" t="s">
        <v>3617</v>
      </c>
      <c r="F37" s="22"/>
      <c r="G37" s="22" t="s">
        <v>3615</v>
      </c>
      <c r="H37" s="29" t="s">
        <v>3633</v>
      </c>
      <c r="I37" s="27"/>
      <c r="J37" s="21"/>
      <c r="K37" s="21"/>
      <c r="L37" s="37"/>
      <c r="M37" s="37"/>
      <c r="N37" s="37"/>
      <c r="O37" s="37"/>
      <c r="P37" s="37"/>
      <c r="Q37" s="37"/>
      <c r="S37" s="37"/>
    </row>
    <row r="38" spans="2:19" s="91" customFormat="1">
      <c r="B38" s="98"/>
      <c r="C38" s="99" t="s">
        <v>4895</v>
      </c>
      <c r="D38" s="99" t="s">
        <v>23</v>
      </c>
      <c r="E38" s="98" t="s">
        <v>16</v>
      </c>
      <c r="F38" s="100"/>
      <c r="G38" s="100" t="s">
        <v>4903</v>
      </c>
      <c r="H38" s="99" t="s">
        <v>4891</v>
      </c>
      <c r="I38" s="21"/>
      <c r="J38" s="21"/>
      <c r="K38" s="21"/>
      <c r="L38" s="37"/>
      <c r="M38" s="37"/>
      <c r="N38" s="37" t="str">
        <f>"EXEC sp_dropextendedproperty @name = N'MS_Description', @level0type=N'SCHEMA',@level0name=N'"&amp;$L$1&amp;"', @level1type=N'TABLE',@level1name=N'"&amp;$M$1&amp;"', @level2type=N'COLUMN',@level2name=N'"&amp;$C38&amp;"'"</f>
        <v>EXEC sp_dropextendedproperty @name = N'MS_Description', @level0type=N'SCHEMA',@level0name=N'dbo', @level1type=N'TABLE',@level1name=N'LifeIns', @level2type=N'COLUMN',@level2name=N'BgnInvBasicPrem'</v>
      </c>
      <c r="O38" s="37" t="str">
        <f>"EXEC sp_dropextendedproperty @name = N'Rule', @level0type=N'SCHEMA',@level0name=N'"&amp;$L$1&amp;"', @level1type=N'TABLE',@level1name=N'"&amp;$M$1&amp;"', @level2type=N'COLUMN',@level2name=N'"&amp;$C38&amp;"'"</f>
        <v>EXEC sp_dropextendedproperty @name = N'Rule', @level0type=N'SCHEMA',@level0name=N'dbo', @level1type=N'TABLE',@level1name=N'LifeIns', @level2type=N'COLUMN',@level2name=N'BgnInvBasicPrem'</v>
      </c>
      <c r="P38" s="37" t="str">
        <f>"EXEC sp_dropextendedproperty @name = N'Memo', @level0type=N'SCHEMA',@level0name=N'"&amp;$L$1&amp;"', @level1type=N'TABLE',@level1name=N'"&amp;$M$1&amp;"', @level2type=N'COLUMN',@level2name=N'"&amp;$C38&amp;"'"</f>
        <v>EXEC sp_dropextendedproperty @name = N'Memo', @level0type=N'SCHEMA',@level0name=N'dbo', @level1type=N'TABLE',@level1name=N'LifeIns', @level2type=N'COLUMN',@level2name=N'BgnInvBasicPrem'</v>
      </c>
      <c r="Q38" s="37" t="str">
        <f>"set @OldWording = N'"&amp;SUBSTITUTE($G38,CHAR(10),"")&amp;"'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@level2type=N'COLUMN',@level2name=N'"&amp;$C38&amp;"'"</f>
        <v>set @OldWording = N'最低基本保險費(投資型)' set @NewWording = REPLACE(@OldWording,'***',char(13)+char(10)) EXEC sys.sp_addextendedproperty @name=N'MS_Description', @value=@NewWording , @level0type=N'SCHEMA',@level0name=N'dbo', @level1type=N'TABLE',@level1name=N'LifeIns', @level2type=N'COLUMN',@level2name=N'BgnInvBasicPrem'</v>
      </c>
      <c r="R38" s="91" t="str">
        <f>"set @OldWording = N'"&amp;SUBSTITUTE($H38,CHAR(10),"")&amp;"'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@level2type=N'COLUMN',@level2name=N'"&amp;$C38&amp;"'"</f>
        <v>set @OldWording = N'投資型商品欄位' set @NewWording = REPLACE(@OldWording,'***',char(13)+char(10)) EXEC sys.sp_addextendedproperty @name=N'Rule', @value=@NewWording , @level0type=N'SCHEMA',@level0name=N'dbo', @level1type=N'TABLE',@level1name=N'LifeIns', @level2type=N'COLUMN',@level2name=N'BgnInvBasicPrem'</v>
      </c>
      <c r="S38" s="37"/>
    </row>
    <row r="39" spans="2:19" s="91" customFormat="1">
      <c r="B39" s="98"/>
      <c r="C39" s="99" t="s">
        <v>4896</v>
      </c>
      <c r="D39" s="99" t="s">
        <v>23</v>
      </c>
      <c r="E39" s="98" t="s">
        <v>16</v>
      </c>
      <c r="F39" s="100"/>
      <c r="G39" s="100" t="s">
        <v>4904</v>
      </c>
      <c r="H39" s="99" t="s">
        <v>4891</v>
      </c>
      <c r="I39" s="21"/>
      <c r="J39" s="21"/>
      <c r="K39" s="21"/>
      <c r="L39" s="37"/>
      <c r="M39" s="37"/>
      <c r="N39" s="37"/>
      <c r="O39" s="37"/>
      <c r="P39" s="37"/>
      <c r="Q39" s="37" t="str">
        <f>"set @OldWording = N'"&amp;SUBSTITUTE($G39,CHAR(10),"")&amp;"'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@level2type=N'COLUMN',@level2name=N'"&amp;$C39&amp;"'"</f>
        <v>set @OldWording = N'最高基本保險費(投資型)' set @NewWording = REPLACE(@OldWording,'***',char(13)+char(10)) EXEC sys.sp_addextendedproperty @name=N'MS_Description', @value=@NewWording , @level0type=N'SCHEMA',@level0name=N'dbo', @level1type=N'TABLE',@level1name=N'LifeIns', @level2type=N'COLUMN',@level2name=N'EndInvBasicPrem'</v>
      </c>
      <c r="S39" s="37"/>
    </row>
    <row r="40" spans="2:19" s="91" customFormat="1">
      <c r="B40" s="98"/>
      <c r="C40" s="99" t="s">
        <v>4897</v>
      </c>
      <c r="D40" s="99" t="s">
        <v>23</v>
      </c>
      <c r="E40" s="98" t="s">
        <v>16</v>
      </c>
      <c r="F40" s="100"/>
      <c r="G40" s="100" t="s">
        <v>4905</v>
      </c>
      <c r="H40" s="99" t="s">
        <v>4891</v>
      </c>
      <c r="I40" s="21"/>
      <c r="J40" s="21"/>
      <c r="K40" s="21"/>
      <c r="L40" s="37"/>
      <c r="M40" s="37"/>
      <c r="N40" s="37"/>
      <c r="O40" s="37"/>
      <c r="P40" s="37"/>
      <c r="Q40" s="37"/>
      <c r="S40" s="37"/>
    </row>
    <row r="41" spans="2:19" s="91" customFormat="1">
      <c r="B41" s="98"/>
      <c r="C41" s="99" t="s">
        <v>4942</v>
      </c>
      <c r="D41" s="99" t="s">
        <v>23</v>
      </c>
      <c r="E41" s="98" t="s">
        <v>16</v>
      </c>
      <c r="F41" s="100"/>
      <c r="G41" s="100" t="s">
        <v>4906</v>
      </c>
      <c r="H41" s="99" t="s">
        <v>4891</v>
      </c>
      <c r="I41" s="21"/>
      <c r="J41" s="21"/>
      <c r="K41" s="21"/>
      <c r="L41" s="37"/>
      <c r="M41" s="37"/>
      <c r="N41" s="37"/>
      <c r="O41" s="37"/>
      <c r="P41" s="37"/>
      <c r="Q41" s="37"/>
      <c r="S41" s="37"/>
    </row>
    <row r="42" spans="2:19">
      <c r="B42" s="11"/>
      <c r="C42" s="99" t="s">
        <v>4943</v>
      </c>
      <c r="D42" s="99" t="s">
        <v>28</v>
      </c>
      <c r="E42" s="98" t="s">
        <v>16</v>
      </c>
      <c r="F42" s="100"/>
      <c r="G42" s="100" t="s">
        <v>4944</v>
      </c>
      <c r="H42" s="99" t="s">
        <v>4891</v>
      </c>
      <c r="I42" s="27"/>
      <c r="J42" s="29"/>
      <c r="K42" s="29"/>
      <c r="N42" s="36" t="str">
        <f t="shared" si="12"/>
        <v>EXEC sp_dropextendedproperty @name = N'MS_Description', @level0type=N'SCHEMA',@level0name=N'dbo', @level1type=N'TABLE',@level1name=N'LifeIns', @level2type=N'COLUMN',@level2name=N'DispInvBasicPremText'</v>
      </c>
      <c r="O42" s="36" t="str">
        <f t="shared" si="13"/>
        <v>EXEC sp_dropextendedproperty @name = N'Rule', @level0type=N'SCHEMA',@level0name=N'dbo', @level1type=N'TABLE',@level1name=N'LifeIns', @level2type=N'COLUMN',@level2name=N'DispInvBasicPremText'</v>
      </c>
      <c r="P42" s="36" t="str">
        <f t="shared" si="14"/>
        <v>EXEC sp_dropextendedproperty @name = N'Memo', @level0type=N'SCHEMA',@level0name=N'dbo', @level1type=N'TABLE',@level1name=N'LifeIns', @level2type=N'COLUMN',@level2name=N'DispInvBasicPremText'</v>
      </c>
      <c r="Q42" s="36" t="str">
        <f t="shared" si="15"/>
        <v>set @OldWording = N'顯示基本保險費文字(投資型)' set @NewWording = REPLACE(@OldWording,'***',char(13)+char(10)) EXEC sys.sp_addextendedproperty @name=N'MS_Description', @value=@NewWording , @level0type=N'SCHEMA',@level0name=N'dbo', @level1type=N'TABLE',@level1name=N'LifeIns', @level2type=N'COLUMN',@level2name=N'DispInvBasicPremText'</v>
      </c>
      <c r="R42" s="32" t="str">
        <f t="shared" si="16"/>
        <v>set @OldWording = N'投資型商品欄位' set @NewWording = REPLACE(@OldWording,'***',char(13)+char(10)) EXEC sys.sp_addextendedproperty @name=N'Rule', @value=@NewWording , @level0type=N'SCHEMA',@level0name=N'dbo', @level1type=N'TABLE',@level1name=N'LifeIns', @level2type=N'COLUMN',@level2name=N'DispInvBasicPremText'</v>
      </c>
      <c r="S42" s="36" t="str">
        <f t="shared" si="17"/>
        <v>set @OldWording = N'' set @NewWording = REPLACE(@OldWording,'***',char(13)+char(10)) EXEC sys.sp_addextendedproperty @name=N'Memo', @value=@NewWording , @level0type=N'SCHEMA',@level0name=N'dbo', @level1type=N'TABLE',@level1name=N'LifeIns', @level2type=N'COLUMN',@level2name=N'DispInvBasicPremText'</v>
      </c>
    </row>
    <row r="43" spans="2:19" s="91" customFormat="1">
      <c r="B43" s="98"/>
      <c r="C43" s="99" t="s">
        <v>4898</v>
      </c>
      <c r="D43" s="99" t="s">
        <v>375</v>
      </c>
      <c r="E43" s="98" t="s">
        <v>16</v>
      </c>
      <c r="F43" s="100"/>
      <c r="G43" s="100" t="s">
        <v>4907</v>
      </c>
      <c r="H43" s="99" t="s">
        <v>4891</v>
      </c>
      <c r="I43" s="21"/>
      <c r="J43" s="21"/>
      <c r="K43" s="21"/>
      <c r="L43" s="37"/>
      <c r="M43" s="37"/>
      <c r="N43" s="37"/>
      <c r="O43" s="37"/>
      <c r="P43" s="37"/>
      <c r="Q43" s="37"/>
      <c r="S43" s="37"/>
    </row>
    <row r="44" spans="2:19" s="91" customFormat="1">
      <c r="B44" s="98"/>
      <c r="C44" s="99" t="s">
        <v>4899</v>
      </c>
      <c r="D44" s="99" t="s">
        <v>23</v>
      </c>
      <c r="E44" s="98" t="s">
        <v>16</v>
      </c>
      <c r="F44" s="100"/>
      <c r="G44" s="100" t="s">
        <v>4922</v>
      </c>
      <c r="H44" s="99" t="s">
        <v>4891</v>
      </c>
      <c r="I44" s="21"/>
      <c r="J44" s="21"/>
      <c r="K44" s="21"/>
      <c r="L44" s="37"/>
      <c r="M44" s="37"/>
      <c r="N44" s="37"/>
      <c r="O44" s="37"/>
      <c r="P44" s="37"/>
      <c r="Q44" s="37"/>
      <c r="S44" s="37"/>
    </row>
    <row r="45" spans="2:19" s="91" customFormat="1">
      <c r="B45" s="98"/>
      <c r="C45" s="99" t="s">
        <v>4900</v>
      </c>
      <c r="D45" s="99" t="s">
        <v>23</v>
      </c>
      <c r="E45" s="98" t="s">
        <v>16</v>
      </c>
      <c r="F45" s="100"/>
      <c r="G45" s="100" t="s">
        <v>4923</v>
      </c>
      <c r="H45" s="99" t="s">
        <v>4891</v>
      </c>
      <c r="I45" s="21"/>
      <c r="J45" s="21"/>
      <c r="K45" s="21"/>
      <c r="L45" s="37"/>
      <c r="M45" s="37"/>
      <c r="N45" s="37"/>
      <c r="O45" s="37"/>
      <c r="P45" s="37"/>
      <c r="Q45" s="37"/>
      <c r="S45" s="37"/>
    </row>
    <row r="46" spans="2:19" s="91" customFormat="1">
      <c r="B46" s="98"/>
      <c r="C46" s="99" t="s">
        <v>4901</v>
      </c>
      <c r="D46" s="99" t="s">
        <v>375</v>
      </c>
      <c r="E46" s="98" t="s">
        <v>16</v>
      </c>
      <c r="F46" s="100"/>
      <c r="G46" s="100" t="s">
        <v>4908</v>
      </c>
      <c r="H46" s="99" t="s">
        <v>4891</v>
      </c>
      <c r="I46" s="21"/>
      <c r="J46" s="21"/>
      <c r="K46" s="21"/>
      <c r="L46" s="37"/>
      <c r="M46" s="37"/>
      <c r="N46" s="37"/>
      <c r="O46" s="37"/>
      <c r="P46" s="37"/>
      <c r="Q46" s="37"/>
      <c r="S46" s="37"/>
    </row>
    <row r="47" spans="2:19" s="91" customFormat="1">
      <c r="B47" s="98"/>
      <c r="C47" s="99" t="s">
        <v>4902</v>
      </c>
      <c r="D47" s="99" t="s">
        <v>375</v>
      </c>
      <c r="E47" s="98" t="s">
        <v>16</v>
      </c>
      <c r="F47" s="100"/>
      <c r="G47" s="100" t="s">
        <v>4909</v>
      </c>
      <c r="H47" s="99" t="s">
        <v>4891</v>
      </c>
      <c r="I47" s="21"/>
      <c r="J47" s="21"/>
      <c r="K47" s="21"/>
      <c r="L47" s="37"/>
      <c r="M47" s="37"/>
      <c r="N47" s="37"/>
      <c r="O47" s="37"/>
      <c r="P47" s="37"/>
      <c r="Q47" s="37"/>
      <c r="S47" s="37"/>
    </row>
    <row r="48" spans="2:19" s="91" customFormat="1">
      <c r="B48" s="98"/>
      <c r="C48" s="36" t="s">
        <v>4678</v>
      </c>
      <c r="D48" s="36" t="s">
        <v>4677</v>
      </c>
      <c r="E48" s="28" t="s">
        <v>16</v>
      </c>
      <c r="F48" s="32"/>
      <c r="G48" s="22" t="s">
        <v>4679</v>
      </c>
      <c r="H48" s="29" t="s">
        <v>4892</v>
      </c>
      <c r="I48" s="27"/>
      <c r="J48" s="21"/>
      <c r="K48" s="21"/>
      <c r="L48" s="37"/>
      <c r="M48" s="37"/>
      <c r="N48" s="37"/>
      <c r="O48" s="37"/>
      <c r="P48" s="37"/>
      <c r="Q48" s="37"/>
      <c r="S48" s="37"/>
    </row>
    <row r="49" spans="2:19" s="32" customFormat="1">
      <c r="B49" s="28"/>
      <c r="C49" s="29" t="s">
        <v>4203</v>
      </c>
      <c r="D49" s="29" t="s">
        <v>4205</v>
      </c>
      <c r="E49" s="28" t="s">
        <v>4204</v>
      </c>
      <c r="F49" s="22"/>
      <c r="G49" s="22" t="s">
        <v>4206</v>
      </c>
      <c r="H49" s="29" t="s">
        <v>4893</v>
      </c>
      <c r="I49" s="27"/>
      <c r="J49" s="27"/>
      <c r="K49" s="27"/>
      <c r="L49" s="36"/>
      <c r="M49" s="36"/>
      <c r="N49" s="36"/>
      <c r="O49" s="36"/>
      <c r="P49" s="36"/>
      <c r="Q49" s="36"/>
      <c r="S49" s="36"/>
    </row>
    <row r="50" spans="2:19">
      <c r="B50" s="11"/>
      <c r="C50" s="29" t="s">
        <v>2914</v>
      </c>
      <c r="D50" s="29" t="s">
        <v>21</v>
      </c>
      <c r="E50" s="28"/>
      <c r="F50" s="22"/>
      <c r="G50" s="22" t="s">
        <v>2913</v>
      </c>
      <c r="H50" s="29" t="s">
        <v>4894</v>
      </c>
      <c r="I50" s="27" t="s">
        <v>273</v>
      </c>
      <c r="J50" s="21"/>
      <c r="K50" s="21"/>
      <c r="N50" s="36" t="str">
        <f t="shared" si="12"/>
        <v>EXEC sp_dropextendedproperty @name = N'MS_Description', @level0type=N'SCHEMA',@level0name=N'dbo', @level1type=N'TABLE',@level1name=N'LifeIns', @level2type=N'COLUMN',@level2name=N'AgedRecord'</v>
      </c>
      <c r="O50" s="36" t="str">
        <f t="shared" si="13"/>
        <v>EXEC sp_dropextendedproperty @name = N'Rule', @level0type=N'SCHEMA',@level0name=N'dbo', @level1type=N'TABLE',@level1name=N'LifeIns', @level2type=N'COLUMN',@level2name=N'AgedRecord'</v>
      </c>
      <c r="P50" s="36" t="str">
        <f t="shared" si="14"/>
        <v>EXEC sp_dropextendedproperty @name = N'Memo', @level0type=N'SCHEMA',@level0name=N'dbo', @level1type=N'TABLE',@level1name=N'LifeIns', @level2type=N'COLUMN',@level2name=N'AgedRecord'</v>
      </c>
      <c r="Q50" s="36" t="str">
        <f t="shared" si="15"/>
        <v>set @OldWording = N'高齡錄音' set @NewWording = REPLACE(@OldWording,'***',char(13)+char(10)) EXEC sys.sp_addextendedproperty @name=N'MS_Description', @value=@NewWording , @level0type=N'SCHEMA',@level0name=N'dbo', @level1type=N'TABLE',@level1name=N'LifeIns', @level2type=N'COLUMN',@level2name=N'AgedRecord'</v>
      </c>
      <c r="R50" s="32" t="str">
        <f t="shared" si="16"/>
        <v>set @OldWording = N'報表欄位' set @NewWording = REPLACE(@OldWording,'***',char(13)+char(10)) EXEC sys.sp_addextendedproperty @name=N'Rule', @value=@NewWording , @level0type=N'SCHEMA',@level0name=N'dbo', @level1type=N'TABLE',@level1name=N'LifeIns', @level2type=N'COLUMN',@level2name=N'AgedRecord'</v>
      </c>
      <c r="S50" s="36" t="str">
        <f t="shared" si="17"/>
        <v>set @OldWording = N'PPL.000.001' set @NewWording = REPLACE(@OldWording,'***',char(13)+char(10)) EXEC sys.sp_addextendedproperty @name=N'Memo', @value=@NewWording , @level0type=N'SCHEMA',@level0name=N'dbo', @level1type=N'TABLE',@level1name=N'LifeIns', @level2type=N'COLUMN',@level2name=N'AgedRecord'</v>
      </c>
    </row>
    <row r="51" spans="2:19">
      <c r="B51" s="11"/>
      <c r="C51" s="22" t="s">
        <v>425</v>
      </c>
      <c r="D51" s="22" t="s">
        <v>454</v>
      </c>
      <c r="E51" s="28" t="s">
        <v>16</v>
      </c>
      <c r="F51" s="29" t="s">
        <v>20</v>
      </c>
      <c r="G51" s="22" t="s">
        <v>450</v>
      </c>
      <c r="H51" s="29"/>
      <c r="I51" s="29"/>
      <c r="J51" s="29"/>
      <c r="K51" s="29"/>
      <c r="N51" s="36" t="str">
        <f t="shared" si="12"/>
        <v>EXEC sp_dropextendedproperty @name = N'MS_Description', @level0type=N'SCHEMA',@level0name=N'dbo', @level1type=N'TABLE',@level1name=N'LifeIns', @level2type=N'COLUMN',@level2name=N'CreateTime'</v>
      </c>
      <c r="O51" s="36" t="str">
        <f t="shared" si="13"/>
        <v>EXEC sp_dropextendedproperty @name = N'Rule', @level0type=N'SCHEMA',@level0name=N'dbo', @level1type=N'TABLE',@level1name=N'LifeIns', @level2type=N'COLUMN',@level2name=N'CreateTime'</v>
      </c>
      <c r="P51" s="36" t="str">
        <f t="shared" si="14"/>
        <v>EXEC sp_dropextendedproperty @name = N'Memo', @level0type=N'SCHEMA',@level0name=N'dbo', @level1type=N'TABLE',@level1name=N'LifeIns', @level2type=N'COLUMN',@level2name=N'CreateTime'</v>
      </c>
      <c r="Q51" s="36" t="str">
        <f t="shared" si="15"/>
        <v>set @OldWording = N'建立時間' set @NewWording = REPLACE(@OldWording,'***',char(13)+char(10)) EXEC sys.sp_addextendedproperty @name=N'MS_Description', @value=@NewWording , @level0type=N'SCHEMA',@level0name=N'dbo', @level1type=N'TABLE',@level1name=N'LifeIns', @level2type=N'COLUMN',@level2name=N'CreateTime'</v>
      </c>
      <c r="R51" s="32" t="str">
        <f t="shared" si="16"/>
        <v>set @OldWording = N'' set @NewWording = REPLACE(@OldWording,'***',char(13)+char(10)) EXEC sys.sp_addextendedproperty @name=N'Rule', @value=@NewWording , @level0type=N'SCHEMA',@level0name=N'dbo', @level1type=N'TABLE',@level1name=N'LifeIns', @level2type=N'COLUMN',@level2name=N'CreateTime'</v>
      </c>
      <c r="S51" s="36" t="str">
        <f t="shared" si="17"/>
        <v>set @OldWording = N'' set @NewWording = REPLACE(@OldWording,'***',char(13)+char(10)) EXEC sys.sp_addextendedproperty @name=N'Memo', @value=@NewWording , @level0type=N'SCHEMA',@level0name=N'dbo', @level1type=N'TABLE',@level1name=N'LifeIns', @level2type=N'COLUMN',@level2name=N'CreateTime'</v>
      </c>
    </row>
    <row r="52" spans="2:19">
      <c r="B52" s="11"/>
      <c r="C52" s="22" t="s">
        <v>426</v>
      </c>
      <c r="D52" s="22" t="s">
        <v>37</v>
      </c>
      <c r="E52" s="28"/>
      <c r="F52" s="29"/>
      <c r="G52" s="22" t="s">
        <v>451</v>
      </c>
      <c r="H52" s="29"/>
      <c r="I52" s="29"/>
      <c r="J52" s="29"/>
      <c r="K52" s="29"/>
      <c r="N52" s="36" t="str">
        <f t="shared" si="12"/>
        <v>EXEC sp_dropextendedproperty @name = N'MS_Description', @level0type=N'SCHEMA',@level0name=N'dbo', @level1type=N'TABLE',@level1name=N'LifeIns', @level2type=N'COLUMN',@level2name=N'Creator'</v>
      </c>
      <c r="O52" s="36" t="str">
        <f t="shared" si="13"/>
        <v>EXEC sp_dropextendedproperty @name = N'Rule', @level0type=N'SCHEMA',@level0name=N'dbo', @level1type=N'TABLE',@level1name=N'LifeIns', @level2type=N'COLUMN',@level2name=N'Creator'</v>
      </c>
      <c r="P52" s="36" t="str">
        <f t="shared" si="14"/>
        <v>EXEC sp_dropextendedproperty @name = N'Memo', @level0type=N'SCHEMA',@level0name=N'dbo', @level1type=N'TABLE',@level1name=N'LifeIns', @level2type=N'COLUMN',@level2name=N'Creator'</v>
      </c>
      <c r="Q52" s="36" t="str">
        <f t="shared" si="15"/>
        <v>set @OldWording = N'建立人員' set @NewWording = REPLACE(@OldWording,'***',char(13)+char(10)) EXEC sys.sp_addextendedproperty @name=N'MS_Description', @value=@NewWording , @level0type=N'SCHEMA',@level0name=N'dbo', @level1type=N'TABLE',@level1name=N'LifeIns', @level2type=N'COLUMN',@level2name=N'Creator'</v>
      </c>
      <c r="R52" s="32" t="str">
        <f t="shared" si="16"/>
        <v>set @OldWording = N'' set @NewWording = REPLACE(@OldWording,'***',char(13)+char(10)) EXEC sys.sp_addextendedproperty @name=N'Rule', @value=@NewWording , @level0type=N'SCHEMA',@level0name=N'dbo', @level1type=N'TABLE',@level1name=N'LifeIns', @level2type=N'COLUMN',@level2name=N'Creator'</v>
      </c>
      <c r="S52" s="36" t="str">
        <f t="shared" si="17"/>
        <v>set @OldWording = N'' set @NewWording = REPLACE(@OldWording,'***',char(13)+char(10)) EXEC sys.sp_addextendedproperty @name=N'Memo', @value=@NewWording , @level0type=N'SCHEMA',@level0name=N'dbo', @level1type=N'TABLE',@level1name=N'LifeIns', @level2type=N'COLUMN',@level2name=N'Creator'</v>
      </c>
    </row>
    <row r="53" spans="2:19">
      <c r="B53" s="11"/>
      <c r="C53" s="22" t="s">
        <v>427</v>
      </c>
      <c r="D53" s="22" t="s">
        <v>11</v>
      </c>
      <c r="E53" s="28" t="s">
        <v>16</v>
      </c>
      <c r="F53" s="29" t="s">
        <v>20</v>
      </c>
      <c r="G53" s="22" t="s">
        <v>452</v>
      </c>
      <c r="H53" s="29"/>
      <c r="I53" s="29"/>
      <c r="J53" s="29"/>
      <c r="K53" s="29"/>
      <c r="N53" s="36" t="str">
        <f t="shared" si="12"/>
        <v>EXEC sp_dropextendedproperty @name = N'MS_Description', @level0type=N'SCHEMA',@level0name=N'dbo', @level1type=N'TABLE',@level1name=N'LifeIns', @level2type=N'COLUMN',@level2name=N'ModifyTime'</v>
      </c>
      <c r="O53" s="36" t="str">
        <f t="shared" si="13"/>
        <v>EXEC sp_dropextendedproperty @name = N'Rule', @level0type=N'SCHEMA',@level0name=N'dbo', @level1type=N'TABLE',@level1name=N'LifeIns', @level2type=N'COLUMN',@level2name=N'ModifyTime'</v>
      </c>
      <c r="P53" s="36" t="str">
        <f t="shared" si="14"/>
        <v>EXEC sp_dropextendedproperty @name = N'Memo', @level0type=N'SCHEMA',@level0name=N'dbo', @level1type=N'TABLE',@level1name=N'LifeIns', @level2type=N'COLUMN',@level2name=N'ModifyTime'</v>
      </c>
      <c r="Q53" s="36" t="str">
        <f t="shared" si="15"/>
        <v>set @OldWording = N'修改時間' set @NewWording = REPLACE(@OldWording,'***',char(13)+char(10)) EXEC sys.sp_addextendedproperty @name=N'MS_Description', @value=@NewWording , @level0type=N'SCHEMA',@level0name=N'dbo', @level1type=N'TABLE',@level1name=N'LifeIns', @level2type=N'COLUMN',@level2name=N'ModifyTime'</v>
      </c>
      <c r="R53" s="32" t="str">
        <f t="shared" si="16"/>
        <v>set @OldWording = N'' set @NewWording = REPLACE(@OldWording,'***',char(13)+char(10)) EXEC sys.sp_addextendedproperty @name=N'Rule', @value=@NewWording , @level0type=N'SCHEMA',@level0name=N'dbo', @level1type=N'TABLE',@level1name=N'LifeIns', @level2type=N'COLUMN',@level2name=N'ModifyTime'</v>
      </c>
      <c r="S53" s="36" t="str">
        <f t="shared" si="17"/>
        <v>set @OldWording = N'' set @NewWording = REPLACE(@OldWording,'***',char(13)+char(10)) EXEC sys.sp_addextendedproperty @name=N'Memo', @value=@NewWording , @level0type=N'SCHEMA',@level0name=N'dbo', @level1type=N'TABLE',@level1name=N'LifeIns', @level2type=N'COLUMN',@level2name=N'ModifyTime'</v>
      </c>
    </row>
    <row r="54" spans="2:19">
      <c r="B54" s="11"/>
      <c r="C54" s="22" t="s">
        <v>428</v>
      </c>
      <c r="D54" s="22" t="s">
        <v>37</v>
      </c>
      <c r="E54" s="28"/>
      <c r="F54" s="29"/>
      <c r="G54" s="22" t="s">
        <v>453</v>
      </c>
      <c r="H54" s="29"/>
      <c r="I54" s="29"/>
      <c r="J54" s="29"/>
      <c r="K54" s="29"/>
      <c r="N54" s="36" t="str">
        <f t="shared" si="12"/>
        <v>EXEC sp_dropextendedproperty @name = N'MS_Description', @level0type=N'SCHEMA',@level0name=N'dbo', @level1type=N'TABLE',@level1name=N'LifeIns', @level2type=N'COLUMN',@level2name=N'Modifier'</v>
      </c>
      <c r="O54" s="36" t="str">
        <f t="shared" si="13"/>
        <v>EXEC sp_dropextendedproperty @name = N'Rule', @level0type=N'SCHEMA',@level0name=N'dbo', @level1type=N'TABLE',@level1name=N'LifeIns', @level2type=N'COLUMN',@level2name=N'Modifier'</v>
      </c>
      <c r="P54" s="36" t="str">
        <f t="shared" si="14"/>
        <v>EXEC sp_dropextendedproperty @name = N'Memo', @level0type=N'SCHEMA',@level0name=N'dbo', @level1type=N'TABLE',@level1name=N'LifeIns', @level2type=N'COLUMN',@level2name=N'Modifier'</v>
      </c>
      <c r="Q54" s="36" t="str">
        <f t="shared" si="15"/>
        <v>set @OldWording = N'修改人員' set @NewWording = REPLACE(@OldWording,'***',char(13)+char(10)) EXEC sys.sp_addextendedproperty @name=N'MS_Description', @value=@NewWording , @level0type=N'SCHEMA',@level0name=N'dbo', @level1type=N'TABLE',@level1name=N'LifeIns', @level2type=N'COLUMN',@level2name=N'Modifier'</v>
      </c>
      <c r="R54" s="32" t="str">
        <f t="shared" si="16"/>
        <v>set @OldWording = N'' set @NewWording = REPLACE(@OldWording,'***',char(13)+char(10)) EXEC sys.sp_addextendedproperty @name=N'Rule', @value=@NewWording , @level0type=N'SCHEMA',@level0name=N'dbo', @level1type=N'TABLE',@level1name=N'LifeIns', @level2type=N'COLUMN',@level2name=N'Modifier'</v>
      </c>
      <c r="S54" s="36" t="str">
        <f t="shared" si="17"/>
        <v>set @OldWording = N'' set @NewWording = REPLACE(@OldWording,'***',char(13)+char(10)) EXEC sys.sp_addextendedproperty @name=N'Memo', @value=@NewWording , @level0type=N'SCHEMA',@level0name=N'dbo', @level1type=N'TABLE',@level1name=N'LifeIns', @level2type=N'COLUMN',@level2name=N'Modifier'</v>
      </c>
    </row>
    <row r="55" spans="2:19">
      <c r="B55" s="11"/>
      <c r="C55" s="22"/>
      <c r="D55" s="22"/>
      <c r="E55" s="28"/>
      <c r="F55" s="29"/>
      <c r="G55" s="22"/>
      <c r="H55" s="29"/>
      <c r="I55" s="29"/>
      <c r="J55" s="29"/>
      <c r="K55" s="29"/>
    </row>
    <row r="56" spans="2:19">
      <c r="B56" s="11"/>
      <c r="C56" s="22"/>
      <c r="D56" s="22"/>
      <c r="E56" s="28"/>
      <c r="F56" s="29"/>
      <c r="G56" s="22"/>
      <c r="H56" s="29"/>
      <c r="I56" s="29"/>
      <c r="J56" s="29"/>
      <c r="K56" s="29"/>
    </row>
    <row r="57" spans="2:19">
      <c r="B57" s="11"/>
      <c r="C57" s="22"/>
      <c r="D57" s="22"/>
      <c r="E57" s="28"/>
      <c r="F57" s="29"/>
      <c r="G57" s="22"/>
      <c r="H57" s="29"/>
      <c r="I57" s="29"/>
      <c r="J57" s="29"/>
      <c r="K57" s="29"/>
    </row>
    <row r="58" spans="2:19">
      <c r="B58" s="11"/>
      <c r="C58" s="22"/>
      <c r="D58" s="22"/>
      <c r="E58" s="28"/>
      <c r="F58" s="29"/>
      <c r="G58" s="22"/>
      <c r="H58" s="29"/>
      <c r="I58" s="29"/>
      <c r="J58" s="29"/>
      <c r="K58" s="29"/>
    </row>
    <row r="59" spans="2:19">
      <c r="B59" s="11"/>
      <c r="C59" s="22"/>
      <c r="D59" s="22"/>
      <c r="E59" s="28"/>
      <c r="F59" s="29"/>
      <c r="G59" s="22"/>
      <c r="H59" s="29"/>
      <c r="I59" s="29"/>
      <c r="J59" s="29"/>
      <c r="K59" s="29"/>
    </row>
    <row r="60" spans="2:19" s="32" customFormat="1">
      <c r="B60" s="28"/>
      <c r="C60" s="29"/>
      <c r="D60" s="29"/>
      <c r="E60" s="28"/>
      <c r="F60" s="22"/>
      <c r="G60" s="22"/>
      <c r="I60" s="27"/>
      <c r="J60" s="27"/>
      <c r="K60" s="27"/>
      <c r="L60" s="36"/>
      <c r="M60" s="36"/>
      <c r="N60" s="36"/>
      <c r="O60" s="36"/>
      <c r="P60" s="36"/>
      <c r="Q60" s="36"/>
      <c r="R60" s="36"/>
    </row>
    <row r="61" spans="2:19" s="32" customFormat="1">
      <c r="B61" s="28"/>
      <c r="C61" s="27"/>
      <c r="D61" s="29"/>
      <c r="E61" s="28"/>
      <c r="F61" s="22"/>
      <c r="G61" s="22"/>
      <c r="I61" s="27"/>
      <c r="J61" s="27"/>
      <c r="K61" s="27"/>
      <c r="L61" s="36"/>
      <c r="M61" s="36"/>
      <c r="N61" s="36"/>
      <c r="O61" s="36"/>
      <c r="P61" s="36"/>
      <c r="Q61" s="36"/>
      <c r="R61" s="36"/>
    </row>
    <row r="62" spans="2:19" s="32" customFormat="1">
      <c r="I62" s="29"/>
      <c r="L62" s="36"/>
      <c r="M62" s="36"/>
      <c r="N62" s="36"/>
      <c r="O62" s="36"/>
      <c r="P62" s="36"/>
      <c r="Q62" s="36"/>
      <c r="R62" s="36"/>
    </row>
    <row r="63" spans="2:19" s="32" customFormat="1">
      <c r="B63" s="28"/>
      <c r="C63" s="29"/>
      <c r="D63" s="29"/>
      <c r="E63" s="28"/>
      <c r="F63" s="22"/>
      <c r="G63" s="22"/>
      <c r="I63" s="27"/>
      <c r="J63" s="27"/>
      <c r="K63" s="27"/>
      <c r="L63" s="36"/>
      <c r="M63" s="36"/>
      <c r="N63" s="36"/>
      <c r="O63" s="36"/>
      <c r="P63" s="36"/>
      <c r="Q63" s="36"/>
      <c r="R63" s="36"/>
    </row>
    <row r="64" spans="2:19" s="32" customFormat="1">
      <c r="B64" s="28"/>
      <c r="C64" s="29"/>
      <c r="D64" s="29"/>
      <c r="E64" s="28"/>
      <c r="F64" s="22"/>
      <c r="G64" s="22"/>
      <c r="I64" s="29"/>
      <c r="J64" s="29"/>
      <c r="K64" s="29"/>
      <c r="L64" s="36"/>
      <c r="M64" s="36"/>
      <c r="N64" s="36"/>
      <c r="O64" s="36"/>
      <c r="P64" s="36"/>
      <c r="Q64" s="36"/>
      <c r="R64" s="36"/>
    </row>
    <row r="65" spans="2:18">
      <c r="B65" s="11"/>
      <c r="C65" s="29"/>
      <c r="D65" s="29"/>
      <c r="E65" s="28"/>
      <c r="F65" s="22"/>
      <c r="G65" s="22"/>
      <c r="H65" s="29"/>
      <c r="I65" s="29"/>
      <c r="J65" s="29"/>
      <c r="K65" s="29"/>
      <c r="M65" s="32"/>
      <c r="N65" s="32"/>
      <c r="O65" s="32"/>
      <c r="P65" s="32"/>
      <c r="Q65" s="32"/>
      <c r="R65" s="32"/>
    </row>
  </sheetData>
  <phoneticPr fontId="3" type="noConversion"/>
  <hyperlinks>
    <hyperlink ref="A1" location="目錄!A1" display="回到目錄"/>
  </hyperlinks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"/>
  <dimension ref="A1:AQ32"/>
  <sheetViews>
    <sheetView workbookViewId="0">
      <pane xSplit="2" ySplit="1" topLeftCell="AE2" activePane="bottomRight" state="frozen"/>
      <selection pane="topRight" activeCell="D1" sqref="D1"/>
      <selection pane="bottomLeft" activeCell="A2" sqref="A2"/>
      <selection pane="bottomRight"/>
    </sheetView>
  </sheetViews>
  <sheetFormatPr defaultRowHeight="13.8"/>
  <cols>
    <col min="1" max="1" width="7.453125" style="1" bestFit="1" customWidth="1"/>
    <col min="2" max="2" width="8.54296875" style="1" bestFit="1" customWidth="1"/>
    <col min="3" max="3" width="12.08984375" style="1" bestFit="1" customWidth="1"/>
    <col min="4" max="4" width="51.6328125" style="1" bestFit="1" customWidth="1"/>
    <col min="5" max="5" width="8.26953125" style="1" bestFit="1" customWidth="1"/>
    <col min="6" max="6" width="11.81640625" style="1" bestFit="1" customWidth="1"/>
    <col min="7" max="7" width="7.36328125" style="1" bestFit="1" customWidth="1"/>
    <col min="8" max="8" width="8.6328125" style="1" bestFit="1" customWidth="1"/>
    <col min="9" max="9" width="8.54296875" style="1" bestFit="1" customWidth="1"/>
    <col min="10" max="10" width="7.81640625" style="1" bestFit="1" customWidth="1"/>
    <col min="11" max="11" width="12" style="1" bestFit="1" customWidth="1"/>
    <col min="12" max="12" width="9.08984375" style="1" bestFit="1" customWidth="1"/>
    <col min="13" max="13" width="8.26953125" style="1" bestFit="1" customWidth="1"/>
    <col min="14" max="14" width="4.90625" style="1" bestFit="1" customWidth="1"/>
    <col min="15" max="15" width="9.08984375" style="1" bestFit="1" customWidth="1"/>
    <col min="16" max="16" width="12.08984375" style="1" bestFit="1" customWidth="1"/>
    <col min="17" max="17" width="3.90625" style="1" bestFit="1" customWidth="1"/>
    <col min="18" max="18" width="14.7265625" style="1" bestFit="1" customWidth="1"/>
    <col min="19" max="19" width="15" style="1" bestFit="1" customWidth="1"/>
    <col min="20" max="20" width="12.36328125" style="1" bestFit="1" customWidth="1"/>
    <col min="21" max="21" width="13.1796875" style="1" bestFit="1" customWidth="1"/>
    <col min="22" max="22" width="13.26953125" style="1" bestFit="1" customWidth="1"/>
    <col min="23" max="23" width="10.08984375" style="1" bestFit="1" customWidth="1"/>
    <col min="24" max="24" width="7.7265625" style="1" bestFit="1" customWidth="1"/>
    <col min="25" max="26" width="11.1796875" style="1" bestFit="1" customWidth="1"/>
    <col min="27" max="27" width="10.26953125" style="1" bestFit="1" customWidth="1"/>
    <col min="28" max="28" width="13.7265625" style="1" bestFit="1" customWidth="1"/>
    <col min="29" max="29" width="7.36328125" style="1" bestFit="1" customWidth="1"/>
    <col min="30" max="30" width="9.54296875" style="1" bestFit="1" customWidth="1"/>
    <col min="31" max="31" width="10.08984375" style="1" bestFit="1" customWidth="1"/>
    <col min="32" max="32" width="10" style="1" bestFit="1" customWidth="1"/>
    <col min="33" max="33" width="8.90625" style="1" bestFit="1" customWidth="1"/>
    <col min="34" max="34" width="8.90625" style="1" customWidth="1"/>
    <col min="35" max="35" width="10.81640625" style="1" customWidth="1"/>
    <col min="36" max="36" width="10.453125" style="1" customWidth="1"/>
    <col min="37" max="38" width="10.54296875" style="1" customWidth="1"/>
    <col min="39" max="39" width="10.7265625" style="1" bestFit="1" customWidth="1"/>
    <col min="40" max="40" width="10" style="1" bestFit="1" customWidth="1"/>
    <col min="41" max="41" width="7" style="1" bestFit="1" customWidth="1"/>
    <col min="42" max="42" width="10.36328125" style="1" bestFit="1" customWidth="1"/>
    <col min="43" max="43" width="7.81640625" style="1" bestFit="1" customWidth="1"/>
    <col min="44" max="16384" width="8.7265625" style="1"/>
  </cols>
  <sheetData>
    <row r="1" spans="1:43">
      <c r="A1" s="63" t="s">
        <v>36</v>
      </c>
      <c r="B1" s="80" t="s">
        <v>171</v>
      </c>
      <c r="C1" s="80" t="s">
        <v>3007</v>
      </c>
      <c r="D1" s="80" t="s">
        <v>3008</v>
      </c>
      <c r="E1" s="80" t="s">
        <v>3009</v>
      </c>
      <c r="F1" s="80" t="s">
        <v>3010</v>
      </c>
      <c r="G1" s="80" t="s">
        <v>3011</v>
      </c>
      <c r="H1" s="80" t="s">
        <v>3730</v>
      </c>
      <c r="I1" s="80" t="s">
        <v>2924</v>
      </c>
      <c r="J1" s="80" t="s">
        <v>3716</v>
      </c>
      <c r="K1" s="80" t="s">
        <v>3717</v>
      </c>
      <c r="L1" s="80" t="s">
        <v>3726</v>
      </c>
      <c r="M1" s="80" t="s">
        <v>3718</v>
      </c>
      <c r="N1" s="80" t="s">
        <v>3012</v>
      </c>
      <c r="O1" s="80" t="s">
        <v>3719</v>
      </c>
      <c r="P1" s="80" t="s">
        <v>3013</v>
      </c>
      <c r="Q1" s="80" t="s">
        <v>3014</v>
      </c>
      <c r="R1" s="80" t="s">
        <v>3720</v>
      </c>
      <c r="S1" s="80" t="s">
        <v>3721</v>
      </c>
      <c r="T1" s="80" t="s">
        <v>3015</v>
      </c>
      <c r="U1" s="80" t="s">
        <v>3747</v>
      </c>
      <c r="V1" s="80" t="s">
        <v>3748</v>
      </c>
      <c r="W1" s="80" t="s">
        <v>3016</v>
      </c>
      <c r="X1" s="80" t="s">
        <v>2996</v>
      </c>
      <c r="Y1" s="80" t="s">
        <v>3017</v>
      </c>
      <c r="Z1" s="80" t="s">
        <v>3018</v>
      </c>
      <c r="AA1" s="80" t="s">
        <v>3019</v>
      </c>
      <c r="AB1" s="80" t="s">
        <v>3020</v>
      </c>
      <c r="AC1" s="80" t="s">
        <v>3021</v>
      </c>
      <c r="AD1" s="80" t="s">
        <v>3723</v>
      </c>
      <c r="AE1" s="80" t="s">
        <v>3724</v>
      </c>
      <c r="AF1" s="80" t="s">
        <v>3022</v>
      </c>
      <c r="AG1" s="80" t="s">
        <v>3023</v>
      </c>
      <c r="AH1" s="80" t="s">
        <v>3858</v>
      </c>
      <c r="AI1" s="80" t="s">
        <v>3629</v>
      </c>
      <c r="AJ1" s="80" t="s">
        <v>3630</v>
      </c>
      <c r="AK1" s="80" t="s">
        <v>3631</v>
      </c>
      <c r="AL1" s="80" t="s">
        <v>4202</v>
      </c>
      <c r="AM1" s="80" t="s">
        <v>3024</v>
      </c>
      <c r="AN1" s="80" t="s">
        <v>0</v>
      </c>
      <c r="AO1" s="80" t="s">
        <v>1</v>
      </c>
      <c r="AP1" s="80" t="s">
        <v>19</v>
      </c>
      <c r="AQ1" s="80" t="s">
        <v>2</v>
      </c>
    </row>
    <row r="2" spans="1:43">
      <c r="B2" s="1" t="s">
        <v>3033</v>
      </c>
      <c r="C2" s="1" t="s">
        <v>3033</v>
      </c>
      <c r="D2" s="1" t="s">
        <v>3025</v>
      </c>
      <c r="E2" s="1">
        <v>1</v>
      </c>
      <c r="F2" s="1">
        <v>1</v>
      </c>
      <c r="G2" s="1" t="s">
        <v>534</v>
      </c>
      <c r="H2" s="1">
        <v>20200101</v>
      </c>
      <c r="I2" s="1">
        <v>99991231</v>
      </c>
      <c r="J2" s="1" t="s">
        <v>539</v>
      </c>
      <c r="K2" s="1">
        <v>2</v>
      </c>
      <c r="L2" s="1" t="s">
        <v>534</v>
      </c>
      <c r="M2" s="1" t="s">
        <v>534</v>
      </c>
      <c r="N2" s="1" t="s">
        <v>3026</v>
      </c>
      <c r="O2" s="1">
        <v>2</v>
      </c>
      <c r="P2" s="1" t="s">
        <v>3027</v>
      </c>
      <c r="Q2" s="1" t="s">
        <v>526</v>
      </c>
      <c r="R2" s="1">
        <v>1</v>
      </c>
      <c r="S2" s="1">
        <v>6</v>
      </c>
      <c r="T2" s="1">
        <v>1</v>
      </c>
      <c r="U2" s="1">
        <v>10</v>
      </c>
      <c r="V2" s="1">
        <v>6000</v>
      </c>
      <c r="W2" s="1" t="s">
        <v>3027</v>
      </c>
      <c r="X2" s="1">
        <v>10000</v>
      </c>
      <c r="Y2" s="1">
        <v>10000</v>
      </c>
      <c r="Z2" s="1" t="s">
        <v>3028</v>
      </c>
      <c r="AA2" s="1">
        <v>10000</v>
      </c>
      <c r="AB2" s="1" t="s">
        <v>3029</v>
      </c>
      <c r="AC2" s="1" t="s">
        <v>3030</v>
      </c>
      <c r="AD2" s="1" t="s">
        <v>3031</v>
      </c>
      <c r="AE2" s="1" t="s">
        <v>3032</v>
      </c>
      <c r="AF2" s="1" t="s">
        <v>539</v>
      </c>
      <c r="AG2" s="1">
        <v>1</v>
      </c>
      <c r="AH2" s="1" t="s">
        <v>3027</v>
      </c>
      <c r="AI2" s="1" t="s">
        <v>3027</v>
      </c>
      <c r="AJ2" s="1" t="s">
        <v>3027</v>
      </c>
      <c r="AK2" s="1" t="s">
        <v>3027</v>
      </c>
      <c r="AL2" s="1" t="s">
        <v>3027</v>
      </c>
      <c r="AM2" s="1" t="s">
        <v>534</v>
      </c>
      <c r="AN2" s="81"/>
      <c r="AO2" s="1" t="s">
        <v>522</v>
      </c>
      <c r="AP2" s="81"/>
      <c r="AQ2" s="1" t="s">
        <v>522</v>
      </c>
    </row>
    <row r="3" spans="1:43">
      <c r="A3" s="105"/>
      <c r="B3" s="1" t="s">
        <v>543</v>
      </c>
      <c r="C3" s="1" t="s">
        <v>543</v>
      </c>
      <c r="D3" s="1" t="s">
        <v>3034</v>
      </c>
      <c r="E3" s="1">
        <v>1</v>
      </c>
      <c r="F3" s="1">
        <v>1</v>
      </c>
      <c r="G3" s="1" t="s">
        <v>79</v>
      </c>
      <c r="H3" s="1">
        <v>20200101</v>
      </c>
      <c r="I3" s="1">
        <v>99991231</v>
      </c>
      <c r="J3" s="1" t="s">
        <v>539</v>
      </c>
      <c r="K3" s="1">
        <v>2</v>
      </c>
      <c r="L3" s="1" t="s">
        <v>534</v>
      </c>
      <c r="M3" s="1" t="s">
        <v>534</v>
      </c>
      <c r="N3" s="1" t="s">
        <v>3026</v>
      </c>
      <c r="O3" s="1">
        <v>2</v>
      </c>
      <c r="P3" s="1" t="s">
        <v>3027</v>
      </c>
      <c r="Q3" s="1" t="s">
        <v>526</v>
      </c>
      <c r="R3" s="1">
        <v>1</v>
      </c>
      <c r="S3" s="1">
        <v>6</v>
      </c>
      <c r="T3" s="1">
        <v>1</v>
      </c>
      <c r="U3" s="1">
        <v>150</v>
      </c>
      <c r="V3" s="1">
        <v>2000</v>
      </c>
      <c r="W3" s="1" t="s">
        <v>3027</v>
      </c>
      <c r="X3" s="1">
        <v>10000</v>
      </c>
      <c r="Y3" s="1">
        <v>10000</v>
      </c>
      <c r="Z3" s="1" t="s">
        <v>3028</v>
      </c>
      <c r="AA3" s="1">
        <v>10000</v>
      </c>
      <c r="AB3" s="1" t="s">
        <v>3029</v>
      </c>
      <c r="AC3" s="1" t="s">
        <v>3030</v>
      </c>
      <c r="AD3" s="1" t="s">
        <v>3031</v>
      </c>
      <c r="AE3" s="1" t="s">
        <v>3032</v>
      </c>
      <c r="AF3" s="1" t="s">
        <v>539</v>
      </c>
      <c r="AG3" s="1">
        <v>1</v>
      </c>
      <c r="AH3" s="1" t="s">
        <v>3027</v>
      </c>
      <c r="AI3" s="1" t="s">
        <v>3027</v>
      </c>
      <c r="AJ3" s="1" t="s">
        <v>3027</v>
      </c>
      <c r="AK3" s="1" t="s">
        <v>3027</v>
      </c>
      <c r="AL3" s="1" t="s">
        <v>3027</v>
      </c>
      <c r="AM3" s="1" t="s">
        <v>534</v>
      </c>
      <c r="AN3" s="81"/>
      <c r="AO3" s="1" t="s">
        <v>522</v>
      </c>
      <c r="AP3" s="81"/>
      <c r="AQ3" s="1" t="s">
        <v>522</v>
      </c>
    </row>
    <row r="4" spans="1:43">
      <c r="B4" s="1" t="s">
        <v>172</v>
      </c>
      <c r="C4" s="1" t="s">
        <v>172</v>
      </c>
      <c r="D4" s="1" t="s">
        <v>3035</v>
      </c>
      <c r="E4" s="1">
        <v>4</v>
      </c>
      <c r="F4" s="1">
        <v>8</v>
      </c>
      <c r="G4" s="1" t="s">
        <v>534</v>
      </c>
      <c r="H4" s="1">
        <v>20200101</v>
      </c>
      <c r="I4" s="1">
        <v>99991231</v>
      </c>
      <c r="J4" s="1" t="s">
        <v>534</v>
      </c>
      <c r="K4" s="1" t="s">
        <v>3027</v>
      </c>
      <c r="L4" s="1" t="s">
        <v>534</v>
      </c>
      <c r="M4" s="1" t="s">
        <v>534</v>
      </c>
      <c r="N4" s="1" t="s">
        <v>3026</v>
      </c>
      <c r="O4" s="1" t="s">
        <v>3036</v>
      </c>
      <c r="P4" s="1" t="s">
        <v>3027</v>
      </c>
      <c r="Q4" s="1" t="s">
        <v>526</v>
      </c>
      <c r="R4" s="1">
        <v>1</v>
      </c>
      <c r="S4" s="1">
        <v>6</v>
      </c>
      <c r="T4" s="1">
        <v>2</v>
      </c>
      <c r="U4" s="1">
        <v>1</v>
      </c>
      <c r="V4" s="1">
        <v>6</v>
      </c>
      <c r="W4" s="1" t="s">
        <v>3027</v>
      </c>
      <c r="X4" s="1">
        <v>500</v>
      </c>
      <c r="Y4" s="1">
        <v>500</v>
      </c>
      <c r="Z4" s="1" t="s">
        <v>3037</v>
      </c>
      <c r="AA4" s="1">
        <v>500</v>
      </c>
      <c r="AB4" s="1" t="s">
        <v>3038</v>
      </c>
      <c r="AC4" s="1" t="s">
        <v>3027</v>
      </c>
      <c r="AD4" s="1" t="s">
        <v>3027</v>
      </c>
      <c r="AE4" s="1" t="s">
        <v>3027</v>
      </c>
      <c r="AF4" s="1" t="s">
        <v>534</v>
      </c>
      <c r="AG4" s="1">
        <v>2</v>
      </c>
      <c r="AH4" s="1" t="s">
        <v>3027</v>
      </c>
      <c r="AI4" s="1" t="s">
        <v>3027</v>
      </c>
      <c r="AJ4" s="1" t="s">
        <v>3027</v>
      </c>
      <c r="AK4" s="1" t="s">
        <v>3027</v>
      </c>
      <c r="AL4" s="1" t="s">
        <v>3027</v>
      </c>
      <c r="AM4" s="1" t="s">
        <v>534</v>
      </c>
      <c r="AN4" s="81"/>
      <c r="AO4" s="1" t="s">
        <v>522</v>
      </c>
      <c r="AP4" s="81"/>
      <c r="AQ4" s="1" t="s">
        <v>522</v>
      </c>
    </row>
    <row r="5" spans="1:43">
      <c r="A5" s="105" t="s">
        <v>3051</v>
      </c>
      <c r="B5" s="1" t="s">
        <v>173</v>
      </c>
      <c r="C5" s="1" t="s">
        <v>173</v>
      </c>
      <c r="D5" s="1" t="s">
        <v>3039</v>
      </c>
      <c r="E5" s="1">
        <v>3</v>
      </c>
      <c r="F5" s="1">
        <v>4</v>
      </c>
      <c r="G5" s="1" t="s">
        <v>534</v>
      </c>
      <c r="H5" s="1">
        <v>20200101</v>
      </c>
      <c r="I5" s="1">
        <v>99991231</v>
      </c>
      <c r="J5" s="1" t="s">
        <v>534</v>
      </c>
      <c r="K5" s="1" t="s">
        <v>3027</v>
      </c>
      <c r="L5" s="1" t="s">
        <v>534</v>
      </c>
      <c r="M5" s="1" t="s">
        <v>534</v>
      </c>
      <c r="N5" s="1" t="s">
        <v>3026</v>
      </c>
      <c r="O5" s="1" t="s">
        <v>3040</v>
      </c>
      <c r="P5" s="1" t="s">
        <v>3027</v>
      </c>
      <c r="Q5" s="1" t="s">
        <v>526</v>
      </c>
      <c r="R5" s="1">
        <v>1</v>
      </c>
      <c r="S5" s="1">
        <v>6</v>
      </c>
      <c r="T5" s="1">
        <v>2</v>
      </c>
      <c r="U5" s="1">
        <v>1</v>
      </c>
      <c r="V5" s="1">
        <v>4</v>
      </c>
      <c r="W5" s="1" t="s">
        <v>3027</v>
      </c>
      <c r="X5" s="1">
        <v>500</v>
      </c>
      <c r="Y5" s="1">
        <v>500</v>
      </c>
      <c r="Z5" s="1" t="s">
        <v>3037</v>
      </c>
      <c r="AA5" s="1">
        <v>500</v>
      </c>
      <c r="AB5" s="1" t="s">
        <v>3038</v>
      </c>
      <c r="AC5" s="1" t="s">
        <v>3027</v>
      </c>
      <c r="AD5" s="1" t="s">
        <v>3027</v>
      </c>
      <c r="AE5" s="1" t="s">
        <v>3027</v>
      </c>
      <c r="AF5" s="1" t="s">
        <v>534</v>
      </c>
      <c r="AG5" s="1">
        <v>2</v>
      </c>
      <c r="AH5" s="1" t="s">
        <v>3027</v>
      </c>
      <c r="AI5" s="1" t="s">
        <v>3027</v>
      </c>
      <c r="AJ5" s="1" t="s">
        <v>3027</v>
      </c>
      <c r="AK5" s="1" t="s">
        <v>3027</v>
      </c>
      <c r="AL5" s="1" t="s">
        <v>3027</v>
      </c>
      <c r="AM5" s="1" t="s">
        <v>534</v>
      </c>
      <c r="AN5" s="81"/>
      <c r="AO5" s="1" t="s">
        <v>522</v>
      </c>
      <c r="AP5" s="81"/>
      <c r="AQ5" s="1" t="s">
        <v>522</v>
      </c>
    </row>
    <row r="6" spans="1:43">
      <c r="B6" s="1" t="s">
        <v>2915</v>
      </c>
      <c r="C6" s="1" t="s">
        <v>2915</v>
      </c>
      <c r="D6" s="1" t="s">
        <v>3042</v>
      </c>
      <c r="E6" s="1">
        <v>3</v>
      </c>
      <c r="F6" s="1">
        <v>4</v>
      </c>
      <c r="G6" s="1" t="s">
        <v>3043</v>
      </c>
      <c r="H6" s="1">
        <v>20200101</v>
      </c>
      <c r="I6" s="1">
        <v>99991231</v>
      </c>
      <c r="J6" s="1" t="s">
        <v>534</v>
      </c>
      <c r="K6" s="1" t="s">
        <v>3027</v>
      </c>
      <c r="L6" s="1" t="s">
        <v>534</v>
      </c>
      <c r="M6" s="1" t="s">
        <v>534</v>
      </c>
      <c r="N6" s="1" t="s">
        <v>3026</v>
      </c>
      <c r="O6" s="1" t="s">
        <v>3040</v>
      </c>
      <c r="P6" s="1" t="s">
        <v>3027</v>
      </c>
      <c r="Q6" s="1" t="s">
        <v>526</v>
      </c>
      <c r="R6" s="1">
        <v>1</v>
      </c>
      <c r="S6" s="1">
        <v>6</v>
      </c>
      <c r="T6" s="1">
        <v>2</v>
      </c>
      <c r="U6" s="1">
        <v>1</v>
      </c>
      <c r="V6" s="1">
        <v>6</v>
      </c>
      <c r="W6" s="1" t="s">
        <v>3027</v>
      </c>
      <c r="X6" s="1">
        <v>500</v>
      </c>
      <c r="Y6" s="1">
        <v>500</v>
      </c>
      <c r="Z6" s="1" t="s">
        <v>3037</v>
      </c>
      <c r="AA6" s="1">
        <v>500</v>
      </c>
      <c r="AB6" s="1" t="s">
        <v>3038</v>
      </c>
      <c r="AC6" s="1" t="s">
        <v>3027</v>
      </c>
      <c r="AD6" s="1" t="s">
        <v>3027</v>
      </c>
      <c r="AE6" s="1" t="s">
        <v>3027</v>
      </c>
      <c r="AF6" s="1" t="s">
        <v>91</v>
      </c>
      <c r="AG6" s="1">
        <v>2</v>
      </c>
      <c r="AH6" s="1" t="s">
        <v>3027</v>
      </c>
      <c r="AI6" s="1" t="s">
        <v>3027</v>
      </c>
      <c r="AJ6" s="1" t="s">
        <v>3027</v>
      </c>
      <c r="AK6" s="1" t="s">
        <v>3027</v>
      </c>
      <c r="AL6" s="1" t="s">
        <v>3027</v>
      </c>
      <c r="AM6" s="1" t="s">
        <v>534</v>
      </c>
      <c r="AN6" s="81"/>
      <c r="AO6" s="1" t="s">
        <v>522</v>
      </c>
      <c r="AP6" s="81"/>
      <c r="AQ6" s="1" t="s">
        <v>522</v>
      </c>
    </row>
    <row r="7" spans="1:43">
      <c r="B7" s="1" t="s">
        <v>3041</v>
      </c>
      <c r="C7" s="1" t="s">
        <v>3041</v>
      </c>
      <c r="D7" s="1" t="s">
        <v>3044</v>
      </c>
      <c r="E7" s="1">
        <v>3</v>
      </c>
      <c r="F7" s="1">
        <v>4</v>
      </c>
      <c r="G7" s="1" t="s">
        <v>79</v>
      </c>
      <c r="H7" s="1">
        <v>20200101</v>
      </c>
      <c r="I7" s="1">
        <v>99991231</v>
      </c>
      <c r="J7" s="1" t="s">
        <v>534</v>
      </c>
      <c r="K7" s="1" t="s">
        <v>3027</v>
      </c>
      <c r="L7" s="1" t="s">
        <v>534</v>
      </c>
      <c r="M7" s="1" t="s">
        <v>534</v>
      </c>
      <c r="N7" s="1" t="s">
        <v>3026</v>
      </c>
      <c r="O7" s="1" t="s">
        <v>3040</v>
      </c>
      <c r="P7" s="1" t="s">
        <v>3027</v>
      </c>
      <c r="Q7" s="1" t="s">
        <v>526</v>
      </c>
      <c r="R7" s="1">
        <v>1</v>
      </c>
      <c r="S7" s="1">
        <v>6</v>
      </c>
      <c r="T7" s="1">
        <v>2</v>
      </c>
      <c r="U7" s="1">
        <v>5</v>
      </c>
      <c r="V7" s="1">
        <v>40</v>
      </c>
      <c r="W7" s="1" t="s">
        <v>3027</v>
      </c>
      <c r="X7" s="1">
        <v>100</v>
      </c>
      <c r="Y7" s="1">
        <v>100</v>
      </c>
      <c r="Z7" s="1" t="s">
        <v>3045</v>
      </c>
      <c r="AA7" s="1">
        <v>100</v>
      </c>
      <c r="AB7" s="1" t="s">
        <v>3038</v>
      </c>
      <c r="AC7" s="1" t="s">
        <v>3027</v>
      </c>
      <c r="AD7" s="1" t="s">
        <v>3027</v>
      </c>
      <c r="AE7" s="1" t="s">
        <v>3027</v>
      </c>
      <c r="AF7" s="1" t="s">
        <v>79</v>
      </c>
      <c r="AG7" s="1">
        <v>2</v>
      </c>
      <c r="AH7" s="1" t="s">
        <v>3027</v>
      </c>
      <c r="AI7" s="1" t="s">
        <v>3027</v>
      </c>
      <c r="AJ7" s="1" t="s">
        <v>3027</v>
      </c>
      <c r="AK7" s="1" t="s">
        <v>3027</v>
      </c>
      <c r="AL7" s="1" t="s">
        <v>3027</v>
      </c>
      <c r="AM7" s="1" t="s">
        <v>534</v>
      </c>
      <c r="AN7" s="81"/>
      <c r="AO7" s="1" t="s">
        <v>522</v>
      </c>
      <c r="AP7" s="81"/>
      <c r="AQ7" s="1" t="s">
        <v>522</v>
      </c>
    </row>
    <row r="8" spans="1:43">
      <c r="A8" s="105" t="s">
        <v>3051</v>
      </c>
      <c r="B8" s="1" t="s">
        <v>2916</v>
      </c>
      <c r="C8" s="1" t="s">
        <v>2916</v>
      </c>
      <c r="D8" s="1" t="s">
        <v>3046</v>
      </c>
      <c r="E8" s="1">
        <v>3</v>
      </c>
      <c r="F8" s="1">
        <v>4</v>
      </c>
      <c r="G8" s="1" t="s">
        <v>91</v>
      </c>
      <c r="H8" s="1">
        <v>20200101</v>
      </c>
      <c r="I8" s="1">
        <v>99991231</v>
      </c>
      <c r="J8" s="1" t="s">
        <v>534</v>
      </c>
      <c r="K8" s="1" t="s">
        <v>3027</v>
      </c>
      <c r="L8" s="1" t="s">
        <v>534</v>
      </c>
      <c r="M8" s="1" t="s">
        <v>534</v>
      </c>
      <c r="N8" s="1" t="s">
        <v>3026</v>
      </c>
      <c r="O8" s="1" t="s">
        <v>3040</v>
      </c>
      <c r="P8" s="1" t="s">
        <v>3027</v>
      </c>
      <c r="Q8" s="1" t="s">
        <v>526</v>
      </c>
      <c r="R8" s="1">
        <v>1</v>
      </c>
      <c r="S8" s="1">
        <v>6</v>
      </c>
      <c r="T8" s="1">
        <v>2</v>
      </c>
      <c r="U8" s="1">
        <v>2</v>
      </c>
      <c r="V8" s="1">
        <v>8</v>
      </c>
      <c r="W8" s="1" t="s">
        <v>3027</v>
      </c>
      <c r="X8" s="1">
        <v>500</v>
      </c>
      <c r="Y8" s="1">
        <v>500</v>
      </c>
      <c r="Z8" s="1" t="s">
        <v>3037</v>
      </c>
      <c r="AA8" s="1">
        <v>500</v>
      </c>
      <c r="AB8" s="1" t="s">
        <v>3038</v>
      </c>
      <c r="AC8" s="1" t="s">
        <v>3027</v>
      </c>
      <c r="AD8" s="1" t="s">
        <v>3027</v>
      </c>
      <c r="AE8" s="1" t="s">
        <v>3027</v>
      </c>
      <c r="AF8" s="1" t="s">
        <v>79</v>
      </c>
      <c r="AG8" s="1">
        <v>2</v>
      </c>
      <c r="AH8" s="1" t="s">
        <v>3027</v>
      </c>
      <c r="AI8" s="1" t="s">
        <v>3027</v>
      </c>
      <c r="AJ8" s="1" t="s">
        <v>3027</v>
      </c>
      <c r="AK8" s="1" t="s">
        <v>3027</v>
      </c>
      <c r="AL8" s="1" t="s">
        <v>3027</v>
      </c>
      <c r="AM8" s="1" t="s">
        <v>534</v>
      </c>
      <c r="AN8" s="81"/>
      <c r="AO8" s="1" t="s">
        <v>522</v>
      </c>
      <c r="AP8" s="81"/>
      <c r="AQ8" s="1" t="s">
        <v>522</v>
      </c>
    </row>
    <row r="9" spans="1:43">
      <c r="B9" s="1" t="s">
        <v>176</v>
      </c>
      <c r="C9" s="1" t="s">
        <v>176</v>
      </c>
      <c r="D9" s="1" t="s">
        <v>3115</v>
      </c>
      <c r="E9" s="1">
        <v>3</v>
      </c>
      <c r="F9" s="1">
        <v>3</v>
      </c>
      <c r="G9" s="1" t="s">
        <v>534</v>
      </c>
      <c r="H9" s="1">
        <v>20200101</v>
      </c>
      <c r="I9" s="1">
        <v>99991231</v>
      </c>
      <c r="J9" s="1" t="s">
        <v>539</v>
      </c>
      <c r="K9" s="1">
        <v>2</v>
      </c>
      <c r="L9" s="1" t="s">
        <v>534</v>
      </c>
      <c r="M9" s="1" t="s">
        <v>534</v>
      </c>
      <c r="N9" s="1" t="s">
        <v>3026</v>
      </c>
      <c r="O9" s="1">
        <v>2</v>
      </c>
      <c r="P9" s="1" t="s">
        <v>3027</v>
      </c>
      <c r="Q9" s="1" t="s">
        <v>526</v>
      </c>
      <c r="R9" s="1">
        <v>1</v>
      </c>
      <c r="S9" s="1">
        <v>6</v>
      </c>
      <c r="T9" s="1">
        <v>1</v>
      </c>
      <c r="U9" s="1">
        <v>5</v>
      </c>
      <c r="V9" s="1">
        <v>30</v>
      </c>
      <c r="W9" s="1" t="s">
        <v>3027</v>
      </c>
      <c r="X9" s="1">
        <v>10000</v>
      </c>
      <c r="Y9" s="1">
        <v>10000</v>
      </c>
      <c r="Z9" s="1" t="s">
        <v>3028</v>
      </c>
      <c r="AA9" s="1">
        <v>10000</v>
      </c>
      <c r="AB9" s="1" t="s">
        <v>3029</v>
      </c>
      <c r="AC9" s="1" t="s">
        <v>3030</v>
      </c>
      <c r="AD9" s="1" t="s">
        <v>3031</v>
      </c>
      <c r="AE9" s="1" t="s">
        <v>3032</v>
      </c>
      <c r="AF9" s="1" t="s">
        <v>539</v>
      </c>
      <c r="AG9" s="1">
        <v>1</v>
      </c>
      <c r="AH9" s="1" t="s">
        <v>3027</v>
      </c>
      <c r="AI9" s="1" t="s">
        <v>3027</v>
      </c>
      <c r="AJ9" s="1" t="s">
        <v>3027</v>
      </c>
      <c r="AK9" s="1" t="s">
        <v>3027</v>
      </c>
      <c r="AL9" s="1" t="s">
        <v>3027</v>
      </c>
      <c r="AM9" s="1" t="s">
        <v>534</v>
      </c>
      <c r="AN9" s="81"/>
      <c r="AO9" s="1" t="s">
        <v>522</v>
      </c>
      <c r="AP9" s="81"/>
      <c r="AQ9" s="1" t="s">
        <v>522</v>
      </c>
    </row>
    <row r="10" spans="1:43">
      <c r="B10" s="1" t="s">
        <v>177</v>
      </c>
      <c r="C10" s="1" t="s">
        <v>177</v>
      </c>
      <c r="D10" s="1" t="s">
        <v>3131</v>
      </c>
      <c r="E10" s="1">
        <v>3</v>
      </c>
      <c r="F10" s="1">
        <v>4</v>
      </c>
      <c r="G10" s="1" t="s">
        <v>534</v>
      </c>
      <c r="H10" s="1">
        <v>20200101</v>
      </c>
      <c r="I10" s="1">
        <v>99991231</v>
      </c>
      <c r="J10" s="1" t="s">
        <v>534</v>
      </c>
      <c r="K10" s="1" t="s">
        <v>3027</v>
      </c>
      <c r="L10" s="1" t="s">
        <v>534</v>
      </c>
      <c r="M10" s="1" t="s">
        <v>534</v>
      </c>
      <c r="N10" s="1" t="s">
        <v>3026</v>
      </c>
      <c r="O10" s="1" t="s">
        <v>3040</v>
      </c>
      <c r="P10" s="1" t="s">
        <v>3027</v>
      </c>
      <c r="Q10" s="1" t="s">
        <v>526</v>
      </c>
      <c r="R10" s="1">
        <v>1</v>
      </c>
      <c r="S10" s="1">
        <v>6</v>
      </c>
      <c r="T10" s="1">
        <v>2</v>
      </c>
      <c r="U10" s="1">
        <v>3</v>
      </c>
      <c r="V10" s="1">
        <v>30</v>
      </c>
      <c r="W10" s="1" t="s">
        <v>3027</v>
      </c>
      <c r="X10" s="1">
        <v>100</v>
      </c>
      <c r="Y10" s="1">
        <v>100</v>
      </c>
      <c r="Z10" s="1" t="s">
        <v>3045</v>
      </c>
      <c r="AA10" s="1">
        <v>100</v>
      </c>
      <c r="AB10" s="1" t="s">
        <v>3029</v>
      </c>
      <c r="AC10" s="1" t="s">
        <v>3027</v>
      </c>
      <c r="AD10" s="1" t="s">
        <v>3027</v>
      </c>
      <c r="AE10" s="1" t="s">
        <v>3027</v>
      </c>
      <c r="AF10" s="1" t="s">
        <v>539</v>
      </c>
      <c r="AG10" s="1">
        <v>1</v>
      </c>
      <c r="AH10" s="1" t="s">
        <v>3027</v>
      </c>
      <c r="AI10" s="1" t="s">
        <v>3027</v>
      </c>
      <c r="AJ10" s="1" t="s">
        <v>3027</v>
      </c>
      <c r="AK10" s="1" t="s">
        <v>3027</v>
      </c>
      <c r="AL10" s="1" t="s">
        <v>3027</v>
      </c>
      <c r="AM10" s="1" t="s">
        <v>534</v>
      </c>
      <c r="AN10" s="81"/>
      <c r="AO10" s="1" t="s">
        <v>522</v>
      </c>
      <c r="AP10" s="81"/>
      <c r="AQ10" s="1" t="s">
        <v>522</v>
      </c>
    </row>
    <row r="11" spans="1:43">
      <c r="B11" s="1" t="s">
        <v>3118</v>
      </c>
      <c r="C11" s="1" t="s">
        <v>3118</v>
      </c>
      <c r="D11" s="1" t="s">
        <v>3132</v>
      </c>
      <c r="E11" s="1">
        <v>3</v>
      </c>
      <c r="F11" s="1">
        <v>6</v>
      </c>
      <c r="G11" s="1" t="s">
        <v>79</v>
      </c>
      <c r="H11" s="1">
        <v>20200101</v>
      </c>
      <c r="I11" s="1">
        <v>99991231</v>
      </c>
      <c r="J11" s="1" t="s">
        <v>534</v>
      </c>
      <c r="K11" s="1" t="s">
        <v>3027</v>
      </c>
      <c r="L11" s="1" t="s">
        <v>534</v>
      </c>
      <c r="M11" s="1" t="s">
        <v>534</v>
      </c>
      <c r="N11" s="1" t="s">
        <v>3026</v>
      </c>
      <c r="O11" s="1" t="s">
        <v>3040</v>
      </c>
      <c r="P11" s="1" t="s">
        <v>3027</v>
      </c>
      <c r="Q11" s="1" t="s">
        <v>526</v>
      </c>
      <c r="R11" s="1">
        <v>1</v>
      </c>
      <c r="S11" s="1">
        <v>6</v>
      </c>
      <c r="T11" s="1">
        <v>2</v>
      </c>
      <c r="U11" s="1">
        <v>1</v>
      </c>
      <c r="V11" s="1">
        <v>5</v>
      </c>
      <c r="W11" s="1" t="s">
        <v>3027</v>
      </c>
      <c r="X11" s="1">
        <v>1000</v>
      </c>
      <c r="Y11" s="1">
        <v>1000</v>
      </c>
      <c r="Z11" s="1" t="s">
        <v>3045</v>
      </c>
      <c r="AA11" s="1">
        <v>1000</v>
      </c>
      <c r="AB11" s="1" t="s">
        <v>3133</v>
      </c>
      <c r="AC11" s="1" t="s">
        <v>3027</v>
      </c>
      <c r="AD11" s="1" t="s">
        <v>3027</v>
      </c>
      <c r="AE11" s="1" t="s">
        <v>3027</v>
      </c>
      <c r="AF11" s="1" t="s">
        <v>79</v>
      </c>
      <c r="AG11" s="1">
        <v>2</v>
      </c>
      <c r="AH11" s="1" t="s">
        <v>3027</v>
      </c>
      <c r="AI11" s="1" t="s">
        <v>3027</v>
      </c>
      <c r="AJ11" s="1" t="s">
        <v>3027</v>
      </c>
      <c r="AK11" s="1" t="s">
        <v>3027</v>
      </c>
      <c r="AL11" s="1" t="s">
        <v>3027</v>
      </c>
      <c r="AM11" s="1" t="s">
        <v>534</v>
      </c>
      <c r="AN11" s="81"/>
      <c r="AO11" s="1" t="s">
        <v>522</v>
      </c>
      <c r="AP11" s="81"/>
      <c r="AQ11" s="1" t="s">
        <v>522</v>
      </c>
    </row>
    <row r="12" spans="1:43">
      <c r="B12" s="1" t="s">
        <v>3119</v>
      </c>
      <c r="C12" s="1" t="s">
        <v>3119</v>
      </c>
      <c r="D12" s="1" t="s">
        <v>3139</v>
      </c>
      <c r="E12" s="1">
        <v>3</v>
      </c>
      <c r="F12" s="1">
        <v>4</v>
      </c>
      <c r="G12" s="1" t="s">
        <v>79</v>
      </c>
      <c r="H12" s="1">
        <v>20200101</v>
      </c>
      <c r="I12" s="1">
        <v>99991231</v>
      </c>
      <c r="J12" s="1" t="s">
        <v>534</v>
      </c>
      <c r="K12" s="1" t="s">
        <v>3027</v>
      </c>
      <c r="L12" s="1" t="s">
        <v>534</v>
      </c>
      <c r="M12" s="1" t="s">
        <v>534</v>
      </c>
      <c r="N12" s="1" t="s">
        <v>3026</v>
      </c>
      <c r="O12" s="1" t="s">
        <v>3040</v>
      </c>
      <c r="P12" s="1" t="s">
        <v>3027</v>
      </c>
      <c r="Q12" s="1" t="s">
        <v>526</v>
      </c>
      <c r="R12" s="1">
        <v>1</v>
      </c>
      <c r="S12" s="1">
        <v>6</v>
      </c>
      <c r="T12" s="1">
        <v>1</v>
      </c>
      <c r="U12" s="1">
        <v>30</v>
      </c>
      <c r="V12" s="1">
        <v>300</v>
      </c>
      <c r="W12" s="1" t="s">
        <v>3027</v>
      </c>
      <c r="X12" s="1">
        <v>10000</v>
      </c>
      <c r="Y12" s="1">
        <v>10000</v>
      </c>
      <c r="Z12" s="1" t="s">
        <v>3028</v>
      </c>
      <c r="AA12" s="1">
        <v>10000</v>
      </c>
      <c r="AB12" s="1" t="s">
        <v>3029</v>
      </c>
      <c r="AC12" s="1" t="s">
        <v>3027</v>
      </c>
      <c r="AD12" s="1" t="s">
        <v>3027</v>
      </c>
      <c r="AE12" s="1" t="s">
        <v>3027</v>
      </c>
      <c r="AF12" s="1" t="s">
        <v>79</v>
      </c>
      <c r="AG12" s="1">
        <v>2</v>
      </c>
      <c r="AH12" s="1" t="s">
        <v>3027</v>
      </c>
      <c r="AI12" s="1" t="s">
        <v>3027</v>
      </c>
      <c r="AJ12" s="1" t="s">
        <v>3027</v>
      </c>
      <c r="AK12" s="1" t="s">
        <v>3027</v>
      </c>
      <c r="AL12" s="1" t="s">
        <v>3027</v>
      </c>
      <c r="AM12" s="1" t="s">
        <v>534</v>
      </c>
      <c r="AN12" s="81"/>
      <c r="AO12" s="1" t="s">
        <v>522</v>
      </c>
      <c r="AP12" s="81"/>
      <c r="AQ12" s="1" t="s">
        <v>522</v>
      </c>
    </row>
    <row r="13" spans="1:43">
      <c r="B13" s="1" t="s">
        <v>3120</v>
      </c>
      <c r="C13" s="1" t="s">
        <v>3120</v>
      </c>
      <c r="D13" s="1" t="s">
        <v>3140</v>
      </c>
      <c r="E13" s="1">
        <v>3</v>
      </c>
      <c r="F13" s="1">
        <v>4</v>
      </c>
      <c r="G13" s="1" t="s">
        <v>79</v>
      </c>
      <c r="H13" s="1">
        <v>20200101</v>
      </c>
      <c r="I13" s="1">
        <v>99991231</v>
      </c>
      <c r="J13" s="1" t="s">
        <v>534</v>
      </c>
      <c r="K13" s="1" t="s">
        <v>3027</v>
      </c>
      <c r="L13" s="1" t="s">
        <v>534</v>
      </c>
      <c r="M13" s="1" t="s">
        <v>534</v>
      </c>
      <c r="N13" s="1" t="s">
        <v>3026</v>
      </c>
      <c r="O13" s="1" t="s">
        <v>3040</v>
      </c>
      <c r="P13" s="1" t="s">
        <v>3027</v>
      </c>
      <c r="Q13" s="1" t="s">
        <v>526</v>
      </c>
      <c r="R13" s="1">
        <v>1</v>
      </c>
      <c r="S13" s="1">
        <v>6</v>
      </c>
      <c r="T13" s="1">
        <v>1</v>
      </c>
      <c r="U13" s="1">
        <v>30</v>
      </c>
      <c r="V13" s="1">
        <v>300</v>
      </c>
      <c r="W13" s="1" t="s">
        <v>3027</v>
      </c>
      <c r="X13" s="1">
        <v>10000</v>
      </c>
      <c r="Y13" s="1">
        <v>10000</v>
      </c>
      <c r="Z13" s="1" t="s">
        <v>3028</v>
      </c>
      <c r="AA13" s="1">
        <v>10000</v>
      </c>
      <c r="AB13" s="1" t="s">
        <v>3133</v>
      </c>
      <c r="AC13" s="1" t="s">
        <v>3027</v>
      </c>
      <c r="AD13" s="1" t="s">
        <v>3027</v>
      </c>
      <c r="AE13" s="1" t="s">
        <v>3027</v>
      </c>
      <c r="AF13" s="1" t="s">
        <v>79</v>
      </c>
      <c r="AG13" s="1">
        <v>2</v>
      </c>
      <c r="AH13" s="1" t="s">
        <v>3027</v>
      </c>
      <c r="AI13" s="1" t="s">
        <v>3027</v>
      </c>
      <c r="AJ13" s="1" t="s">
        <v>3027</v>
      </c>
      <c r="AK13" s="1" t="s">
        <v>3027</v>
      </c>
      <c r="AL13" s="1" t="s">
        <v>3027</v>
      </c>
      <c r="AM13" s="1" t="s">
        <v>534</v>
      </c>
      <c r="AN13" s="81"/>
      <c r="AO13" s="1" t="s">
        <v>522</v>
      </c>
      <c r="AP13" s="81"/>
      <c r="AQ13" s="1" t="s">
        <v>522</v>
      </c>
    </row>
    <row r="14" spans="1:43">
      <c r="B14" s="1" t="s">
        <v>3121</v>
      </c>
      <c r="C14" s="1" t="s">
        <v>3121</v>
      </c>
      <c r="D14" s="1" t="s">
        <v>3142</v>
      </c>
      <c r="E14" s="1">
        <v>3</v>
      </c>
      <c r="F14" s="1">
        <v>6</v>
      </c>
      <c r="G14" s="1" t="s">
        <v>79</v>
      </c>
      <c r="H14" s="1">
        <v>20200101</v>
      </c>
      <c r="I14" s="1">
        <v>99991231</v>
      </c>
      <c r="J14" s="1" t="s">
        <v>534</v>
      </c>
      <c r="K14" s="1" t="s">
        <v>3027</v>
      </c>
      <c r="L14" s="1" t="s">
        <v>534</v>
      </c>
      <c r="M14" s="1" t="s">
        <v>534</v>
      </c>
      <c r="N14" s="1" t="s">
        <v>3026</v>
      </c>
      <c r="O14" s="1">
        <v>2</v>
      </c>
      <c r="P14" s="1" t="s">
        <v>3027</v>
      </c>
      <c r="Q14" s="1" t="s">
        <v>154</v>
      </c>
      <c r="R14" s="1">
        <v>1</v>
      </c>
      <c r="S14" s="1">
        <v>6</v>
      </c>
      <c r="T14" s="1">
        <v>1</v>
      </c>
      <c r="U14" s="1">
        <v>1</v>
      </c>
      <c r="V14" s="1">
        <v>30</v>
      </c>
      <c r="W14" s="1" t="s">
        <v>3027</v>
      </c>
      <c r="X14" s="1">
        <v>10000</v>
      </c>
      <c r="Y14" s="1">
        <v>10000</v>
      </c>
      <c r="Z14" s="1" t="s">
        <v>3028</v>
      </c>
      <c r="AA14" s="1">
        <v>10000</v>
      </c>
      <c r="AB14" s="1" t="s">
        <v>3141</v>
      </c>
      <c r="AC14" s="1" t="s">
        <v>3027</v>
      </c>
      <c r="AD14" s="1" t="s">
        <v>3027</v>
      </c>
      <c r="AE14" s="1" t="s">
        <v>3027</v>
      </c>
      <c r="AF14" s="1" t="s">
        <v>79</v>
      </c>
      <c r="AG14" s="1">
        <v>1</v>
      </c>
      <c r="AH14" s="1" t="s">
        <v>3027</v>
      </c>
      <c r="AI14" s="1" t="s">
        <v>3027</v>
      </c>
      <c r="AJ14" s="1" t="s">
        <v>3027</v>
      </c>
      <c r="AK14" s="1" t="s">
        <v>3027</v>
      </c>
      <c r="AL14" s="1" t="s">
        <v>3027</v>
      </c>
      <c r="AM14" s="1" t="s">
        <v>534</v>
      </c>
      <c r="AN14" s="81"/>
      <c r="AO14" s="1" t="s">
        <v>522</v>
      </c>
      <c r="AP14" s="81"/>
      <c r="AQ14" s="1" t="s">
        <v>522</v>
      </c>
    </row>
    <row r="15" spans="1:43">
      <c r="B15" s="1" t="s">
        <v>3122</v>
      </c>
      <c r="C15" s="1" t="s">
        <v>3122</v>
      </c>
      <c r="D15" s="1" t="s">
        <v>3143</v>
      </c>
      <c r="E15" s="1">
        <v>3</v>
      </c>
      <c r="F15" s="1">
        <v>4</v>
      </c>
      <c r="G15" s="1" t="s">
        <v>79</v>
      </c>
      <c r="H15" s="1">
        <v>20200101</v>
      </c>
      <c r="I15" s="1">
        <v>99991231</v>
      </c>
      <c r="J15" s="1" t="s">
        <v>534</v>
      </c>
      <c r="K15" s="1" t="s">
        <v>3027</v>
      </c>
      <c r="L15" s="1" t="s">
        <v>534</v>
      </c>
      <c r="M15" s="1" t="s">
        <v>534</v>
      </c>
      <c r="N15" s="1" t="s">
        <v>3026</v>
      </c>
      <c r="O15" s="1">
        <v>2</v>
      </c>
      <c r="P15" s="1" t="s">
        <v>3027</v>
      </c>
      <c r="Q15" s="1" t="s">
        <v>154</v>
      </c>
      <c r="R15" s="1">
        <v>1</v>
      </c>
      <c r="S15" s="1">
        <v>6</v>
      </c>
      <c r="T15" s="1">
        <v>1</v>
      </c>
      <c r="U15" s="1">
        <v>10</v>
      </c>
      <c r="V15" s="1">
        <v>500</v>
      </c>
      <c r="W15" s="1" t="s">
        <v>3027</v>
      </c>
      <c r="X15" s="1">
        <v>10000</v>
      </c>
      <c r="Y15" s="1">
        <v>10000</v>
      </c>
      <c r="Z15" s="1" t="s">
        <v>3028</v>
      </c>
      <c r="AA15" s="1">
        <v>10000</v>
      </c>
      <c r="AB15" s="1" t="s">
        <v>3141</v>
      </c>
      <c r="AC15" s="1" t="s">
        <v>3027</v>
      </c>
      <c r="AD15" s="1" t="s">
        <v>3027</v>
      </c>
      <c r="AE15" s="1" t="s">
        <v>3027</v>
      </c>
      <c r="AF15" s="1" t="s">
        <v>79</v>
      </c>
      <c r="AG15" s="1">
        <v>1</v>
      </c>
      <c r="AH15" s="1" t="s">
        <v>3027</v>
      </c>
      <c r="AI15" s="1" t="s">
        <v>3027</v>
      </c>
      <c r="AJ15" s="1" t="s">
        <v>3027</v>
      </c>
      <c r="AK15" s="1" t="s">
        <v>3027</v>
      </c>
      <c r="AL15" s="1" t="s">
        <v>3027</v>
      </c>
      <c r="AM15" s="1" t="s">
        <v>534</v>
      </c>
      <c r="AN15" s="81"/>
      <c r="AO15" s="1" t="s">
        <v>522</v>
      </c>
      <c r="AP15" s="81"/>
      <c r="AQ15" s="1" t="s">
        <v>522</v>
      </c>
    </row>
    <row r="16" spans="1:43">
      <c r="A16" s="105" t="s">
        <v>3051</v>
      </c>
      <c r="B16" s="1" t="s">
        <v>3123</v>
      </c>
      <c r="C16" s="1" t="s">
        <v>3123</v>
      </c>
      <c r="D16" s="1" t="s">
        <v>3145</v>
      </c>
      <c r="E16" s="1">
        <v>1</v>
      </c>
      <c r="F16" s="1">
        <v>1</v>
      </c>
      <c r="G16" s="1" t="s">
        <v>79</v>
      </c>
      <c r="H16" s="1">
        <v>20200101</v>
      </c>
      <c r="I16" s="1">
        <v>99991231</v>
      </c>
      <c r="J16" s="1" t="s">
        <v>91</v>
      </c>
      <c r="K16" s="1">
        <v>2</v>
      </c>
      <c r="L16" s="1" t="s">
        <v>534</v>
      </c>
      <c r="M16" s="1" t="s">
        <v>534</v>
      </c>
      <c r="N16" s="1" t="s">
        <v>3026</v>
      </c>
      <c r="O16" s="1">
        <v>2</v>
      </c>
      <c r="P16" s="1" t="s">
        <v>3027</v>
      </c>
      <c r="Q16" s="1" t="s">
        <v>154</v>
      </c>
      <c r="R16" s="1">
        <v>1</v>
      </c>
      <c r="S16" s="1">
        <v>4</v>
      </c>
      <c r="T16" s="1">
        <v>1</v>
      </c>
      <c r="U16" s="1">
        <v>40</v>
      </c>
      <c r="V16" s="1">
        <v>350</v>
      </c>
      <c r="W16" s="1" t="s">
        <v>3027</v>
      </c>
      <c r="X16" s="1">
        <v>10000</v>
      </c>
      <c r="Y16" s="1">
        <v>10000</v>
      </c>
      <c r="Z16" s="1" t="s">
        <v>3028</v>
      </c>
      <c r="AA16" s="1">
        <v>10000</v>
      </c>
      <c r="AB16" s="1" t="s">
        <v>3144</v>
      </c>
      <c r="AC16" s="1" t="s">
        <v>3030</v>
      </c>
      <c r="AD16" s="1" t="s">
        <v>3031</v>
      </c>
      <c r="AE16" s="1" t="s">
        <v>3032</v>
      </c>
      <c r="AF16" s="1" t="s">
        <v>539</v>
      </c>
      <c r="AG16" s="1">
        <v>1</v>
      </c>
      <c r="AH16" s="1" t="s">
        <v>3027</v>
      </c>
      <c r="AI16" s="1" t="s">
        <v>3027</v>
      </c>
      <c r="AJ16" s="1" t="s">
        <v>3027</v>
      </c>
      <c r="AK16" s="1" t="s">
        <v>3027</v>
      </c>
      <c r="AL16" s="1" t="s">
        <v>3027</v>
      </c>
      <c r="AM16" s="1" t="s">
        <v>534</v>
      </c>
      <c r="AN16" s="81"/>
      <c r="AO16" s="1" t="s">
        <v>522</v>
      </c>
      <c r="AP16" s="81"/>
      <c r="AQ16" s="1" t="s">
        <v>522</v>
      </c>
    </row>
    <row r="17" spans="1:43">
      <c r="B17" s="1" t="s">
        <v>3124</v>
      </c>
      <c r="C17" s="1" t="s">
        <v>3124</v>
      </c>
      <c r="D17" s="1" t="s">
        <v>3146</v>
      </c>
      <c r="E17" s="1">
        <v>4</v>
      </c>
      <c r="F17" s="1">
        <v>8</v>
      </c>
      <c r="G17" s="1" t="s">
        <v>79</v>
      </c>
      <c r="H17" s="1">
        <v>20200101</v>
      </c>
      <c r="I17" s="1">
        <v>99991231</v>
      </c>
      <c r="J17" s="1" t="s">
        <v>79</v>
      </c>
      <c r="K17" s="1" t="s">
        <v>3027</v>
      </c>
      <c r="L17" s="1" t="s">
        <v>534</v>
      </c>
      <c r="M17" s="1" t="s">
        <v>534</v>
      </c>
      <c r="N17" s="1" t="s">
        <v>3026</v>
      </c>
      <c r="O17" s="1" t="s">
        <v>3040</v>
      </c>
      <c r="P17" s="1" t="s">
        <v>3027</v>
      </c>
      <c r="Q17" s="1" t="s">
        <v>154</v>
      </c>
      <c r="R17" s="1">
        <v>1</v>
      </c>
      <c r="S17" s="1">
        <v>6</v>
      </c>
      <c r="T17" s="1">
        <v>2</v>
      </c>
      <c r="U17" s="1">
        <v>1</v>
      </c>
      <c r="V17" s="1">
        <v>4</v>
      </c>
      <c r="W17" s="1" t="s">
        <v>3027</v>
      </c>
      <c r="X17" s="1">
        <v>500</v>
      </c>
      <c r="Y17" s="1">
        <v>500</v>
      </c>
      <c r="Z17" s="1" t="s">
        <v>3037</v>
      </c>
      <c r="AA17" s="1">
        <v>500</v>
      </c>
      <c r="AB17" s="1" t="s">
        <v>3144</v>
      </c>
      <c r="AC17" s="1" t="s">
        <v>3027</v>
      </c>
      <c r="AD17" s="1" t="s">
        <v>3027</v>
      </c>
      <c r="AE17" s="1" t="s">
        <v>3027</v>
      </c>
      <c r="AF17" s="1" t="s">
        <v>79</v>
      </c>
      <c r="AG17" s="1">
        <v>1</v>
      </c>
      <c r="AH17" s="1" t="s">
        <v>3027</v>
      </c>
      <c r="AI17" s="1" t="s">
        <v>3027</v>
      </c>
      <c r="AJ17" s="1" t="s">
        <v>3027</v>
      </c>
      <c r="AK17" s="1" t="s">
        <v>3027</v>
      </c>
      <c r="AL17" s="1" t="s">
        <v>3027</v>
      </c>
      <c r="AM17" s="1" t="s">
        <v>534</v>
      </c>
      <c r="AN17" s="81"/>
      <c r="AO17" s="1" t="s">
        <v>522</v>
      </c>
      <c r="AP17" s="81"/>
      <c r="AQ17" s="1" t="s">
        <v>522</v>
      </c>
    </row>
    <row r="18" spans="1:43">
      <c r="B18" s="1" t="s">
        <v>3125</v>
      </c>
      <c r="C18" s="1" t="s">
        <v>3125</v>
      </c>
      <c r="D18" s="1" t="s">
        <v>3151</v>
      </c>
      <c r="E18" s="1">
        <v>4</v>
      </c>
      <c r="F18" s="1">
        <v>8</v>
      </c>
      <c r="G18" s="1" t="s">
        <v>79</v>
      </c>
      <c r="H18" s="1">
        <v>20200101</v>
      </c>
      <c r="I18" s="1">
        <v>99991231</v>
      </c>
      <c r="J18" s="1" t="s">
        <v>79</v>
      </c>
      <c r="K18" s="1" t="s">
        <v>3027</v>
      </c>
      <c r="L18" s="1" t="s">
        <v>534</v>
      </c>
      <c r="M18" s="1" t="s">
        <v>534</v>
      </c>
      <c r="N18" s="1" t="s">
        <v>3026</v>
      </c>
      <c r="O18" s="1" t="s">
        <v>3040</v>
      </c>
      <c r="P18" s="1" t="s">
        <v>3027</v>
      </c>
      <c r="Q18" s="1" t="s">
        <v>154</v>
      </c>
      <c r="R18" s="1">
        <v>1</v>
      </c>
      <c r="S18" s="1">
        <v>6</v>
      </c>
      <c r="T18" s="1">
        <v>1</v>
      </c>
      <c r="U18" s="1">
        <v>10</v>
      </c>
      <c r="V18" s="1">
        <v>1000</v>
      </c>
      <c r="W18" s="1" t="s">
        <v>3027</v>
      </c>
      <c r="X18" s="1">
        <v>10000</v>
      </c>
      <c r="Y18" s="1">
        <v>10000</v>
      </c>
      <c r="Z18" s="1" t="s">
        <v>3028</v>
      </c>
      <c r="AA18" s="1">
        <v>10000</v>
      </c>
      <c r="AB18" s="1" t="s">
        <v>3144</v>
      </c>
      <c r="AC18" s="1" t="s">
        <v>3027</v>
      </c>
      <c r="AD18" s="1" t="s">
        <v>3027</v>
      </c>
      <c r="AE18" s="1" t="s">
        <v>3027</v>
      </c>
      <c r="AF18" s="1" t="s">
        <v>79</v>
      </c>
      <c r="AG18" s="1">
        <v>2</v>
      </c>
      <c r="AH18" s="1" t="s">
        <v>3027</v>
      </c>
      <c r="AI18" s="1" t="s">
        <v>3027</v>
      </c>
      <c r="AJ18" s="1" t="s">
        <v>3027</v>
      </c>
      <c r="AK18" s="1" t="s">
        <v>3027</v>
      </c>
      <c r="AL18" s="1" t="s">
        <v>3027</v>
      </c>
      <c r="AM18" s="1" t="s">
        <v>534</v>
      </c>
      <c r="AN18" s="81"/>
      <c r="AO18" s="1" t="s">
        <v>522</v>
      </c>
      <c r="AP18" s="81"/>
      <c r="AQ18" s="1" t="s">
        <v>522</v>
      </c>
    </row>
    <row r="19" spans="1:43">
      <c r="B19" s="1" t="s">
        <v>3126</v>
      </c>
      <c r="C19" s="1" t="s">
        <v>3126</v>
      </c>
      <c r="D19" s="1" t="s">
        <v>3152</v>
      </c>
      <c r="E19" s="1">
        <v>4</v>
      </c>
      <c r="F19" s="1">
        <v>8</v>
      </c>
      <c r="G19" s="1" t="s">
        <v>3043</v>
      </c>
      <c r="H19" s="1">
        <v>20200101</v>
      </c>
      <c r="I19" s="1">
        <v>99991231</v>
      </c>
      <c r="J19" s="1" t="s">
        <v>79</v>
      </c>
      <c r="K19" s="1" t="s">
        <v>3027</v>
      </c>
      <c r="L19" s="1" t="s">
        <v>534</v>
      </c>
      <c r="M19" s="1" t="s">
        <v>534</v>
      </c>
      <c r="N19" s="1" t="s">
        <v>3026</v>
      </c>
      <c r="O19" s="1" t="s">
        <v>3040</v>
      </c>
      <c r="P19" s="1" t="s">
        <v>3027</v>
      </c>
      <c r="Q19" s="1" t="s">
        <v>154</v>
      </c>
      <c r="R19" s="1">
        <v>1</v>
      </c>
      <c r="S19" s="1">
        <v>6</v>
      </c>
      <c r="T19" s="1">
        <v>1</v>
      </c>
      <c r="U19" s="1">
        <v>3</v>
      </c>
      <c r="V19" s="1">
        <v>20</v>
      </c>
      <c r="W19" s="1" t="s">
        <v>3027</v>
      </c>
      <c r="X19" s="1">
        <v>10000</v>
      </c>
      <c r="Y19" s="1">
        <v>10000</v>
      </c>
      <c r="Z19" s="1" t="s">
        <v>3028</v>
      </c>
      <c r="AA19" s="1">
        <v>10000</v>
      </c>
      <c r="AB19" s="1" t="s">
        <v>3144</v>
      </c>
      <c r="AC19" s="1" t="s">
        <v>3027</v>
      </c>
      <c r="AD19" s="1" t="s">
        <v>3027</v>
      </c>
      <c r="AE19" s="1" t="s">
        <v>3027</v>
      </c>
      <c r="AF19" s="1" t="s">
        <v>79</v>
      </c>
      <c r="AG19" s="1">
        <v>1</v>
      </c>
      <c r="AH19" s="1">
        <v>3</v>
      </c>
      <c r="AI19" s="1" t="s">
        <v>3027</v>
      </c>
      <c r="AJ19" s="1" t="s">
        <v>3027</v>
      </c>
      <c r="AK19" s="1" t="s">
        <v>3027</v>
      </c>
      <c r="AL19" s="1" t="s">
        <v>3027</v>
      </c>
      <c r="AM19" s="1" t="s">
        <v>534</v>
      </c>
      <c r="AN19" s="81"/>
      <c r="AO19" s="1" t="s">
        <v>522</v>
      </c>
      <c r="AP19" s="81"/>
      <c r="AQ19" s="1" t="s">
        <v>522</v>
      </c>
    </row>
    <row r="20" spans="1:43">
      <c r="A20" s="105"/>
      <c r="B20" s="1" t="s">
        <v>565</v>
      </c>
      <c r="C20" s="1" t="s">
        <v>565</v>
      </c>
      <c r="D20" s="1" t="s">
        <v>3153</v>
      </c>
      <c r="E20" s="1">
        <v>8</v>
      </c>
      <c r="F20" s="1" t="s">
        <v>3154</v>
      </c>
      <c r="G20" s="1" t="s">
        <v>79</v>
      </c>
      <c r="H20" s="1">
        <v>20200101</v>
      </c>
      <c r="I20" s="1">
        <v>99991231</v>
      </c>
      <c r="J20" s="1" t="s">
        <v>79</v>
      </c>
      <c r="K20" s="1" t="s">
        <v>3027</v>
      </c>
      <c r="L20" s="1" t="s">
        <v>534</v>
      </c>
      <c r="M20" s="1" t="s">
        <v>534</v>
      </c>
      <c r="N20" s="1" t="s">
        <v>3026</v>
      </c>
      <c r="O20" s="1">
        <v>1</v>
      </c>
      <c r="P20" s="1" t="s">
        <v>3155</v>
      </c>
      <c r="Q20" s="1" t="s">
        <v>154</v>
      </c>
      <c r="R20" s="1">
        <v>1</v>
      </c>
      <c r="S20" s="1">
        <v>6</v>
      </c>
      <c r="T20" s="1">
        <v>1</v>
      </c>
      <c r="U20" s="1" t="s">
        <v>3027</v>
      </c>
      <c r="V20" s="1" t="s">
        <v>3027</v>
      </c>
      <c r="W20" s="1" t="s">
        <v>3027</v>
      </c>
      <c r="X20" s="1">
        <v>1</v>
      </c>
      <c r="Y20" s="1">
        <v>1</v>
      </c>
      <c r="Z20" s="1" t="s">
        <v>3157</v>
      </c>
      <c r="AA20" s="1">
        <v>1000</v>
      </c>
      <c r="AB20" s="1" t="s">
        <v>3027</v>
      </c>
      <c r="AC20" s="1" t="s">
        <v>3027</v>
      </c>
      <c r="AD20" s="1" t="s">
        <v>3027</v>
      </c>
      <c r="AE20" s="1" t="s">
        <v>3027</v>
      </c>
      <c r="AF20" s="1" t="s">
        <v>539</v>
      </c>
      <c r="AG20" s="1">
        <v>1</v>
      </c>
      <c r="AH20" s="1" t="s">
        <v>3027</v>
      </c>
      <c r="AI20" s="1" t="s">
        <v>3027</v>
      </c>
      <c r="AJ20" s="1" t="s">
        <v>3027</v>
      </c>
      <c r="AK20" s="1" t="s">
        <v>3027</v>
      </c>
      <c r="AL20" s="1" t="s">
        <v>3027</v>
      </c>
      <c r="AM20" s="1" t="s">
        <v>534</v>
      </c>
      <c r="AN20" s="81"/>
      <c r="AO20" s="1" t="s">
        <v>522</v>
      </c>
      <c r="AP20" s="81"/>
      <c r="AQ20" s="1" t="s">
        <v>522</v>
      </c>
    </row>
    <row r="21" spans="1:43">
      <c r="A21" s="105"/>
      <c r="B21" s="1" t="s">
        <v>3127</v>
      </c>
      <c r="C21" s="1" t="s">
        <v>3127</v>
      </c>
      <c r="D21" s="1" t="s">
        <v>3158</v>
      </c>
      <c r="E21" s="1">
        <v>8</v>
      </c>
      <c r="F21" s="1" t="s">
        <v>3154</v>
      </c>
      <c r="G21" s="1" t="s">
        <v>79</v>
      </c>
      <c r="H21" s="1">
        <v>20200101</v>
      </c>
      <c r="I21" s="1">
        <v>99991231</v>
      </c>
      <c r="J21" s="1" t="s">
        <v>79</v>
      </c>
      <c r="K21" s="1" t="s">
        <v>3027</v>
      </c>
      <c r="L21" s="1" t="s">
        <v>534</v>
      </c>
      <c r="M21" s="1" t="s">
        <v>534</v>
      </c>
      <c r="N21" s="1" t="s">
        <v>3026</v>
      </c>
      <c r="O21" s="1">
        <v>1</v>
      </c>
      <c r="P21" s="1" t="s">
        <v>3156</v>
      </c>
      <c r="Q21" s="1" t="s">
        <v>154</v>
      </c>
      <c r="R21" s="1">
        <v>1</v>
      </c>
      <c r="S21" s="1">
        <v>6</v>
      </c>
      <c r="T21" s="1">
        <v>1</v>
      </c>
      <c r="U21" s="1" t="s">
        <v>3027</v>
      </c>
      <c r="V21" s="1" t="s">
        <v>3027</v>
      </c>
      <c r="W21" s="1" t="s">
        <v>3027</v>
      </c>
      <c r="X21" s="1">
        <v>1</v>
      </c>
      <c r="Y21" s="1">
        <v>1</v>
      </c>
      <c r="Z21" s="1" t="s">
        <v>3157</v>
      </c>
      <c r="AA21" s="1">
        <v>1000</v>
      </c>
      <c r="AB21" s="1" t="s">
        <v>3027</v>
      </c>
      <c r="AC21" s="1" t="s">
        <v>3027</v>
      </c>
      <c r="AD21" s="1" t="s">
        <v>3027</v>
      </c>
      <c r="AE21" s="1" t="s">
        <v>3027</v>
      </c>
      <c r="AF21" s="1" t="s">
        <v>539</v>
      </c>
      <c r="AG21" s="1">
        <v>1</v>
      </c>
      <c r="AH21" s="1" t="s">
        <v>3027</v>
      </c>
      <c r="AI21" s="1" t="s">
        <v>3027</v>
      </c>
      <c r="AJ21" s="1" t="s">
        <v>3027</v>
      </c>
      <c r="AK21" s="1" t="s">
        <v>3027</v>
      </c>
      <c r="AL21" s="1" t="s">
        <v>3027</v>
      </c>
      <c r="AM21" s="1" t="s">
        <v>534</v>
      </c>
      <c r="AN21" s="81"/>
      <c r="AO21" s="1" t="s">
        <v>522</v>
      </c>
      <c r="AP21" s="81"/>
      <c r="AQ21" s="1" t="s">
        <v>522</v>
      </c>
    </row>
    <row r="22" spans="1:43">
      <c r="B22" s="1" t="s">
        <v>3128</v>
      </c>
      <c r="C22" s="1" t="s">
        <v>3128</v>
      </c>
      <c r="D22" s="1" t="s">
        <v>3159</v>
      </c>
      <c r="E22" s="1">
        <v>5</v>
      </c>
      <c r="F22" s="1">
        <v>9</v>
      </c>
      <c r="G22" s="1" t="s">
        <v>79</v>
      </c>
      <c r="H22" s="1">
        <v>20200101</v>
      </c>
      <c r="I22" s="1">
        <v>99991231</v>
      </c>
      <c r="J22" s="1" t="s">
        <v>91</v>
      </c>
      <c r="K22" s="1">
        <v>2</v>
      </c>
      <c r="L22" s="1" t="s">
        <v>534</v>
      </c>
      <c r="M22" s="1" t="s">
        <v>534</v>
      </c>
      <c r="N22" s="1" t="s">
        <v>3026</v>
      </c>
      <c r="O22" s="1">
        <v>2</v>
      </c>
      <c r="P22" s="1" t="s">
        <v>3027</v>
      </c>
      <c r="Q22" s="1" t="s">
        <v>3160</v>
      </c>
      <c r="R22" s="1">
        <v>1</v>
      </c>
      <c r="S22" s="1">
        <v>6</v>
      </c>
      <c r="T22" s="1">
        <v>1</v>
      </c>
      <c r="U22" s="1">
        <v>40</v>
      </c>
      <c r="V22" s="1">
        <v>6000</v>
      </c>
      <c r="W22" s="1" t="s">
        <v>3027</v>
      </c>
      <c r="X22" s="1">
        <v>10000</v>
      </c>
      <c r="Y22" s="1">
        <v>10000</v>
      </c>
      <c r="Z22" s="1" t="s">
        <v>3028</v>
      </c>
      <c r="AA22" s="1">
        <v>10000</v>
      </c>
      <c r="AB22" s="1" t="s">
        <v>3144</v>
      </c>
      <c r="AC22" s="1" t="s">
        <v>3030</v>
      </c>
      <c r="AD22" s="1" t="s">
        <v>3031</v>
      </c>
      <c r="AE22" s="1" t="s">
        <v>3032</v>
      </c>
      <c r="AF22" s="1" t="s">
        <v>539</v>
      </c>
      <c r="AG22" s="1">
        <v>1</v>
      </c>
      <c r="AH22" s="1" t="s">
        <v>3027</v>
      </c>
      <c r="AI22" s="1">
        <v>5</v>
      </c>
      <c r="AJ22" s="1">
        <v>111</v>
      </c>
      <c r="AK22" s="1">
        <v>0</v>
      </c>
      <c r="AL22" s="1" t="s">
        <v>3027</v>
      </c>
      <c r="AM22" s="1" t="s">
        <v>534</v>
      </c>
      <c r="AN22" s="81"/>
      <c r="AO22" s="1" t="s">
        <v>522</v>
      </c>
      <c r="AP22" s="81"/>
      <c r="AQ22" s="1" t="s">
        <v>522</v>
      </c>
    </row>
    <row r="23" spans="1:43">
      <c r="A23" s="105" t="s">
        <v>3051</v>
      </c>
      <c r="B23" s="1" t="s">
        <v>169</v>
      </c>
      <c r="C23" s="1" t="s">
        <v>169</v>
      </c>
      <c r="D23" s="1" t="s">
        <v>3161</v>
      </c>
      <c r="E23" s="1">
        <v>5</v>
      </c>
      <c r="F23" s="1">
        <v>9</v>
      </c>
      <c r="G23" s="1" t="s">
        <v>79</v>
      </c>
      <c r="H23" s="1">
        <v>20200101</v>
      </c>
      <c r="I23" s="1">
        <v>99991231</v>
      </c>
      <c r="J23" s="1" t="s">
        <v>91</v>
      </c>
      <c r="K23" s="1">
        <v>2</v>
      </c>
      <c r="L23" s="1" t="s">
        <v>534</v>
      </c>
      <c r="M23" s="1" t="s">
        <v>534</v>
      </c>
      <c r="N23" s="1" t="s">
        <v>3162</v>
      </c>
      <c r="O23" s="1">
        <v>2</v>
      </c>
      <c r="P23" s="1" t="s">
        <v>3027</v>
      </c>
      <c r="Q23" s="1" t="s">
        <v>3160</v>
      </c>
      <c r="R23" s="1">
        <v>1</v>
      </c>
      <c r="S23" s="1">
        <v>6</v>
      </c>
      <c r="T23" s="1">
        <v>1</v>
      </c>
      <c r="U23" s="1">
        <v>5</v>
      </c>
      <c r="V23" s="1">
        <v>2000</v>
      </c>
      <c r="W23" s="1" t="s">
        <v>3027</v>
      </c>
      <c r="X23" s="1">
        <v>1000</v>
      </c>
      <c r="Y23" s="1">
        <v>10000</v>
      </c>
      <c r="Z23" s="1" t="s">
        <v>3163</v>
      </c>
      <c r="AA23" s="1">
        <v>10000</v>
      </c>
      <c r="AB23" s="1" t="s">
        <v>3144</v>
      </c>
      <c r="AC23" s="1" t="s">
        <v>3030</v>
      </c>
      <c r="AD23" s="1" t="s">
        <v>3164</v>
      </c>
      <c r="AE23" s="1" t="s">
        <v>3165</v>
      </c>
      <c r="AF23" s="1" t="s">
        <v>539</v>
      </c>
      <c r="AG23" s="1">
        <v>1</v>
      </c>
      <c r="AH23" s="1" t="s">
        <v>3027</v>
      </c>
      <c r="AI23" s="1">
        <v>5</v>
      </c>
      <c r="AJ23" s="1">
        <v>111</v>
      </c>
      <c r="AK23" s="1">
        <v>0</v>
      </c>
      <c r="AL23" s="1" t="s">
        <v>3027</v>
      </c>
      <c r="AM23" s="1" t="s">
        <v>534</v>
      </c>
      <c r="AN23" s="81"/>
      <c r="AO23" s="1" t="s">
        <v>522</v>
      </c>
      <c r="AP23" s="81"/>
      <c r="AQ23" s="1" t="s">
        <v>522</v>
      </c>
    </row>
    <row r="24" spans="1:43">
      <c r="A24" s="105" t="s">
        <v>3051</v>
      </c>
      <c r="B24" s="1" t="s">
        <v>3129</v>
      </c>
      <c r="C24" s="1" t="s">
        <v>3129</v>
      </c>
      <c r="D24" s="1" t="s">
        <v>3166</v>
      </c>
      <c r="E24" s="1">
        <v>8</v>
      </c>
      <c r="F24" s="1" t="s">
        <v>3154</v>
      </c>
      <c r="G24" s="1" t="s">
        <v>79</v>
      </c>
      <c r="H24" s="1">
        <v>20200101</v>
      </c>
      <c r="I24" s="1">
        <v>99991231</v>
      </c>
      <c r="J24" s="1" t="s">
        <v>79</v>
      </c>
      <c r="K24" s="1" t="s">
        <v>3027</v>
      </c>
      <c r="L24" s="1" t="s">
        <v>534</v>
      </c>
      <c r="M24" s="1" t="s">
        <v>534</v>
      </c>
      <c r="N24" s="1" t="s">
        <v>3162</v>
      </c>
      <c r="O24" s="1">
        <v>1</v>
      </c>
      <c r="P24" s="1" t="s">
        <v>3155</v>
      </c>
      <c r="Q24" s="1" t="s">
        <v>3160</v>
      </c>
      <c r="R24" s="1">
        <v>1</v>
      </c>
      <c r="S24" s="1">
        <v>6</v>
      </c>
      <c r="T24" s="1">
        <v>1</v>
      </c>
      <c r="U24" s="1" t="s">
        <v>3027</v>
      </c>
      <c r="V24" s="1" t="s">
        <v>3027</v>
      </c>
      <c r="W24" s="1" t="s">
        <v>3027</v>
      </c>
      <c r="X24" s="1">
        <v>1</v>
      </c>
      <c r="Y24" s="1">
        <v>1</v>
      </c>
      <c r="Z24" s="1" t="s">
        <v>3157</v>
      </c>
      <c r="AA24" s="1">
        <v>1000</v>
      </c>
      <c r="AB24" s="1" t="s">
        <v>3027</v>
      </c>
      <c r="AC24" s="1" t="s">
        <v>3027</v>
      </c>
      <c r="AD24" s="1" t="s">
        <v>3027</v>
      </c>
      <c r="AE24" s="1" t="s">
        <v>3027</v>
      </c>
      <c r="AF24" s="1" t="s">
        <v>539</v>
      </c>
      <c r="AG24" s="1">
        <v>1</v>
      </c>
      <c r="AH24" s="1" t="s">
        <v>3027</v>
      </c>
      <c r="AI24" s="1" t="s">
        <v>3027</v>
      </c>
      <c r="AJ24" s="1" t="s">
        <v>3027</v>
      </c>
      <c r="AK24" s="1" t="s">
        <v>3027</v>
      </c>
      <c r="AL24" s="1" t="s">
        <v>3027</v>
      </c>
      <c r="AM24" s="1" t="s">
        <v>534</v>
      </c>
      <c r="AN24" s="81"/>
      <c r="AO24" s="1" t="s">
        <v>522</v>
      </c>
      <c r="AP24" s="81"/>
      <c r="AQ24" s="1" t="s">
        <v>522</v>
      </c>
    </row>
    <row r="25" spans="1:43">
      <c r="A25" s="105" t="s">
        <v>3051</v>
      </c>
      <c r="B25" s="1" t="s">
        <v>3130</v>
      </c>
      <c r="C25" s="1" t="s">
        <v>3130</v>
      </c>
      <c r="D25" s="1" t="s">
        <v>3167</v>
      </c>
      <c r="E25" s="1">
        <v>8</v>
      </c>
      <c r="F25" s="1" t="s">
        <v>3154</v>
      </c>
      <c r="G25" s="1" t="s">
        <v>79</v>
      </c>
      <c r="H25" s="1">
        <v>20200101</v>
      </c>
      <c r="I25" s="1">
        <v>99991231</v>
      </c>
      <c r="J25" s="1" t="s">
        <v>79</v>
      </c>
      <c r="K25" s="1" t="s">
        <v>3027</v>
      </c>
      <c r="L25" s="1" t="s">
        <v>534</v>
      </c>
      <c r="M25" s="1" t="s">
        <v>534</v>
      </c>
      <c r="N25" s="1" t="s">
        <v>3162</v>
      </c>
      <c r="O25" s="1">
        <v>1</v>
      </c>
      <c r="P25" s="1" t="s">
        <v>3156</v>
      </c>
      <c r="Q25" s="1" t="s">
        <v>3160</v>
      </c>
      <c r="R25" s="1">
        <v>1</v>
      </c>
      <c r="S25" s="1">
        <v>6</v>
      </c>
      <c r="T25" s="1">
        <v>1</v>
      </c>
      <c r="U25" s="1" t="s">
        <v>3027</v>
      </c>
      <c r="V25" s="1" t="s">
        <v>3027</v>
      </c>
      <c r="W25" s="1" t="s">
        <v>3027</v>
      </c>
      <c r="X25" s="1">
        <v>1</v>
      </c>
      <c r="Y25" s="1">
        <v>1</v>
      </c>
      <c r="Z25" s="1" t="s">
        <v>3157</v>
      </c>
      <c r="AA25" s="1">
        <v>1000</v>
      </c>
      <c r="AB25" s="1" t="s">
        <v>3027</v>
      </c>
      <c r="AC25" s="1" t="s">
        <v>3027</v>
      </c>
      <c r="AD25" s="1" t="s">
        <v>3027</v>
      </c>
      <c r="AE25" s="1" t="s">
        <v>3027</v>
      </c>
      <c r="AF25" s="1" t="s">
        <v>539</v>
      </c>
      <c r="AG25" s="1">
        <v>1</v>
      </c>
      <c r="AH25" s="1" t="s">
        <v>3027</v>
      </c>
      <c r="AI25" s="1" t="s">
        <v>3027</v>
      </c>
      <c r="AJ25" s="1" t="s">
        <v>3027</v>
      </c>
      <c r="AK25" s="1" t="s">
        <v>3027</v>
      </c>
      <c r="AL25" s="1" t="s">
        <v>3027</v>
      </c>
      <c r="AM25" s="1" t="s">
        <v>534</v>
      </c>
      <c r="AN25" s="81"/>
      <c r="AO25" s="1" t="s">
        <v>522</v>
      </c>
      <c r="AP25" s="81"/>
      <c r="AQ25" s="1" t="s">
        <v>522</v>
      </c>
    </row>
    <row r="26" spans="1:43">
      <c r="A26" s="105" t="s">
        <v>3208</v>
      </c>
      <c r="B26" s="1" t="s">
        <v>3206</v>
      </c>
      <c r="C26" s="1" t="s">
        <v>3206</v>
      </c>
      <c r="D26" s="1" t="s">
        <v>3207</v>
      </c>
      <c r="E26" s="1">
        <v>5</v>
      </c>
      <c r="F26" s="1">
        <v>9</v>
      </c>
      <c r="G26" s="1" t="s">
        <v>3209</v>
      </c>
      <c r="H26" s="1">
        <v>20200101</v>
      </c>
      <c r="I26" s="1">
        <v>99991231</v>
      </c>
      <c r="J26" s="1" t="s">
        <v>3210</v>
      </c>
      <c r="K26" s="1">
        <v>2</v>
      </c>
      <c r="L26" s="1" t="s">
        <v>534</v>
      </c>
      <c r="M26" s="1" t="s">
        <v>534</v>
      </c>
      <c r="N26" s="1" t="s">
        <v>3211</v>
      </c>
      <c r="O26" s="1">
        <v>2</v>
      </c>
      <c r="P26" s="1" t="s">
        <v>3027</v>
      </c>
      <c r="Q26" s="1" t="s">
        <v>3212</v>
      </c>
      <c r="R26" s="1">
        <v>1</v>
      </c>
      <c r="S26" s="1">
        <v>6</v>
      </c>
      <c r="T26" s="1">
        <v>1</v>
      </c>
      <c r="U26" s="1">
        <v>2</v>
      </c>
      <c r="V26" s="1">
        <v>1200</v>
      </c>
      <c r="W26" s="1" t="s">
        <v>3027</v>
      </c>
      <c r="X26" s="1">
        <v>10000</v>
      </c>
      <c r="Y26" s="1">
        <v>10000</v>
      </c>
      <c r="Z26" s="1" t="s">
        <v>3028</v>
      </c>
      <c r="AA26" s="1">
        <v>10000</v>
      </c>
      <c r="AB26" s="1" t="s">
        <v>3141</v>
      </c>
      <c r="AC26" s="1" t="s">
        <v>3030</v>
      </c>
      <c r="AD26" s="1" t="s">
        <v>3031</v>
      </c>
      <c r="AE26" s="1" t="s">
        <v>3032</v>
      </c>
      <c r="AF26" s="1" t="s">
        <v>3213</v>
      </c>
      <c r="AG26" s="1">
        <v>1</v>
      </c>
      <c r="AH26" s="1" t="s">
        <v>3027</v>
      </c>
      <c r="AI26" s="1">
        <v>5</v>
      </c>
      <c r="AJ26" s="1">
        <v>111</v>
      </c>
      <c r="AK26" s="1">
        <v>0</v>
      </c>
      <c r="AL26" s="1" t="s">
        <v>3027</v>
      </c>
      <c r="AM26" s="1" t="s">
        <v>534</v>
      </c>
      <c r="AN26" s="81"/>
      <c r="AO26" s="1" t="s">
        <v>522</v>
      </c>
      <c r="AP26" s="81"/>
      <c r="AQ26" s="1" t="s">
        <v>522</v>
      </c>
    </row>
    <row r="27" spans="1:43">
      <c r="A27" s="105" t="s">
        <v>3208</v>
      </c>
      <c r="B27" s="1" t="s">
        <v>3222</v>
      </c>
      <c r="C27" s="1" t="s">
        <v>3222</v>
      </c>
      <c r="D27" s="1" t="s">
        <v>3221</v>
      </c>
      <c r="E27" s="1">
        <v>1</v>
      </c>
      <c r="F27" s="1">
        <v>1</v>
      </c>
      <c r="G27" s="1" t="s">
        <v>3209</v>
      </c>
      <c r="H27" s="1">
        <v>20200101</v>
      </c>
      <c r="I27" s="1">
        <v>99991231</v>
      </c>
      <c r="J27" s="1" t="s">
        <v>3210</v>
      </c>
      <c r="K27" s="1">
        <v>2</v>
      </c>
      <c r="L27" s="1" t="s">
        <v>534</v>
      </c>
      <c r="M27" s="1" t="s">
        <v>534</v>
      </c>
      <c r="N27" s="1" t="s">
        <v>3211</v>
      </c>
      <c r="O27" s="1">
        <v>2</v>
      </c>
      <c r="P27" s="1" t="s">
        <v>3027</v>
      </c>
      <c r="Q27" s="1" t="s">
        <v>3212</v>
      </c>
      <c r="R27" s="1">
        <v>1</v>
      </c>
      <c r="S27" s="1">
        <v>6</v>
      </c>
      <c r="T27" s="1">
        <v>1</v>
      </c>
      <c r="U27" s="1">
        <v>30</v>
      </c>
      <c r="V27" s="1">
        <v>400</v>
      </c>
      <c r="W27" s="1" t="s">
        <v>3027</v>
      </c>
      <c r="X27" s="1">
        <v>10000</v>
      </c>
      <c r="Y27" s="1">
        <v>10000</v>
      </c>
      <c r="Z27" s="1" t="s">
        <v>3028</v>
      </c>
      <c r="AA27" s="1">
        <v>10000</v>
      </c>
      <c r="AB27" s="1" t="s">
        <v>3141</v>
      </c>
      <c r="AC27" s="1" t="s">
        <v>3030</v>
      </c>
      <c r="AD27" s="1" t="s">
        <v>3031</v>
      </c>
      <c r="AE27" s="1" t="s">
        <v>3032</v>
      </c>
      <c r="AF27" s="1" t="s">
        <v>3213</v>
      </c>
      <c r="AG27" s="1">
        <v>1</v>
      </c>
      <c r="AH27" s="1" t="s">
        <v>3027</v>
      </c>
      <c r="AI27" s="1" t="s">
        <v>3027</v>
      </c>
      <c r="AJ27" s="1" t="s">
        <v>3027</v>
      </c>
      <c r="AK27" s="1" t="s">
        <v>3027</v>
      </c>
      <c r="AL27" s="1" t="s">
        <v>3027</v>
      </c>
      <c r="AM27" s="1" t="s">
        <v>534</v>
      </c>
      <c r="AN27" s="81"/>
      <c r="AO27" s="1" t="s">
        <v>522</v>
      </c>
      <c r="AP27" s="81"/>
      <c r="AQ27" s="1" t="s">
        <v>522</v>
      </c>
    </row>
    <row r="28" spans="1:43">
      <c r="A28" s="105" t="s">
        <v>3208</v>
      </c>
      <c r="B28" s="1" t="s">
        <v>3238</v>
      </c>
      <c r="C28" s="1" t="s">
        <v>3238</v>
      </c>
      <c r="D28" s="1" t="s">
        <v>3239</v>
      </c>
      <c r="E28" s="1">
        <v>5</v>
      </c>
      <c r="F28" s="1">
        <v>9</v>
      </c>
      <c r="G28" s="1" t="s">
        <v>3209</v>
      </c>
      <c r="H28" s="1">
        <v>20200101</v>
      </c>
      <c r="I28" s="1">
        <v>99991231</v>
      </c>
      <c r="J28" s="1" t="s">
        <v>3210</v>
      </c>
      <c r="K28" s="1">
        <v>2</v>
      </c>
      <c r="L28" s="1" t="s">
        <v>534</v>
      </c>
      <c r="M28" s="1" t="s">
        <v>534</v>
      </c>
      <c r="N28" s="1" t="s">
        <v>3211</v>
      </c>
      <c r="O28" s="1">
        <v>2</v>
      </c>
      <c r="P28" s="1" t="s">
        <v>3027</v>
      </c>
      <c r="Q28" s="1" t="s">
        <v>3212</v>
      </c>
      <c r="R28" s="1">
        <v>1</v>
      </c>
      <c r="S28" s="1">
        <v>6</v>
      </c>
      <c r="T28" s="1">
        <v>1</v>
      </c>
      <c r="U28" s="1">
        <v>30</v>
      </c>
      <c r="V28" s="1">
        <v>3000</v>
      </c>
      <c r="W28" s="1" t="s">
        <v>3027</v>
      </c>
      <c r="X28" s="1">
        <v>10000</v>
      </c>
      <c r="Y28" s="1">
        <v>10000</v>
      </c>
      <c r="Z28" s="1" t="s">
        <v>3028</v>
      </c>
      <c r="AA28" s="1">
        <v>10000</v>
      </c>
      <c r="AB28" s="1" t="s">
        <v>3141</v>
      </c>
      <c r="AC28" s="1" t="s">
        <v>3030</v>
      </c>
      <c r="AD28" s="1" t="s">
        <v>3031</v>
      </c>
      <c r="AE28" s="1" t="s">
        <v>3032</v>
      </c>
      <c r="AF28" s="1" t="s">
        <v>3213</v>
      </c>
      <c r="AG28" s="1">
        <v>1</v>
      </c>
      <c r="AH28" s="1" t="s">
        <v>3027</v>
      </c>
      <c r="AI28" s="1">
        <v>111</v>
      </c>
      <c r="AJ28" s="1">
        <v>0</v>
      </c>
      <c r="AK28" s="1">
        <v>0</v>
      </c>
      <c r="AL28" s="1" t="s">
        <v>3027</v>
      </c>
      <c r="AM28" s="1" t="s">
        <v>534</v>
      </c>
      <c r="AN28" s="81"/>
      <c r="AO28" s="1" t="s">
        <v>522</v>
      </c>
      <c r="AP28" s="81"/>
      <c r="AQ28" s="1" t="s">
        <v>522</v>
      </c>
    </row>
    <row r="29" spans="1:43">
      <c r="A29" s="105" t="s">
        <v>3208</v>
      </c>
      <c r="B29" s="1" t="s">
        <v>3245</v>
      </c>
      <c r="C29" s="1" t="s">
        <v>3245</v>
      </c>
      <c r="D29" s="1" t="s">
        <v>3249</v>
      </c>
      <c r="E29" s="1">
        <v>5</v>
      </c>
      <c r="F29" s="1">
        <v>9</v>
      </c>
      <c r="G29" s="1" t="s">
        <v>3209</v>
      </c>
      <c r="H29" s="1">
        <v>20200101</v>
      </c>
      <c r="I29" s="1">
        <v>99991231</v>
      </c>
      <c r="J29" s="1" t="s">
        <v>3210</v>
      </c>
      <c r="K29" s="1">
        <v>2</v>
      </c>
      <c r="L29" s="1" t="s">
        <v>534</v>
      </c>
      <c r="M29" s="1" t="s">
        <v>534</v>
      </c>
      <c r="N29" s="1" t="s">
        <v>3162</v>
      </c>
      <c r="O29" s="1">
        <v>2</v>
      </c>
      <c r="P29" s="1" t="s">
        <v>3027</v>
      </c>
      <c r="Q29" s="1" t="s">
        <v>3212</v>
      </c>
      <c r="R29" s="1">
        <v>1</v>
      </c>
      <c r="S29" s="1">
        <v>6</v>
      </c>
      <c r="T29" s="1">
        <v>1</v>
      </c>
      <c r="U29" s="1">
        <v>3</v>
      </c>
      <c r="V29" s="1">
        <v>2000</v>
      </c>
      <c r="W29" s="1" t="s">
        <v>3027</v>
      </c>
      <c r="X29" s="1">
        <v>1000</v>
      </c>
      <c r="Y29" s="1">
        <v>10000</v>
      </c>
      <c r="Z29" s="1" t="s">
        <v>3028</v>
      </c>
      <c r="AA29" s="1">
        <v>10000</v>
      </c>
      <c r="AB29" s="1" t="s">
        <v>3243</v>
      </c>
      <c r="AC29" s="1" t="s">
        <v>3030</v>
      </c>
      <c r="AD29" s="1" t="s">
        <v>3244</v>
      </c>
      <c r="AE29" s="1" t="s">
        <v>3165</v>
      </c>
      <c r="AF29" s="1" t="s">
        <v>539</v>
      </c>
      <c r="AG29" s="1">
        <v>1</v>
      </c>
      <c r="AH29" s="1" t="s">
        <v>3027</v>
      </c>
      <c r="AI29" s="1">
        <v>5</v>
      </c>
      <c r="AJ29" s="1">
        <v>100</v>
      </c>
      <c r="AK29" s="1">
        <v>0</v>
      </c>
      <c r="AL29" s="1" t="s">
        <v>3027</v>
      </c>
      <c r="AM29" s="1" t="s">
        <v>534</v>
      </c>
      <c r="AN29" s="81"/>
      <c r="AO29" s="1" t="s">
        <v>522</v>
      </c>
      <c r="AP29" s="81"/>
      <c r="AQ29" s="1" t="s">
        <v>522</v>
      </c>
    </row>
    <row r="30" spans="1:43">
      <c r="A30" s="105" t="s">
        <v>3208</v>
      </c>
      <c r="B30" s="1" t="s">
        <v>3246</v>
      </c>
      <c r="C30" s="1" t="s">
        <v>3246</v>
      </c>
      <c r="D30" s="1" t="s">
        <v>3250</v>
      </c>
      <c r="E30" s="1">
        <v>5</v>
      </c>
      <c r="F30" s="1">
        <v>9</v>
      </c>
      <c r="G30" s="1" t="s">
        <v>3209</v>
      </c>
      <c r="H30" s="1">
        <v>20200101</v>
      </c>
      <c r="I30" s="1">
        <v>99991231</v>
      </c>
      <c r="J30" s="1" t="s">
        <v>3210</v>
      </c>
      <c r="K30" s="1">
        <v>2</v>
      </c>
      <c r="L30" s="1" t="s">
        <v>534</v>
      </c>
      <c r="M30" s="1" t="s">
        <v>534</v>
      </c>
      <c r="N30" s="1" t="s">
        <v>3162</v>
      </c>
      <c r="O30" s="1">
        <v>2</v>
      </c>
      <c r="P30" s="1" t="s">
        <v>3027</v>
      </c>
      <c r="Q30" s="1" t="s">
        <v>3212</v>
      </c>
      <c r="R30" s="1">
        <v>1</v>
      </c>
      <c r="S30" s="1">
        <v>6</v>
      </c>
      <c r="T30" s="1">
        <v>1</v>
      </c>
      <c r="U30" s="1">
        <v>3</v>
      </c>
      <c r="V30" s="1">
        <v>2000</v>
      </c>
      <c r="W30" s="1" t="s">
        <v>3027</v>
      </c>
      <c r="X30" s="1">
        <v>1000</v>
      </c>
      <c r="Y30" s="1">
        <v>10000</v>
      </c>
      <c r="Z30" s="1" t="s">
        <v>3028</v>
      </c>
      <c r="AA30" s="1">
        <v>10000</v>
      </c>
      <c r="AB30" s="1" t="s">
        <v>3243</v>
      </c>
      <c r="AC30" s="1" t="s">
        <v>3030</v>
      </c>
      <c r="AD30" s="1" t="s">
        <v>3244</v>
      </c>
      <c r="AE30" s="1" t="s">
        <v>3165</v>
      </c>
      <c r="AF30" s="1" t="s">
        <v>539</v>
      </c>
      <c r="AG30" s="1">
        <v>1</v>
      </c>
      <c r="AH30" s="1" t="s">
        <v>3027</v>
      </c>
      <c r="AI30" s="1">
        <v>5</v>
      </c>
      <c r="AJ30" s="1">
        <v>100</v>
      </c>
      <c r="AK30" s="1">
        <v>0</v>
      </c>
      <c r="AL30" s="1" t="s">
        <v>3027</v>
      </c>
      <c r="AM30" s="1" t="s">
        <v>534</v>
      </c>
      <c r="AN30" s="81"/>
      <c r="AO30" s="1" t="s">
        <v>522</v>
      </c>
      <c r="AP30" s="81"/>
      <c r="AQ30" s="1" t="s">
        <v>522</v>
      </c>
    </row>
    <row r="31" spans="1:43">
      <c r="A31" s="105" t="s">
        <v>3208</v>
      </c>
      <c r="B31" s="1" t="s">
        <v>3247</v>
      </c>
      <c r="C31" s="1" t="s">
        <v>3247</v>
      </c>
      <c r="D31" s="1" t="s">
        <v>3251</v>
      </c>
      <c r="E31" s="1">
        <v>5</v>
      </c>
      <c r="F31" s="1">
        <v>9</v>
      </c>
      <c r="G31" s="1" t="s">
        <v>3209</v>
      </c>
      <c r="H31" s="1">
        <v>20200101</v>
      </c>
      <c r="I31" s="1">
        <v>99991231</v>
      </c>
      <c r="J31" s="1" t="s">
        <v>3210</v>
      </c>
      <c r="K31" s="1">
        <v>2</v>
      </c>
      <c r="L31" s="1" t="s">
        <v>534</v>
      </c>
      <c r="M31" s="1" t="s">
        <v>534</v>
      </c>
      <c r="N31" s="1" t="s">
        <v>3162</v>
      </c>
      <c r="O31" s="1">
        <v>2</v>
      </c>
      <c r="P31" s="1" t="s">
        <v>3027</v>
      </c>
      <c r="Q31" s="1" t="s">
        <v>3212</v>
      </c>
      <c r="R31" s="1">
        <v>1</v>
      </c>
      <c r="S31" s="1">
        <v>6</v>
      </c>
      <c r="T31" s="1">
        <v>1</v>
      </c>
      <c r="U31" s="1">
        <v>3</v>
      </c>
      <c r="V31" s="1">
        <v>2000</v>
      </c>
      <c r="W31" s="1" t="s">
        <v>3027</v>
      </c>
      <c r="X31" s="1">
        <v>1000</v>
      </c>
      <c r="Y31" s="1">
        <v>10000</v>
      </c>
      <c r="Z31" s="1" t="s">
        <v>3028</v>
      </c>
      <c r="AA31" s="1">
        <v>10000</v>
      </c>
      <c r="AB31" s="1" t="s">
        <v>3243</v>
      </c>
      <c r="AC31" s="1" t="s">
        <v>3030</v>
      </c>
      <c r="AD31" s="1" t="s">
        <v>3244</v>
      </c>
      <c r="AE31" s="1" t="s">
        <v>3165</v>
      </c>
      <c r="AF31" s="1" t="s">
        <v>539</v>
      </c>
      <c r="AG31" s="1">
        <v>1</v>
      </c>
      <c r="AH31" s="1" t="s">
        <v>3027</v>
      </c>
      <c r="AI31" s="1">
        <v>5</v>
      </c>
      <c r="AJ31" s="1">
        <v>100</v>
      </c>
      <c r="AK31" s="1">
        <v>0</v>
      </c>
      <c r="AL31" s="1" t="s">
        <v>3027</v>
      </c>
      <c r="AM31" s="1" t="s">
        <v>534</v>
      </c>
      <c r="AN31" s="81"/>
      <c r="AO31" s="1" t="s">
        <v>522</v>
      </c>
      <c r="AP31" s="81"/>
      <c r="AQ31" s="1" t="s">
        <v>522</v>
      </c>
    </row>
    <row r="32" spans="1:43">
      <c r="AN32" s="81"/>
      <c r="AP32" s="81"/>
    </row>
  </sheetData>
  <phoneticPr fontId="3" type="noConversion"/>
  <hyperlinks>
    <hyperlink ref="A1" location="目錄!A1" display="回到目錄"/>
  </hyperlinks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/>
  <dimension ref="A1:S61"/>
  <sheetViews>
    <sheetView workbookViewId="0">
      <pane ySplit="1" topLeftCell="A5" activePane="bottomLeft" state="frozen"/>
      <selection activeCell="B1" sqref="B1"/>
      <selection pane="bottomLeft"/>
    </sheetView>
  </sheetViews>
  <sheetFormatPr defaultColWidth="11.1796875" defaultRowHeight="13.8"/>
  <cols>
    <col min="1" max="1" width="7.453125" style="10" bestFit="1" customWidth="1"/>
    <col min="2" max="2" width="4.36328125" style="14" bestFit="1" customWidth="1"/>
    <col min="3" max="3" width="12" style="15" bestFit="1" customWidth="1"/>
    <col min="4" max="4" width="10.08984375" style="15" bestFit="1" customWidth="1"/>
    <col min="5" max="5" width="7.54296875" style="14" bestFit="1" customWidth="1"/>
    <col min="6" max="6" width="10" style="10" bestFit="1" customWidth="1"/>
    <col min="7" max="7" width="9" style="10" bestFit="1" customWidth="1"/>
    <col min="8" max="8" width="30.453125" style="15" bestFit="1" customWidth="1"/>
    <col min="9" max="9" width="7.453125" style="15" bestFit="1" customWidth="1"/>
    <col min="10" max="11" width="4.36328125" style="14" bestFit="1" customWidth="1"/>
    <col min="12" max="12" width="4.26953125" style="36" bestFit="1" customWidth="1"/>
    <col min="13" max="13" width="12.7265625" style="36" customWidth="1"/>
    <col min="14" max="17" width="8.81640625" style="36" customWidth="1"/>
    <col min="18" max="18" width="6.6328125" style="36" customWidth="1"/>
    <col min="19" max="19" width="6.6328125" style="32" customWidth="1"/>
    <col min="20" max="16384" width="11.1796875" style="10"/>
  </cols>
  <sheetData>
    <row r="1" spans="1:19" s="17" customFormat="1">
      <c r="A1" s="23" t="s">
        <v>36</v>
      </c>
      <c r="B1" s="5" t="s">
        <v>5</v>
      </c>
      <c r="C1" s="20" t="s">
        <v>3</v>
      </c>
      <c r="D1" s="20" t="s">
        <v>4</v>
      </c>
      <c r="E1" s="7" t="s">
        <v>6</v>
      </c>
      <c r="F1" s="8" t="s">
        <v>13</v>
      </c>
      <c r="G1" s="8" t="s">
        <v>7</v>
      </c>
      <c r="H1" s="9" t="s">
        <v>8</v>
      </c>
      <c r="I1" s="35" t="s">
        <v>467</v>
      </c>
      <c r="J1" s="33"/>
      <c r="K1" s="33"/>
      <c r="L1" s="72" t="s">
        <v>468</v>
      </c>
      <c r="M1" s="72" t="s">
        <v>3651</v>
      </c>
      <c r="N1" s="72" t="s">
        <v>470</v>
      </c>
      <c r="O1" s="72" t="s">
        <v>471</v>
      </c>
      <c r="P1" s="72" t="s">
        <v>472</v>
      </c>
      <c r="Q1" s="72" t="s">
        <v>473</v>
      </c>
      <c r="R1" s="72" t="s">
        <v>474</v>
      </c>
      <c r="S1" s="73" t="s">
        <v>475</v>
      </c>
    </row>
    <row r="2" spans="1:19">
      <c r="B2" s="14" t="s">
        <v>14</v>
      </c>
      <c r="C2" s="13" t="s">
        <v>455</v>
      </c>
      <c r="D2" s="18" t="s">
        <v>456</v>
      </c>
      <c r="E2" s="11"/>
      <c r="F2" s="12"/>
      <c r="G2" s="12" t="s">
        <v>81</v>
      </c>
      <c r="M2" s="34"/>
      <c r="N2" s="36" t="str">
        <f>"EXEC sp_dropextendedproperty @name = N'MS_Description', @level0type=N'SCHEMA',@level0name=N'"&amp;$L$1&amp;"', @level1type=N'TABLE',@level1name=N'"&amp;$M$1&amp;"', @level2type=N'COLUMN',@level2name=N'"&amp;$C2&amp;"'"</f>
        <v>EXEC sp_dropextendedproperty @name = N'MS_Description', @level0type=N'SCHEMA',@level0name=N'dbo', @level1type=N'TABLE',@level1name=N'LifeInsMultiKind', @level2type=N'COLUMN',@level2name=N'PlanCode'</v>
      </c>
      <c r="O2" s="36" t="str">
        <f>"EXEC sp_dropextendedproperty @name = N'Rule', @level0type=N'SCHEMA',@level0name=N'"&amp;$L$1&amp;"', @level1type=N'TABLE',@level1name=N'"&amp;$M$1&amp;"', @level2type=N'COLUMN',@level2name=N'"&amp;$C2&amp;"'"</f>
        <v>EXEC sp_dropextendedproperty @name = N'Rule', @level0type=N'SCHEMA',@level0name=N'dbo', @level1type=N'TABLE',@level1name=N'LifeInsMultiKind', @level2type=N'COLUMN',@level2name=N'PlanCode'</v>
      </c>
      <c r="P2" s="36" t="str">
        <f>"EXEC sp_dropextendedproperty @name = N'Memo', @level0type=N'SCHEMA',@level0name=N'"&amp;$L$1&amp;"', @level1type=N'TABLE',@level1name=N'"&amp;$M$1&amp;"', @level2type=N'COLUMN',@level2name=N'"&amp;$C2&amp;"'"</f>
        <v>EXEC sp_dropextendedproperty @name = N'Memo', @level0type=N'SCHEMA',@level0name=N'dbo', @level1type=N'TABLE',@level1name=N'LifeInsMultiKind', @level2type=N'COLUMN',@level2name=N'PlanCode'</v>
      </c>
      <c r="Q2" s="36" t="str">
        <f>"set @OldWording = N'"&amp;SUBSTITUTE($G2,CHAR(10),"")&amp;"'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@level2type=N'COLUMN',@level2name=N'"&amp;$C2&amp;"'"</f>
        <v>set @OldWording = N'險種代碼' set @NewWording = REPLACE(@OldWording,'***',char(13)+char(10)) EXEC sys.sp_addextendedproperty @name=N'MS_Description', @value=@NewWording , @level0type=N'SCHEMA',@level0name=N'dbo', @level1type=N'TABLE',@level1name=N'LifeInsMultiKind', @level2type=N'COLUMN',@level2name=N'PlanCode'</v>
      </c>
      <c r="R2" s="32" t="str">
        <f>"set @OldWording = N'"&amp;SUBSTITUTE($H2,CHAR(10),"")&amp;"'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@name=N'Rule', @value=@NewWording , @level0type=N'SCHEMA',@level0name=N'dbo', @level1type=N'TABLE',@level1name=N'LifeInsMultiKind', @level2type=N'COLUMN',@level2name=N'PlanCode'</v>
      </c>
      <c r="S2" s="36" t="str">
        <f>"set @OldWording = N'"&amp;SUBSTITUTE($I2,CHAR(10),"")&amp;"' set @NewWording = REPLACE(@OldWording,'***',char(13)+char(10)) "&amp;"EXEC sys.sp_addextendedproperty @name=N'Memo',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@name=N'Memo', @value=@NewWording , @level0type=N'SCHEMA',@level0name=N'dbo', @level1type=N'TABLE',@level1name=N'LifeInsMultiKind', @level2type=N'COLUMN',@level2name=N'PlanCode'</v>
      </c>
    </row>
    <row r="3" spans="1:19" ht="27.6">
      <c r="B3" s="14" t="s">
        <v>14</v>
      </c>
      <c r="C3" s="15" t="s">
        <v>3728</v>
      </c>
      <c r="D3" s="15" t="s">
        <v>21</v>
      </c>
      <c r="G3" s="10" t="s">
        <v>457</v>
      </c>
      <c r="H3" s="24" t="s">
        <v>4779</v>
      </c>
      <c r="I3" s="24"/>
      <c r="N3" s="36" t="str">
        <f t="shared" ref="N3:N8" si="0">"EXEC sp_dropextendedproperty @name = N'MS_Description', @level0type=N'SCHEMA',@level0name=N'"&amp;$L$1&amp;"', @level1type=N'TABLE',@level1name=N'"&amp;$M$1&amp;"', @level2type=N'COLUMN',@level2name=N'"&amp;$C3&amp;"'"</f>
        <v>EXEC sp_dropextendedproperty @name = N'MS_Description', @level0type=N'SCHEMA',@level0name=N'dbo', @level1type=N'TABLE',@level1name=N'LifeInsMultiKind', @level2type=N'COLUMN',@level2name=N'MultiKind'</v>
      </c>
      <c r="O3" s="36" t="str">
        <f t="shared" ref="O3:O8" si="1">"EXEC sp_dropextendedproperty @name = N'Rule', @level0type=N'SCHEMA',@level0name=N'"&amp;$L$1&amp;"', @level1type=N'TABLE',@level1name=N'"&amp;$M$1&amp;"', @level2type=N'COLUMN',@level2name=N'"&amp;$C3&amp;"'"</f>
        <v>EXEC sp_dropextendedproperty @name = N'Rule', @level0type=N'SCHEMA',@level0name=N'dbo', @level1type=N'TABLE',@level1name=N'LifeInsMultiKind', @level2type=N'COLUMN',@level2name=N'MultiKind'</v>
      </c>
      <c r="P3" s="36" t="str">
        <f t="shared" ref="P3:P8" si="2">"EXEC sp_dropextendedproperty @name = N'Memo', @level0type=N'SCHEMA',@level0name=N'"&amp;$L$1&amp;"', @level1type=N'TABLE',@level1name=N'"&amp;$M$1&amp;"', @level2type=N'COLUMN',@level2name=N'"&amp;$C3&amp;"'"</f>
        <v>EXEC sp_dropextendedproperty @name = N'Memo', @level0type=N'SCHEMA',@level0name=N'dbo', @level1type=N'TABLE',@level1name=N'LifeInsMultiKind', @level2type=N'COLUMN',@level2name=N'MultiKind'</v>
      </c>
      <c r="Q3" s="36" t="str">
        <f t="shared" ref="Q3:Q8" si="3">"set @OldWording = N'"&amp;SUBSTITUTE($G3,CHAR(10),"")&amp;"'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@level2type=N'COLUMN',@level2name=N'"&amp;$C3&amp;"'"</f>
        <v>set @OldWording = N'多型別' set @NewWording = REPLACE(@OldWording,'***',char(13)+char(10)) EXEC sys.sp_addextendedproperty @name=N'MS_Description', @value=@NewWording , @level0type=N'SCHEMA',@level0name=N'dbo', @level1type=N'TABLE',@level1name=N'LifeInsMultiKind', @level2type=N'COLUMN',@level2name=N'MultiKind'</v>
      </c>
      <c r="R3" s="32" t="str">
        <f t="shared" ref="R3:R8" si="4">"set @OldWording = N'"&amp;SUBSTITUTE($H3,CHAR(10),"")&amp;"'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@level2type=N'COLUMN',@level2name=N'"&amp;$C3&amp;"'"</f>
        <v>set @OldWording = N'A=甲型***B=乙型…，KEY值可自定義' set @NewWording = REPLACE(@OldWording,'***',char(13)+char(10)) EXEC sys.sp_addextendedproperty @name=N'Rule', @value=@NewWording , @level0type=N'SCHEMA',@level0name=N'dbo', @level1type=N'TABLE',@level1name=N'LifeInsMultiKind', @level2type=N'COLUMN',@level2name=N'MultiKind'</v>
      </c>
      <c r="S3" s="36" t="str">
        <f t="shared" ref="S3:S8" si="5">"set @OldWording = N'"&amp;SUBSTITUTE($I3,CHAR(10),"")&amp;"' set @NewWording = REPLACE(@OldWording,'***',char(13)+char(10)) "&amp;"EXEC sys.sp_addextendedproperty @name=N'Memo', @value=@NewWording , @level0type=N'SCHEMA',@level0name=N'"&amp;$L$1&amp;"', @level1type=N'TABLE',@level1name=N'"&amp;$M$1&amp;"', @level2type=N'COLUMN',@level2name=N'"&amp;$C3&amp;"'"</f>
        <v>set @OldWording = N'' set @NewWording = REPLACE(@OldWording,'***',char(13)+char(10)) EXEC sys.sp_addextendedproperty @name=N'Memo', @value=@NewWording , @level0type=N'SCHEMA',@level0name=N'dbo', @level1type=N'TABLE',@level1name=N'LifeInsMultiKind', @level2type=N'COLUMN',@level2name=N'MultiKind'</v>
      </c>
    </row>
    <row r="4" spans="1:19">
      <c r="C4" s="15" t="s">
        <v>3729</v>
      </c>
      <c r="D4" s="10" t="s">
        <v>35</v>
      </c>
      <c r="G4" s="10" t="s">
        <v>85</v>
      </c>
      <c r="I4" s="24"/>
      <c r="N4" s="36" t="str">
        <f t="shared" si="0"/>
        <v>EXEC sp_dropextendedproperty @name = N'MS_Description', @level0type=N'SCHEMA',@level0name=N'dbo', @level1type=N'TABLE',@level1name=N'LifeInsMultiKind', @level2type=N'COLUMN',@level2name=N'DispMultiKind'</v>
      </c>
      <c r="O4" s="36" t="str">
        <f t="shared" si="1"/>
        <v>EXEC sp_dropextendedproperty @name = N'Rule', @level0type=N'SCHEMA',@level0name=N'dbo', @level1type=N'TABLE',@level1name=N'LifeInsMultiKind', @level2type=N'COLUMN',@level2name=N'DispMultiKind'</v>
      </c>
      <c r="P4" s="36" t="str">
        <f t="shared" si="2"/>
        <v>EXEC sp_dropextendedproperty @name = N'Memo', @level0type=N'SCHEMA',@level0name=N'dbo', @level1type=N'TABLE',@level1name=N'LifeInsMultiKind', @level2type=N'COLUMN',@level2name=N'DispMultiKind'</v>
      </c>
      <c r="Q4" s="36" t="str">
        <f t="shared" si="3"/>
        <v>set @OldWording = N'顯示多型別' set @NewWording = REPLACE(@OldWording,'***',char(13)+char(10)) EXEC sys.sp_addextendedproperty @name=N'MS_Description', @value=@NewWording , @level0type=N'SCHEMA',@level0name=N'dbo', @level1type=N'TABLE',@level1name=N'LifeInsMultiKind', @level2type=N'COLUMN',@level2name=N'DispMultiKind'</v>
      </c>
      <c r="R4" s="32" t="str">
        <f t="shared" si="4"/>
        <v>set @OldWording = N'' set @NewWording = REPLACE(@OldWording,'***',char(13)+char(10)) EXEC sys.sp_addextendedproperty @name=N'Rule', @value=@NewWording , @level0type=N'SCHEMA',@level0name=N'dbo', @level1type=N'TABLE',@level1name=N'LifeInsMultiKind', @level2type=N'COLUMN',@level2name=N'DispMultiKind'</v>
      </c>
      <c r="S4" s="36" t="str">
        <f t="shared" si="5"/>
        <v>set @OldWording = N'' set @NewWording = REPLACE(@OldWording,'***',char(13)+char(10)) EXEC sys.sp_addextendedproperty @name=N'Memo', @value=@NewWording , @level0type=N'SCHEMA',@level0name=N'dbo', @level1type=N'TABLE',@level1name=N'LifeInsMultiKind', @level2type=N'COLUMN',@level2name=N'DispMultiKind'</v>
      </c>
    </row>
    <row r="5" spans="1:19">
      <c r="C5" s="12" t="s">
        <v>69</v>
      </c>
      <c r="D5" s="12" t="s">
        <v>11</v>
      </c>
      <c r="E5" s="11" t="s">
        <v>16</v>
      </c>
      <c r="F5" s="13" t="s">
        <v>20</v>
      </c>
      <c r="G5" s="12" t="s">
        <v>30</v>
      </c>
      <c r="N5" s="36" t="str">
        <f t="shared" si="0"/>
        <v>EXEC sp_dropextendedproperty @name = N'MS_Description', @level0type=N'SCHEMA',@level0name=N'dbo', @level1type=N'TABLE',@level1name=N'LifeInsMultiKind', @level2type=N'COLUMN',@level2name=N'CreateTime'</v>
      </c>
      <c r="O5" s="36" t="str">
        <f t="shared" si="1"/>
        <v>EXEC sp_dropextendedproperty @name = N'Rule', @level0type=N'SCHEMA',@level0name=N'dbo', @level1type=N'TABLE',@level1name=N'LifeInsMultiKind', @level2type=N'COLUMN',@level2name=N'CreateTime'</v>
      </c>
      <c r="P5" s="36" t="str">
        <f t="shared" si="2"/>
        <v>EXEC sp_dropextendedproperty @name = N'Memo', @level0type=N'SCHEMA',@level0name=N'dbo', @level1type=N'TABLE',@level1name=N'LifeInsMultiKind', @level2type=N'COLUMN',@level2name=N'CreateTime'</v>
      </c>
      <c r="Q5" s="36" t="str">
        <f t="shared" si="3"/>
        <v>set @OldWording = N'建立時間' set @NewWording = REPLACE(@OldWording,'***',char(13)+char(10)) EXEC sys.sp_addextendedproperty @name=N'MS_Description', @value=@NewWording , @level0type=N'SCHEMA',@level0name=N'dbo', @level1type=N'TABLE',@level1name=N'LifeInsMultiKind', @level2type=N'COLUMN',@level2name=N'CreateTime'</v>
      </c>
      <c r="R5" s="32" t="str">
        <f t="shared" si="4"/>
        <v>set @OldWording = N'' set @NewWording = REPLACE(@OldWording,'***',char(13)+char(10)) EXEC sys.sp_addextendedproperty @name=N'Rule', @value=@NewWording , @level0type=N'SCHEMA',@level0name=N'dbo', @level1type=N'TABLE',@level1name=N'LifeInsMultiKind', @level2type=N'COLUMN',@level2name=N'CreateTime'</v>
      </c>
      <c r="S5" s="36" t="str">
        <f t="shared" si="5"/>
        <v>set @OldWording = N'' set @NewWording = REPLACE(@OldWording,'***',char(13)+char(10)) EXEC sys.sp_addextendedproperty @name=N'Memo', @value=@NewWording , @level0type=N'SCHEMA',@level0name=N'dbo', @level1type=N'TABLE',@level1name=N'LifeInsMultiKind', @level2type=N'COLUMN',@level2name=N'CreateTime'</v>
      </c>
    </row>
    <row r="6" spans="1:19">
      <c r="C6" s="12" t="s">
        <v>1</v>
      </c>
      <c r="D6" s="12" t="s">
        <v>37</v>
      </c>
      <c r="E6" s="11"/>
      <c r="F6" s="13"/>
      <c r="G6" s="12" t="s">
        <v>31</v>
      </c>
      <c r="N6" s="36" t="str">
        <f t="shared" si="0"/>
        <v>EXEC sp_dropextendedproperty @name = N'MS_Description', @level0type=N'SCHEMA',@level0name=N'dbo', @level1type=N'TABLE',@level1name=N'LifeInsMultiKind', @level2type=N'COLUMN',@level2name=N'Creator'</v>
      </c>
      <c r="O6" s="36" t="str">
        <f t="shared" si="1"/>
        <v>EXEC sp_dropextendedproperty @name = N'Rule', @level0type=N'SCHEMA',@level0name=N'dbo', @level1type=N'TABLE',@level1name=N'LifeInsMultiKind', @level2type=N'COLUMN',@level2name=N'Creator'</v>
      </c>
      <c r="P6" s="36" t="str">
        <f t="shared" si="2"/>
        <v>EXEC sp_dropextendedproperty @name = N'Memo', @level0type=N'SCHEMA',@level0name=N'dbo', @level1type=N'TABLE',@level1name=N'LifeInsMultiKind', @level2type=N'COLUMN',@level2name=N'Creator'</v>
      </c>
      <c r="Q6" s="36" t="str">
        <f t="shared" si="3"/>
        <v>set @OldWording = N'建立人員' set @NewWording = REPLACE(@OldWording,'***',char(13)+char(10)) EXEC sys.sp_addextendedproperty @name=N'MS_Description', @value=@NewWording , @level0type=N'SCHEMA',@level0name=N'dbo', @level1type=N'TABLE',@level1name=N'LifeInsMultiKind', @level2type=N'COLUMN',@level2name=N'Creator'</v>
      </c>
      <c r="R6" s="32" t="str">
        <f t="shared" si="4"/>
        <v>set @OldWording = N'' set @NewWording = REPLACE(@OldWording,'***',char(13)+char(10)) EXEC sys.sp_addextendedproperty @name=N'Rule', @value=@NewWording , @level0type=N'SCHEMA',@level0name=N'dbo', @level1type=N'TABLE',@level1name=N'LifeInsMultiKind', @level2type=N'COLUMN',@level2name=N'Creator'</v>
      </c>
      <c r="S6" s="36" t="str">
        <f t="shared" si="5"/>
        <v>set @OldWording = N'' set @NewWording = REPLACE(@OldWording,'***',char(13)+char(10)) EXEC sys.sp_addextendedproperty @name=N'Memo', @value=@NewWording , @level0type=N'SCHEMA',@level0name=N'dbo', @level1type=N'TABLE',@level1name=N'LifeInsMultiKind', @level2type=N'COLUMN',@level2name=N'Creator'</v>
      </c>
    </row>
    <row r="7" spans="1:19">
      <c r="C7" s="12" t="s">
        <v>19</v>
      </c>
      <c r="D7" s="12" t="s">
        <v>11</v>
      </c>
      <c r="E7" s="11" t="s">
        <v>16</v>
      </c>
      <c r="F7" s="13" t="s">
        <v>20</v>
      </c>
      <c r="G7" s="12" t="s">
        <v>32</v>
      </c>
      <c r="N7" s="36" t="str">
        <f t="shared" si="0"/>
        <v>EXEC sp_dropextendedproperty @name = N'MS_Description', @level0type=N'SCHEMA',@level0name=N'dbo', @level1type=N'TABLE',@level1name=N'LifeInsMultiKind', @level2type=N'COLUMN',@level2name=N'ModifyTime'</v>
      </c>
      <c r="O7" s="36" t="str">
        <f t="shared" si="1"/>
        <v>EXEC sp_dropextendedproperty @name = N'Rule', @level0type=N'SCHEMA',@level0name=N'dbo', @level1type=N'TABLE',@level1name=N'LifeInsMultiKind', @level2type=N'COLUMN',@level2name=N'ModifyTime'</v>
      </c>
      <c r="P7" s="36" t="str">
        <f t="shared" si="2"/>
        <v>EXEC sp_dropextendedproperty @name = N'Memo', @level0type=N'SCHEMA',@level0name=N'dbo', @level1type=N'TABLE',@level1name=N'LifeInsMultiKind', @level2type=N'COLUMN',@level2name=N'ModifyTime'</v>
      </c>
      <c r="Q7" s="36" t="str">
        <f t="shared" si="3"/>
        <v>set @OldWording = N'修改時間' set @NewWording = REPLACE(@OldWording,'***',char(13)+char(10)) EXEC sys.sp_addextendedproperty @name=N'MS_Description', @value=@NewWording , @level0type=N'SCHEMA',@level0name=N'dbo', @level1type=N'TABLE',@level1name=N'LifeInsMultiKind', @level2type=N'COLUMN',@level2name=N'ModifyTime'</v>
      </c>
      <c r="R7" s="32" t="str">
        <f t="shared" si="4"/>
        <v>set @OldWording = N'' set @NewWording = REPLACE(@OldWording,'***',char(13)+char(10)) EXEC sys.sp_addextendedproperty @name=N'Rule', @value=@NewWording , @level0type=N'SCHEMA',@level0name=N'dbo', @level1type=N'TABLE',@level1name=N'LifeInsMultiKind', @level2type=N'COLUMN',@level2name=N'ModifyTime'</v>
      </c>
      <c r="S7" s="36" t="str">
        <f t="shared" si="5"/>
        <v>set @OldWording = N'' set @NewWording = REPLACE(@OldWording,'***',char(13)+char(10)) EXEC sys.sp_addextendedproperty @name=N'Memo', @value=@NewWording , @level0type=N'SCHEMA',@level0name=N'dbo', @level1type=N'TABLE',@level1name=N'LifeInsMultiKind', @level2type=N'COLUMN',@level2name=N'ModifyTime'</v>
      </c>
    </row>
    <row r="8" spans="1:19">
      <c r="C8" s="12" t="s">
        <v>70</v>
      </c>
      <c r="D8" s="12" t="s">
        <v>37</v>
      </c>
      <c r="E8" s="11"/>
      <c r="F8" s="13"/>
      <c r="G8" s="12" t="s">
        <v>33</v>
      </c>
      <c r="N8" s="36" t="str">
        <f t="shared" si="0"/>
        <v>EXEC sp_dropextendedproperty @name = N'MS_Description', @level0type=N'SCHEMA',@level0name=N'dbo', @level1type=N'TABLE',@level1name=N'LifeInsMultiKind', @level2type=N'COLUMN',@level2name=N'Modifier'</v>
      </c>
      <c r="O8" s="36" t="str">
        <f t="shared" si="1"/>
        <v>EXEC sp_dropextendedproperty @name = N'Rule', @level0type=N'SCHEMA',@level0name=N'dbo', @level1type=N'TABLE',@level1name=N'LifeInsMultiKind', @level2type=N'COLUMN',@level2name=N'Modifier'</v>
      </c>
      <c r="P8" s="36" t="str">
        <f t="shared" si="2"/>
        <v>EXEC sp_dropextendedproperty @name = N'Memo', @level0type=N'SCHEMA',@level0name=N'dbo', @level1type=N'TABLE',@level1name=N'LifeInsMultiKind', @level2type=N'COLUMN',@level2name=N'Modifier'</v>
      </c>
      <c r="Q8" s="36" t="str">
        <f t="shared" si="3"/>
        <v>set @OldWording = N'修改人員' set @NewWording = REPLACE(@OldWording,'***',char(13)+char(10)) EXEC sys.sp_addextendedproperty @name=N'MS_Description', @value=@NewWording , @level0type=N'SCHEMA',@level0name=N'dbo', @level1type=N'TABLE',@level1name=N'LifeInsMultiKind', @level2type=N'COLUMN',@level2name=N'Modifier'</v>
      </c>
      <c r="R8" s="32" t="str">
        <f t="shared" si="4"/>
        <v>set @OldWording = N'' set @NewWording = REPLACE(@OldWording,'***',char(13)+char(10)) EXEC sys.sp_addextendedproperty @name=N'Rule', @value=@NewWording , @level0type=N'SCHEMA',@level0name=N'dbo', @level1type=N'TABLE',@level1name=N'LifeInsMultiKind', @level2type=N'COLUMN',@level2name=N'Modifier'</v>
      </c>
      <c r="S8" s="36" t="str">
        <f t="shared" si="5"/>
        <v>set @OldWording = N'' set @NewWording = REPLACE(@OldWording,'***',char(13)+char(10)) EXEC sys.sp_addextendedproperty @name=N'Memo', @value=@NewWording , @level0type=N'SCHEMA',@level0name=N'dbo', @level1type=N'TABLE',@level1name=N'LifeInsMultiKind', @level2type=N'COLUMN',@level2name=N'Modifier'</v>
      </c>
    </row>
    <row r="9" spans="1:19">
      <c r="R9" s="32"/>
      <c r="S9" s="36"/>
    </row>
    <row r="10" spans="1:19">
      <c r="R10" s="32"/>
      <c r="S10" s="36"/>
    </row>
    <row r="11" spans="1:19">
      <c r="R11" s="32"/>
      <c r="S11" s="36"/>
    </row>
    <row r="12" spans="1:19">
      <c r="R12" s="32"/>
      <c r="S12" s="36"/>
    </row>
    <row r="13" spans="1:19">
      <c r="R13" s="32"/>
      <c r="S13" s="36"/>
    </row>
    <row r="14" spans="1:19">
      <c r="R14" s="32"/>
      <c r="S14" s="36"/>
    </row>
    <row r="15" spans="1:19">
      <c r="R15" s="32"/>
      <c r="S15" s="36"/>
    </row>
    <row r="16" spans="1:19">
      <c r="R16" s="32"/>
      <c r="S16" s="36"/>
    </row>
    <row r="17" spans="18:19">
      <c r="R17" s="32"/>
      <c r="S17" s="36"/>
    </row>
    <row r="18" spans="18:19">
      <c r="R18" s="32"/>
      <c r="S18" s="36"/>
    </row>
    <row r="19" spans="18:19">
      <c r="R19" s="32"/>
      <c r="S19" s="36"/>
    </row>
    <row r="20" spans="18:19">
      <c r="R20" s="32"/>
      <c r="S20" s="36"/>
    </row>
    <row r="21" spans="18:19">
      <c r="R21" s="32"/>
      <c r="S21" s="36"/>
    </row>
    <row r="22" spans="18:19">
      <c r="R22" s="32"/>
      <c r="S22" s="36"/>
    </row>
    <row r="23" spans="18:19">
      <c r="R23" s="32"/>
      <c r="S23" s="36"/>
    </row>
    <row r="24" spans="18:19">
      <c r="R24" s="32"/>
      <c r="S24" s="36"/>
    </row>
    <row r="25" spans="18:19">
      <c r="R25" s="32"/>
      <c r="S25" s="36"/>
    </row>
    <row r="26" spans="18:19">
      <c r="R26" s="32"/>
      <c r="S26" s="36"/>
    </row>
    <row r="27" spans="18:19">
      <c r="R27" s="32"/>
      <c r="S27" s="36"/>
    </row>
    <row r="28" spans="18:19">
      <c r="R28" s="32"/>
      <c r="S28" s="36"/>
    </row>
    <row r="29" spans="18:19">
      <c r="R29" s="32"/>
      <c r="S29" s="36"/>
    </row>
    <row r="30" spans="18:19">
      <c r="R30" s="32"/>
      <c r="S30" s="36"/>
    </row>
    <row r="31" spans="18:19">
      <c r="R31" s="32"/>
      <c r="S31" s="36"/>
    </row>
    <row r="32" spans="18:19">
      <c r="R32" s="32"/>
      <c r="S32" s="36"/>
    </row>
    <row r="33" spans="18:19">
      <c r="R33" s="32"/>
      <c r="S33" s="36"/>
    </row>
    <row r="34" spans="18:19">
      <c r="R34" s="32"/>
      <c r="S34" s="36"/>
    </row>
    <row r="35" spans="18:19">
      <c r="R35" s="32"/>
      <c r="S35" s="36"/>
    </row>
    <row r="36" spans="18:19">
      <c r="R36" s="32"/>
      <c r="S36" s="36"/>
    </row>
    <row r="37" spans="18:19">
      <c r="R37" s="32"/>
      <c r="S37" s="36"/>
    </row>
    <row r="38" spans="18:19">
      <c r="R38" s="32"/>
      <c r="S38" s="36"/>
    </row>
    <row r="39" spans="18:19">
      <c r="R39" s="32"/>
      <c r="S39" s="36"/>
    </row>
    <row r="40" spans="18:19">
      <c r="R40" s="32"/>
      <c r="S40" s="36"/>
    </row>
    <row r="41" spans="18:19">
      <c r="R41" s="32"/>
      <c r="S41" s="36"/>
    </row>
    <row r="42" spans="18:19">
      <c r="R42" s="32"/>
      <c r="S42" s="36"/>
    </row>
    <row r="43" spans="18:19">
      <c r="R43" s="32"/>
      <c r="S43" s="36"/>
    </row>
    <row r="44" spans="18:19">
      <c r="R44" s="32"/>
      <c r="S44" s="36"/>
    </row>
    <row r="45" spans="18:19">
      <c r="R45" s="32"/>
      <c r="S45" s="36"/>
    </row>
    <row r="46" spans="18:19">
      <c r="R46" s="32"/>
      <c r="S46" s="36"/>
    </row>
    <row r="47" spans="18:19">
      <c r="R47" s="32"/>
      <c r="S47" s="36"/>
    </row>
    <row r="48" spans="18:19">
      <c r="R48" s="32"/>
      <c r="S48" s="36"/>
    </row>
    <row r="49" spans="13:19">
      <c r="R49" s="32"/>
      <c r="S49" s="36"/>
    </row>
    <row r="50" spans="13:19">
      <c r="R50" s="32"/>
      <c r="S50" s="36"/>
    </row>
    <row r="61" spans="13:19">
      <c r="M61" s="32"/>
      <c r="N61" s="32"/>
      <c r="O61" s="32"/>
      <c r="P61" s="32"/>
      <c r="Q61" s="32"/>
      <c r="R61" s="32"/>
    </row>
  </sheetData>
  <phoneticPr fontId="3" type="noConversion"/>
  <hyperlinks>
    <hyperlink ref="A1" location="目錄!A1" display="回到目錄"/>
  </hyperlinks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"/>
  <dimension ref="A1:S61"/>
  <sheetViews>
    <sheetView workbookViewId="0">
      <pane ySplit="1" topLeftCell="A2" activePane="bottomLeft" state="frozen"/>
      <selection activeCell="B1" sqref="B1"/>
      <selection pane="bottomLeft"/>
    </sheetView>
  </sheetViews>
  <sheetFormatPr defaultColWidth="11.1796875" defaultRowHeight="13.8"/>
  <cols>
    <col min="1" max="1" width="7.453125" style="10" bestFit="1" customWidth="1"/>
    <col min="2" max="2" width="4.36328125" style="14" bestFit="1" customWidth="1"/>
    <col min="3" max="3" width="10.08984375" style="15" bestFit="1" customWidth="1"/>
    <col min="4" max="4" width="11" style="15" bestFit="1" customWidth="1"/>
    <col min="5" max="5" width="7.54296875" style="14" bestFit="1" customWidth="1"/>
    <col min="6" max="6" width="10" style="10" bestFit="1" customWidth="1"/>
    <col min="7" max="7" width="7.453125" style="10" bestFit="1" customWidth="1"/>
    <col min="8" max="8" width="14.36328125" style="36" customWidth="1"/>
    <col min="9" max="9" width="10.08984375" style="15" bestFit="1" customWidth="1"/>
    <col min="10" max="10" width="4.90625" style="15" bestFit="1" customWidth="1"/>
    <col min="11" max="11" width="4.54296875" style="15" bestFit="1" customWidth="1"/>
    <col min="12" max="12" width="4.26953125" style="36" bestFit="1" customWidth="1"/>
    <col min="13" max="13" width="12.7265625" style="36" customWidth="1"/>
    <col min="14" max="17" width="8.81640625" style="36" customWidth="1"/>
    <col min="18" max="18" width="6.6328125" style="36" customWidth="1"/>
    <col min="19" max="19" width="6.6328125" style="32" customWidth="1"/>
    <col min="20" max="23" width="6.6328125" style="10" customWidth="1"/>
    <col min="24" max="25" width="14.453125" style="10" customWidth="1"/>
    <col min="26" max="16384" width="11.1796875" style="10"/>
  </cols>
  <sheetData>
    <row r="1" spans="1:19" s="17" customFormat="1">
      <c r="A1" s="23" t="s">
        <v>36</v>
      </c>
      <c r="B1" s="5" t="s">
        <v>5</v>
      </c>
      <c r="C1" s="20" t="s">
        <v>3</v>
      </c>
      <c r="D1" s="20" t="s">
        <v>4</v>
      </c>
      <c r="E1" s="7" t="s">
        <v>6</v>
      </c>
      <c r="F1" s="8" t="s">
        <v>13</v>
      </c>
      <c r="G1" s="8" t="s">
        <v>7</v>
      </c>
      <c r="H1" s="35" t="s">
        <v>8</v>
      </c>
      <c r="I1" s="35" t="s">
        <v>467</v>
      </c>
      <c r="J1" s="25"/>
      <c r="K1" s="25"/>
      <c r="L1" s="72" t="s">
        <v>468</v>
      </c>
      <c r="M1" s="72" t="s">
        <v>3654</v>
      </c>
      <c r="N1" s="72" t="s">
        <v>470</v>
      </c>
      <c r="O1" s="72" t="s">
        <v>471</v>
      </c>
      <c r="P1" s="72" t="s">
        <v>472</v>
      </c>
      <c r="Q1" s="72" t="s">
        <v>473</v>
      </c>
      <c r="R1" s="72" t="s">
        <v>474</v>
      </c>
      <c r="S1" s="73" t="s">
        <v>475</v>
      </c>
    </row>
    <row r="2" spans="1:19">
      <c r="B2" s="14" t="s">
        <v>14</v>
      </c>
      <c r="C2" s="13" t="s">
        <v>80</v>
      </c>
      <c r="D2" s="18" t="s">
        <v>111</v>
      </c>
      <c r="G2" s="12" t="s">
        <v>81</v>
      </c>
      <c r="M2" s="34"/>
      <c r="N2" s="36" t="str">
        <f t="shared" ref="N2:N7" si="0">"EXEC sp_dropextendedproperty @name = N'MS_Description', @level0type=N'SCHEMA',@level0name=N'"&amp;$L$1&amp;"', @level1type=N'TABLE',@level1name=N'"&amp;$M$1&amp;"', @level2type=N'COLUMN',@level2name=N'"&amp;$C2&amp;"'"</f>
        <v>EXEC sp_dropextendedproperty @name = N'MS_Description', @level0type=N'SCHEMA',@level0name=N'dbo', @level1type=N'TABLE',@level1name=N'LifeInsMultiCuy', @level2type=N'COLUMN',@level2name=N'PlanCode'</v>
      </c>
      <c r="O2" s="36" t="str">
        <f t="shared" ref="O2:O7" si="1">"EXEC sp_dropextendedproperty @name = N'Rule', @level0type=N'SCHEMA',@level0name=N'"&amp;$L$1&amp;"', @level1type=N'TABLE',@level1name=N'"&amp;$M$1&amp;"', @level2type=N'COLUMN',@level2name=N'"&amp;$C2&amp;"'"</f>
        <v>EXEC sp_dropextendedproperty @name = N'Rule', @level0type=N'SCHEMA',@level0name=N'dbo', @level1type=N'TABLE',@level1name=N'LifeInsMultiCuy', @level2type=N'COLUMN',@level2name=N'PlanCode'</v>
      </c>
      <c r="P2" s="36" t="str">
        <f t="shared" ref="P2:P7" si="2">"EXEC sp_dropextendedproperty @name = N'Memo', @level0type=N'SCHEMA',@level0name=N'"&amp;$L$1&amp;"', @level1type=N'TABLE',@level1name=N'"&amp;$M$1&amp;"', @level2type=N'COLUMN',@level2name=N'"&amp;$C2&amp;"'"</f>
        <v>EXEC sp_dropextendedproperty @name = N'Memo', @level0type=N'SCHEMA',@level0name=N'dbo', @level1type=N'TABLE',@level1name=N'LifeInsMultiCuy', @level2type=N'COLUMN',@level2name=N'PlanCode'</v>
      </c>
      <c r="Q2" s="36" t="str">
        <f t="shared" ref="Q2:Q7" si="3">"set @OldWording = N'"&amp;SUBSTITUTE($G2,CHAR(10),"")&amp;"'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@level2type=N'COLUMN',@level2name=N'"&amp;$C2&amp;"'"</f>
        <v>set @OldWording = N'險種代碼' set @NewWording = REPLACE(@OldWording,'***',char(13)+char(10)) EXEC sys.sp_addextendedproperty @name=N'MS_Description', @value=@NewWording , @level0type=N'SCHEMA',@level0name=N'dbo', @level1type=N'TABLE',@level1name=N'LifeInsMultiCuy', @level2type=N'COLUMN',@level2name=N'PlanCode'</v>
      </c>
      <c r="R2" s="32" t="str">
        <f t="shared" ref="R2:R7" si="4">"set @OldWording = N'"&amp;SUBSTITUTE($H2,CHAR(10),"")&amp;"'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@name=N'Rule', @value=@NewWording , @level0type=N'SCHEMA',@level0name=N'dbo', @level1type=N'TABLE',@level1name=N'LifeInsMultiCuy', @level2type=N'COLUMN',@level2name=N'PlanCode'</v>
      </c>
      <c r="S2" s="36" t="str">
        <f t="shared" ref="S2:S7" si="5">"set @OldWording = N'"&amp;SUBSTITUTE($I2,CHAR(10),"")&amp;"' set @NewWording = REPLACE(@OldWording,'***',char(13)+char(10)) "&amp;"EXEC sys.sp_addextendedproperty @name=N'Memo',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@name=N'Memo', @value=@NewWording , @level0type=N'SCHEMA',@level0name=N'dbo', @level1type=N'TABLE',@level1name=N'LifeInsMultiCuy', @level2type=N'COLUMN',@level2name=N'PlanCode'</v>
      </c>
    </row>
    <row r="3" spans="1:19">
      <c r="B3" s="14" t="s">
        <v>14</v>
      </c>
      <c r="C3" s="15" t="s">
        <v>419</v>
      </c>
      <c r="D3" s="15" t="s">
        <v>112</v>
      </c>
      <c r="G3" s="10" t="s">
        <v>67</v>
      </c>
      <c r="H3" s="34"/>
      <c r="I3" s="27" t="s">
        <v>276</v>
      </c>
      <c r="N3" s="36" t="str">
        <f t="shared" si="0"/>
        <v>EXEC sp_dropextendedproperty @name = N'MS_Description', @level0type=N'SCHEMA',@level0name=N'dbo', @level1type=N'TABLE',@level1name=N'LifeInsMultiCuy', @level2type=N'COLUMN',@level2name=N'Cuy'</v>
      </c>
      <c r="O3" s="36" t="str">
        <f t="shared" si="1"/>
        <v>EXEC sp_dropextendedproperty @name = N'Rule', @level0type=N'SCHEMA',@level0name=N'dbo', @level1type=N'TABLE',@level1name=N'LifeInsMultiCuy', @level2type=N'COLUMN',@level2name=N'Cuy'</v>
      </c>
      <c r="P3" s="36" t="str">
        <f t="shared" si="2"/>
        <v>EXEC sp_dropextendedproperty @name = N'Memo', @level0type=N'SCHEMA',@level0name=N'dbo', @level1type=N'TABLE',@level1name=N'LifeInsMultiCuy', @level2type=N'COLUMN',@level2name=N'Cuy'</v>
      </c>
      <c r="Q3" s="36" t="str">
        <f t="shared" si="3"/>
        <v>set @OldWording = N'幣別' set @NewWording = REPLACE(@OldWording,'***',char(13)+char(10)) EXEC sys.sp_addextendedproperty @name=N'MS_Description', @value=@NewWording , @level0type=N'SCHEMA',@level0name=N'dbo', @level1type=N'TABLE',@level1name=N'LifeInsMultiCuy', @level2type=N'COLUMN',@level2name=N'Cuy'</v>
      </c>
      <c r="R3" s="32" t="str">
        <f t="shared" si="4"/>
        <v>set @OldWording = N'' set @NewWording = REPLACE(@OldWording,'***',char(13)+char(10)) EXEC sys.sp_addextendedproperty @name=N'Rule', @value=@NewWording , @level0type=N'SCHEMA',@level0name=N'dbo', @level1type=N'TABLE',@level1name=N'LifeInsMultiCuy', @level2type=N'COLUMN',@level2name=N'Cuy'</v>
      </c>
      <c r="S3" s="36" t="str">
        <f t="shared" si="5"/>
        <v>set @OldWording = N'PPL.000.014' set @NewWording = REPLACE(@OldWording,'***',char(13)+char(10)) EXEC sys.sp_addextendedproperty @name=N'Memo', @value=@NewWording , @level0type=N'SCHEMA',@level0name=N'dbo', @level1type=N'TABLE',@level1name=N'LifeInsMultiCuy', @level2type=N'COLUMN',@level2name=N'Cuy'</v>
      </c>
    </row>
    <row r="4" spans="1:19">
      <c r="C4" s="12" t="s">
        <v>69</v>
      </c>
      <c r="D4" s="12" t="s">
        <v>11</v>
      </c>
      <c r="E4" s="11" t="s">
        <v>16</v>
      </c>
      <c r="F4" s="13" t="s">
        <v>20</v>
      </c>
      <c r="G4" s="12" t="s">
        <v>30</v>
      </c>
      <c r="N4" s="36" t="str">
        <f t="shared" si="0"/>
        <v>EXEC sp_dropextendedproperty @name = N'MS_Description', @level0type=N'SCHEMA',@level0name=N'dbo', @level1type=N'TABLE',@level1name=N'LifeInsMultiCuy', @level2type=N'COLUMN',@level2name=N'CreateTime'</v>
      </c>
      <c r="O4" s="36" t="str">
        <f t="shared" si="1"/>
        <v>EXEC sp_dropextendedproperty @name = N'Rule', @level0type=N'SCHEMA',@level0name=N'dbo', @level1type=N'TABLE',@level1name=N'LifeInsMultiCuy', @level2type=N'COLUMN',@level2name=N'CreateTime'</v>
      </c>
      <c r="P4" s="36" t="str">
        <f t="shared" si="2"/>
        <v>EXEC sp_dropextendedproperty @name = N'Memo', @level0type=N'SCHEMA',@level0name=N'dbo', @level1type=N'TABLE',@level1name=N'LifeInsMultiCuy', @level2type=N'COLUMN',@level2name=N'CreateTime'</v>
      </c>
      <c r="Q4" s="36" t="str">
        <f t="shared" si="3"/>
        <v>set @OldWording = N'建立時間' set @NewWording = REPLACE(@OldWording,'***',char(13)+char(10)) EXEC sys.sp_addextendedproperty @name=N'MS_Description', @value=@NewWording , @level0type=N'SCHEMA',@level0name=N'dbo', @level1type=N'TABLE',@level1name=N'LifeInsMultiCuy', @level2type=N'COLUMN',@level2name=N'CreateTime'</v>
      </c>
      <c r="R4" s="32" t="str">
        <f t="shared" si="4"/>
        <v>set @OldWording = N'' set @NewWording = REPLACE(@OldWording,'***',char(13)+char(10)) EXEC sys.sp_addextendedproperty @name=N'Rule', @value=@NewWording , @level0type=N'SCHEMA',@level0name=N'dbo', @level1type=N'TABLE',@level1name=N'LifeInsMultiCuy', @level2type=N'COLUMN',@level2name=N'CreateTime'</v>
      </c>
      <c r="S4" s="36" t="str">
        <f t="shared" si="5"/>
        <v>set @OldWording = N'' set @NewWording = REPLACE(@OldWording,'***',char(13)+char(10)) EXEC sys.sp_addextendedproperty @name=N'Memo', @value=@NewWording , @level0type=N'SCHEMA',@level0name=N'dbo', @level1type=N'TABLE',@level1name=N'LifeInsMultiCuy', @level2type=N'COLUMN',@level2name=N'CreateTime'</v>
      </c>
    </row>
    <row r="5" spans="1:19">
      <c r="C5" s="12" t="s">
        <v>1</v>
      </c>
      <c r="D5" s="12" t="s">
        <v>37</v>
      </c>
      <c r="E5" s="11"/>
      <c r="F5" s="13"/>
      <c r="G5" s="12" t="s">
        <v>31</v>
      </c>
      <c r="N5" s="36" t="str">
        <f t="shared" si="0"/>
        <v>EXEC sp_dropextendedproperty @name = N'MS_Description', @level0type=N'SCHEMA',@level0name=N'dbo', @level1type=N'TABLE',@level1name=N'LifeInsMultiCuy', @level2type=N'COLUMN',@level2name=N'Creator'</v>
      </c>
      <c r="O5" s="36" t="str">
        <f t="shared" si="1"/>
        <v>EXEC sp_dropextendedproperty @name = N'Rule', @level0type=N'SCHEMA',@level0name=N'dbo', @level1type=N'TABLE',@level1name=N'LifeInsMultiCuy', @level2type=N'COLUMN',@level2name=N'Creator'</v>
      </c>
      <c r="P5" s="36" t="str">
        <f t="shared" si="2"/>
        <v>EXEC sp_dropextendedproperty @name = N'Memo', @level0type=N'SCHEMA',@level0name=N'dbo', @level1type=N'TABLE',@level1name=N'LifeInsMultiCuy', @level2type=N'COLUMN',@level2name=N'Creator'</v>
      </c>
      <c r="Q5" s="36" t="str">
        <f t="shared" si="3"/>
        <v>set @OldWording = N'建立人員' set @NewWording = REPLACE(@OldWording,'***',char(13)+char(10)) EXEC sys.sp_addextendedproperty @name=N'MS_Description', @value=@NewWording , @level0type=N'SCHEMA',@level0name=N'dbo', @level1type=N'TABLE',@level1name=N'LifeInsMultiCuy', @level2type=N'COLUMN',@level2name=N'Creator'</v>
      </c>
      <c r="R5" s="32" t="str">
        <f t="shared" si="4"/>
        <v>set @OldWording = N'' set @NewWording = REPLACE(@OldWording,'***',char(13)+char(10)) EXEC sys.sp_addextendedproperty @name=N'Rule', @value=@NewWording , @level0type=N'SCHEMA',@level0name=N'dbo', @level1type=N'TABLE',@level1name=N'LifeInsMultiCuy', @level2type=N'COLUMN',@level2name=N'Creator'</v>
      </c>
      <c r="S5" s="36" t="str">
        <f t="shared" si="5"/>
        <v>set @OldWording = N'' set @NewWording = REPLACE(@OldWording,'***',char(13)+char(10)) EXEC sys.sp_addextendedproperty @name=N'Memo', @value=@NewWording , @level0type=N'SCHEMA',@level0name=N'dbo', @level1type=N'TABLE',@level1name=N'LifeInsMultiCuy', @level2type=N'COLUMN',@level2name=N'Creator'</v>
      </c>
    </row>
    <row r="6" spans="1:19">
      <c r="C6" s="12" t="s">
        <v>19</v>
      </c>
      <c r="D6" s="12" t="s">
        <v>11</v>
      </c>
      <c r="E6" s="11" t="s">
        <v>16</v>
      </c>
      <c r="F6" s="13" t="s">
        <v>20</v>
      </c>
      <c r="G6" s="12" t="s">
        <v>32</v>
      </c>
      <c r="N6" s="36" t="str">
        <f t="shared" si="0"/>
        <v>EXEC sp_dropextendedproperty @name = N'MS_Description', @level0type=N'SCHEMA',@level0name=N'dbo', @level1type=N'TABLE',@level1name=N'LifeInsMultiCuy', @level2type=N'COLUMN',@level2name=N'ModifyTime'</v>
      </c>
      <c r="O6" s="36" t="str">
        <f t="shared" si="1"/>
        <v>EXEC sp_dropextendedproperty @name = N'Rule', @level0type=N'SCHEMA',@level0name=N'dbo', @level1type=N'TABLE',@level1name=N'LifeInsMultiCuy', @level2type=N'COLUMN',@level2name=N'ModifyTime'</v>
      </c>
      <c r="P6" s="36" t="str">
        <f t="shared" si="2"/>
        <v>EXEC sp_dropextendedproperty @name = N'Memo', @level0type=N'SCHEMA',@level0name=N'dbo', @level1type=N'TABLE',@level1name=N'LifeInsMultiCuy', @level2type=N'COLUMN',@level2name=N'ModifyTime'</v>
      </c>
      <c r="Q6" s="36" t="str">
        <f t="shared" si="3"/>
        <v>set @OldWording = N'修改時間' set @NewWording = REPLACE(@OldWording,'***',char(13)+char(10)) EXEC sys.sp_addextendedproperty @name=N'MS_Description', @value=@NewWording , @level0type=N'SCHEMA',@level0name=N'dbo', @level1type=N'TABLE',@level1name=N'LifeInsMultiCuy', @level2type=N'COLUMN',@level2name=N'ModifyTime'</v>
      </c>
      <c r="R6" s="32" t="str">
        <f t="shared" si="4"/>
        <v>set @OldWording = N'' set @NewWording = REPLACE(@OldWording,'***',char(13)+char(10)) EXEC sys.sp_addextendedproperty @name=N'Rule', @value=@NewWording , @level0type=N'SCHEMA',@level0name=N'dbo', @level1type=N'TABLE',@level1name=N'LifeInsMultiCuy', @level2type=N'COLUMN',@level2name=N'ModifyTime'</v>
      </c>
      <c r="S6" s="36" t="str">
        <f t="shared" si="5"/>
        <v>set @OldWording = N'' set @NewWording = REPLACE(@OldWording,'***',char(13)+char(10)) EXEC sys.sp_addextendedproperty @name=N'Memo', @value=@NewWording , @level0type=N'SCHEMA',@level0name=N'dbo', @level1type=N'TABLE',@level1name=N'LifeInsMultiCuy', @level2type=N'COLUMN',@level2name=N'ModifyTime'</v>
      </c>
    </row>
    <row r="7" spans="1:19">
      <c r="C7" s="12" t="s">
        <v>70</v>
      </c>
      <c r="D7" s="12" t="s">
        <v>37</v>
      </c>
      <c r="E7" s="11"/>
      <c r="F7" s="13"/>
      <c r="G7" s="12" t="s">
        <v>33</v>
      </c>
      <c r="N7" s="36" t="str">
        <f t="shared" si="0"/>
        <v>EXEC sp_dropextendedproperty @name = N'MS_Description', @level0type=N'SCHEMA',@level0name=N'dbo', @level1type=N'TABLE',@level1name=N'LifeInsMultiCuy', @level2type=N'COLUMN',@level2name=N'Modifier'</v>
      </c>
      <c r="O7" s="36" t="str">
        <f t="shared" si="1"/>
        <v>EXEC sp_dropextendedproperty @name = N'Rule', @level0type=N'SCHEMA',@level0name=N'dbo', @level1type=N'TABLE',@level1name=N'LifeInsMultiCuy', @level2type=N'COLUMN',@level2name=N'Modifier'</v>
      </c>
      <c r="P7" s="36" t="str">
        <f t="shared" si="2"/>
        <v>EXEC sp_dropextendedproperty @name = N'Memo', @level0type=N'SCHEMA',@level0name=N'dbo', @level1type=N'TABLE',@level1name=N'LifeInsMultiCuy', @level2type=N'COLUMN',@level2name=N'Modifier'</v>
      </c>
      <c r="Q7" s="36" t="str">
        <f t="shared" si="3"/>
        <v>set @OldWording = N'修改人員' set @NewWording = REPLACE(@OldWording,'***',char(13)+char(10)) EXEC sys.sp_addextendedproperty @name=N'MS_Description', @value=@NewWording , @level0type=N'SCHEMA',@level0name=N'dbo', @level1type=N'TABLE',@level1name=N'LifeInsMultiCuy', @level2type=N'COLUMN',@level2name=N'Modifier'</v>
      </c>
      <c r="R7" s="32" t="str">
        <f t="shared" si="4"/>
        <v>set @OldWording = N'' set @NewWording = REPLACE(@OldWording,'***',char(13)+char(10)) EXEC sys.sp_addextendedproperty @name=N'Rule', @value=@NewWording , @level0type=N'SCHEMA',@level0name=N'dbo', @level1type=N'TABLE',@level1name=N'LifeInsMultiCuy', @level2type=N'COLUMN',@level2name=N'Modifier'</v>
      </c>
      <c r="S7" s="36" t="str">
        <f t="shared" si="5"/>
        <v>set @OldWording = N'' set @NewWording = REPLACE(@OldWording,'***',char(13)+char(10)) EXEC sys.sp_addextendedproperty @name=N'Memo', @value=@NewWording , @level0type=N'SCHEMA',@level0name=N'dbo', @level1type=N'TABLE',@level1name=N'LifeInsMultiCuy', @level2type=N'COLUMN',@level2name=N'Modifier'</v>
      </c>
    </row>
    <row r="8" spans="1:19">
      <c r="R8" s="32"/>
      <c r="S8" s="36"/>
    </row>
    <row r="9" spans="1:19">
      <c r="R9" s="32"/>
      <c r="S9" s="36"/>
    </row>
    <row r="10" spans="1:19">
      <c r="R10" s="32"/>
      <c r="S10" s="36"/>
    </row>
    <row r="11" spans="1:19">
      <c r="R11" s="32"/>
      <c r="S11" s="36"/>
    </row>
    <row r="12" spans="1:19">
      <c r="R12" s="32"/>
      <c r="S12" s="36"/>
    </row>
    <row r="13" spans="1:19">
      <c r="R13" s="32"/>
      <c r="S13" s="36"/>
    </row>
    <row r="14" spans="1:19">
      <c r="R14" s="32"/>
      <c r="S14" s="36"/>
    </row>
    <row r="15" spans="1:19">
      <c r="R15" s="32"/>
      <c r="S15" s="36"/>
    </row>
    <row r="16" spans="1:19">
      <c r="R16" s="32"/>
      <c r="S16" s="36"/>
    </row>
    <row r="17" spans="18:19">
      <c r="R17" s="32"/>
      <c r="S17" s="36"/>
    </row>
    <row r="18" spans="18:19">
      <c r="R18" s="32"/>
      <c r="S18" s="36"/>
    </row>
    <row r="19" spans="18:19">
      <c r="R19" s="32"/>
      <c r="S19" s="36"/>
    </row>
    <row r="20" spans="18:19">
      <c r="R20" s="32"/>
      <c r="S20" s="36"/>
    </row>
    <row r="21" spans="18:19">
      <c r="R21" s="32"/>
      <c r="S21" s="36"/>
    </row>
    <row r="22" spans="18:19">
      <c r="R22" s="32"/>
      <c r="S22" s="36"/>
    </row>
    <row r="23" spans="18:19">
      <c r="R23" s="32"/>
      <c r="S23" s="36"/>
    </row>
    <row r="24" spans="18:19">
      <c r="R24" s="32"/>
      <c r="S24" s="36"/>
    </row>
    <row r="25" spans="18:19">
      <c r="R25" s="32"/>
      <c r="S25" s="36"/>
    </row>
    <row r="26" spans="18:19">
      <c r="R26" s="32"/>
      <c r="S26" s="36"/>
    </row>
    <row r="27" spans="18:19">
      <c r="R27" s="32"/>
      <c r="S27" s="36"/>
    </row>
    <row r="28" spans="18:19">
      <c r="R28" s="32"/>
      <c r="S28" s="36"/>
    </row>
    <row r="29" spans="18:19">
      <c r="R29" s="32"/>
      <c r="S29" s="36"/>
    </row>
    <row r="30" spans="18:19">
      <c r="R30" s="32"/>
      <c r="S30" s="36"/>
    </row>
    <row r="31" spans="18:19">
      <c r="R31" s="32"/>
      <c r="S31" s="36"/>
    </row>
    <row r="32" spans="18:19">
      <c r="R32" s="32"/>
      <c r="S32" s="36"/>
    </row>
    <row r="33" spans="18:19">
      <c r="R33" s="32"/>
      <c r="S33" s="36"/>
    </row>
    <row r="34" spans="18:19">
      <c r="R34" s="32"/>
      <c r="S34" s="36"/>
    </row>
    <row r="35" spans="18:19">
      <c r="R35" s="32"/>
      <c r="S35" s="36"/>
    </row>
    <row r="36" spans="18:19">
      <c r="R36" s="32"/>
      <c r="S36" s="36"/>
    </row>
    <row r="37" spans="18:19">
      <c r="R37" s="32"/>
      <c r="S37" s="36"/>
    </row>
    <row r="38" spans="18:19">
      <c r="R38" s="32"/>
      <c r="S38" s="36"/>
    </row>
    <row r="39" spans="18:19">
      <c r="R39" s="32"/>
      <c r="S39" s="36"/>
    </row>
    <row r="40" spans="18:19">
      <c r="R40" s="32"/>
      <c r="S40" s="36"/>
    </row>
    <row r="41" spans="18:19">
      <c r="R41" s="32"/>
      <c r="S41" s="36"/>
    </row>
    <row r="42" spans="18:19">
      <c r="R42" s="32"/>
      <c r="S42" s="36"/>
    </row>
    <row r="43" spans="18:19">
      <c r="R43" s="32"/>
      <c r="S43" s="36"/>
    </row>
    <row r="44" spans="18:19">
      <c r="R44" s="32"/>
      <c r="S44" s="36"/>
    </row>
    <row r="45" spans="18:19">
      <c r="R45" s="32"/>
      <c r="S45" s="36"/>
    </row>
    <row r="46" spans="18:19">
      <c r="R46" s="32"/>
      <c r="S46" s="36"/>
    </row>
    <row r="47" spans="18:19">
      <c r="R47" s="32"/>
      <c r="S47" s="36"/>
    </row>
    <row r="48" spans="18:19">
      <c r="R48" s="32"/>
      <c r="S48" s="36"/>
    </row>
    <row r="49" spans="13:19">
      <c r="R49" s="32"/>
      <c r="S49" s="36"/>
    </row>
    <row r="50" spans="13:19">
      <c r="R50" s="32"/>
      <c r="S50" s="36"/>
    </row>
    <row r="61" spans="13:19">
      <c r="M61" s="32"/>
      <c r="N61" s="32"/>
      <c r="O61" s="32"/>
      <c r="P61" s="32"/>
      <c r="Q61" s="32"/>
      <c r="R61" s="32"/>
    </row>
  </sheetData>
  <phoneticPr fontId="3" type="noConversion"/>
  <hyperlinks>
    <hyperlink ref="A1" location="目錄!A1" display="回到目錄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"/>
  <dimension ref="A1:U63"/>
  <sheetViews>
    <sheetView workbookViewId="0"/>
  </sheetViews>
  <sheetFormatPr defaultColWidth="11.1796875" defaultRowHeight="13.8"/>
  <cols>
    <col min="1" max="1" width="7.453125" style="10" bestFit="1" customWidth="1"/>
    <col min="2" max="2" width="4.36328125" style="14" bestFit="1" customWidth="1"/>
    <col min="3" max="3" width="10.08984375" style="15" bestFit="1" customWidth="1"/>
    <col min="4" max="4" width="11" style="15" bestFit="1" customWidth="1"/>
    <col min="5" max="5" width="7.54296875" style="14" bestFit="1" customWidth="1"/>
    <col min="6" max="6" width="10" style="10" bestFit="1" customWidth="1"/>
    <col min="7" max="7" width="7.453125" style="10" bestFit="1" customWidth="1"/>
    <col min="8" max="8" width="26.7265625" style="36" customWidth="1"/>
    <col min="9" max="9" width="10.08984375" style="15" bestFit="1" customWidth="1"/>
    <col min="10" max="10" width="4.90625" style="15" bestFit="1" customWidth="1"/>
    <col min="11" max="11" width="4.54296875" style="15" bestFit="1" customWidth="1"/>
    <col min="12" max="12" width="4.26953125" style="36" bestFit="1" customWidth="1"/>
    <col min="13" max="13" width="12.7265625" style="36" customWidth="1"/>
    <col min="14" max="17" width="8.81640625" style="36" customWidth="1"/>
    <col min="18" max="18" width="6.6328125" style="36" customWidth="1"/>
    <col min="19" max="19" width="6.6328125" style="32" customWidth="1"/>
    <col min="20" max="23" width="6.6328125" style="10" customWidth="1"/>
    <col min="24" max="25" width="14.453125" style="10" customWidth="1"/>
    <col min="26" max="16384" width="11.1796875" style="10"/>
  </cols>
  <sheetData>
    <row r="1" spans="1:21" s="17" customFormat="1">
      <c r="A1" s="23" t="s">
        <v>36</v>
      </c>
      <c r="B1" s="5" t="s">
        <v>5</v>
      </c>
      <c r="C1" s="20" t="s">
        <v>3</v>
      </c>
      <c r="D1" s="20" t="s">
        <v>4</v>
      </c>
      <c r="E1" s="7" t="s">
        <v>6</v>
      </c>
      <c r="F1" s="8" t="s">
        <v>13</v>
      </c>
      <c r="G1" s="8" t="s">
        <v>7</v>
      </c>
      <c r="H1" s="35" t="s">
        <v>8</v>
      </c>
      <c r="I1" s="35" t="s">
        <v>139</v>
      </c>
      <c r="J1" s="25"/>
      <c r="K1" s="25"/>
      <c r="L1" s="72" t="s">
        <v>240</v>
      </c>
      <c r="M1" s="72" t="s">
        <v>2987</v>
      </c>
      <c r="N1" s="72" t="s">
        <v>470</v>
      </c>
      <c r="O1" s="72" t="s">
        <v>471</v>
      </c>
      <c r="P1" s="72" t="s">
        <v>472</v>
      </c>
      <c r="Q1" s="72" t="s">
        <v>473</v>
      </c>
      <c r="R1" s="72" t="s">
        <v>474</v>
      </c>
      <c r="S1" s="73" t="s">
        <v>475</v>
      </c>
    </row>
    <row r="2" spans="1:21">
      <c r="B2" s="14" t="s">
        <v>14</v>
      </c>
      <c r="C2" s="47" t="s">
        <v>372</v>
      </c>
      <c r="D2" s="47" t="s">
        <v>23</v>
      </c>
      <c r="E2" s="46"/>
      <c r="F2" s="45"/>
      <c r="G2" s="45" t="s">
        <v>97</v>
      </c>
      <c r="H2" s="34" t="s">
        <v>2989</v>
      </c>
      <c r="I2" s="27"/>
      <c r="M2" s="34"/>
      <c r="N2" s="36" t="str">
        <f>"EXEC sp_dropextendedproperty @name = N'MS_Description', @level0type=N'SCHEMA',@level0name=N'"&amp;$L$1&amp;"', @level1type=N'TABLE',@level1name=N'"&amp;$M$1&amp;"', @level2type=N'COLUMN',@level2name=N'"&amp;$C2&amp;"'"</f>
        <v>EXEC sp_dropextendedproperty @name = N'MS_Description', @level0type=N'SCHEMA',@level0name=N'dbo', @level1type=N'TABLE',@level1name=N'LifeInsExchangeRate', @level2type=N'COLUMN',@level2name=N'SerNo'</v>
      </c>
      <c r="O2" s="36" t="str">
        <f>"EXEC sp_dropextendedproperty @name = N'Rule', @level0type=N'SCHEMA',@level0name=N'"&amp;$L$1&amp;"', @level1type=N'TABLE',@level1name=N'"&amp;$M$1&amp;"', @level2type=N'COLUMN',@level2name=N'"&amp;$C2&amp;"'"</f>
        <v>EXEC sp_dropextendedproperty @name = N'Rule', @level0type=N'SCHEMA',@level0name=N'dbo', @level1type=N'TABLE',@level1name=N'LifeInsExchangeRate', @level2type=N'COLUMN',@level2name=N'SerNo'</v>
      </c>
      <c r="P2" s="36" t="str">
        <f>"EXEC sp_dropextendedproperty @name = N'Memo', @level0type=N'SCHEMA',@level0name=N'"&amp;$L$1&amp;"', @level1type=N'TABLE',@level1name=N'"&amp;$M$1&amp;"', @level2type=N'COLUMN',@level2name=N'"&amp;$C2&amp;"'"</f>
        <v>EXEC sp_dropextendedproperty @name = N'Memo', @level0type=N'SCHEMA',@level0name=N'dbo', @level1type=N'TABLE',@level1name=N'LifeInsExchangeRate', @level2type=N'COLUMN',@level2name=N'SerNo'</v>
      </c>
      <c r="Q2" s="36" t="str">
        <f>"set @OldWording = N'"&amp;SUBSTITUTE($G2,CHAR(10),"")&amp;"'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@level2type=N'COLUMN',@level2name=N'"&amp;$C2&amp;"'"</f>
        <v>set @OldWording = N'序號' set @NewWording = REPLACE(@OldWording,'***',char(13)+char(10)) EXEC sys.sp_addextendedproperty @name=N'MS_Description', @value=@NewWording , @level0type=N'SCHEMA',@level0name=N'dbo', @level1type=N'TABLE',@level1name=N'LifeInsExchangeRate', @level2type=N'COLUMN',@level2name=N'SerNo'</v>
      </c>
      <c r="R2" s="32" t="str">
        <f>"set @OldWording = N'"&amp;SUBSTITUTE($H2,CHAR(10),"")&amp;"'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@level2type=N'COLUMN',@level2name=N'"&amp;$C2&amp;"'"</f>
        <v>set @OldWording = N'IDENTITY(1,1)' set @NewWording = REPLACE(@OldWording,'***',char(13)+char(10)) EXEC sys.sp_addextendedproperty @name=N'Rule', @value=@NewWording , @level0type=N'SCHEMA',@level0name=N'dbo', @level1type=N'TABLE',@level1name=N'LifeInsExchangeRate', @level2type=N'COLUMN',@level2name=N'SerNo'</v>
      </c>
      <c r="S2" s="36" t="str">
        <f>"set @OldWording = N'"&amp;SUBSTITUTE($I2,CHAR(10),"")&amp;"' set @NewWording = REPLACE(@OldWording,'***',char(13)+char(10)) "&amp;"EXEC sys.sp_addextendedproperty @name=N'Memo',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@name=N'Memo', @value=@NewWording , @level0type=N'SCHEMA',@level0name=N'dbo', @level1type=N'TABLE',@level1name=N'LifeInsExchangeRate', @level2type=N'COLUMN',@level2name=N'SerNo'</v>
      </c>
    </row>
    <row r="3" spans="1:21">
      <c r="C3" s="15" t="s">
        <v>419</v>
      </c>
      <c r="D3" s="15" t="s">
        <v>112</v>
      </c>
      <c r="G3" s="10" t="s">
        <v>67</v>
      </c>
      <c r="H3" s="34"/>
      <c r="I3" s="27" t="s">
        <v>276</v>
      </c>
      <c r="N3" s="36" t="str">
        <f>"EXEC sp_dropextendedproperty @name = N'MS_Description', @level0type=N'SCHEMA',@level0name=N'"&amp;$L$1&amp;"', @level1type=N'TABLE',@level1name=N'"&amp;$M$1&amp;"', @level2type=N'COLUMN',@level2name=N'"&amp;$C3&amp;"'"</f>
        <v>EXEC sp_dropextendedproperty @name = N'MS_Description', @level0type=N'SCHEMA',@level0name=N'dbo', @level1type=N'TABLE',@level1name=N'LifeInsExchangeRate', @level2type=N'COLUMN',@level2name=N'Cuy'</v>
      </c>
      <c r="O3" s="36" t="str">
        <f>"EXEC sp_dropextendedproperty @name = N'Rule', @level0type=N'SCHEMA',@level0name=N'"&amp;$L$1&amp;"', @level1type=N'TABLE',@level1name=N'"&amp;$M$1&amp;"', @level2type=N'COLUMN',@level2name=N'"&amp;$C3&amp;"'"</f>
        <v>EXEC sp_dropextendedproperty @name = N'Rule', @level0type=N'SCHEMA',@level0name=N'dbo', @level1type=N'TABLE',@level1name=N'LifeInsExchangeRate', @level2type=N'COLUMN',@level2name=N'Cuy'</v>
      </c>
      <c r="P3" s="36" t="str">
        <f>"EXEC sp_dropextendedproperty @name = N'Memo', @level0type=N'SCHEMA',@level0name=N'"&amp;$L$1&amp;"', @level1type=N'TABLE',@level1name=N'"&amp;$M$1&amp;"', @level2type=N'COLUMN',@level2name=N'"&amp;$C3&amp;"'"</f>
        <v>EXEC sp_dropextendedproperty @name = N'Memo', @level0type=N'SCHEMA',@level0name=N'dbo', @level1type=N'TABLE',@level1name=N'LifeInsExchangeRate', @level2type=N'COLUMN',@level2name=N'Cuy'</v>
      </c>
      <c r="Q3" s="36" t="str">
        <f>"set @OldWording = N'"&amp;SUBSTITUTE($G3,CHAR(10),"")&amp;"'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@level2type=N'COLUMN',@level2name=N'"&amp;$C3&amp;"'"</f>
        <v>set @OldWording = N'幣別' set @NewWording = REPLACE(@OldWording,'***',char(13)+char(10)) EXEC sys.sp_addextendedproperty @name=N'MS_Description', @value=@NewWording , @level0type=N'SCHEMA',@level0name=N'dbo', @level1type=N'TABLE',@level1name=N'LifeInsExchangeRate', @level2type=N'COLUMN',@level2name=N'Cuy'</v>
      </c>
      <c r="R3" s="32" t="str">
        <f>"set @OldWording = N'"&amp;SUBSTITUTE($H3,CHAR(10),"")&amp;"'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@level2type=N'COLUMN',@level2name=N'"&amp;$C3&amp;"'"</f>
        <v>set @OldWording = N'' set @NewWording = REPLACE(@OldWording,'***',char(13)+char(10)) EXEC sys.sp_addextendedproperty @name=N'Rule', @value=@NewWording , @level0type=N'SCHEMA',@level0name=N'dbo', @level1type=N'TABLE',@level1name=N'LifeInsExchangeRate', @level2type=N'COLUMN',@level2name=N'Cuy'</v>
      </c>
      <c r="S3" s="36" t="str">
        <f>"set @OldWording = N'"&amp;SUBSTITUTE($I3,CHAR(10),"")&amp;"' set @NewWording = REPLACE(@OldWording,'***',char(13)+char(10)) "&amp;"EXEC sys.sp_addextendedproperty @name=N'Memo', @value=@NewWording , @level0type=N'SCHEMA',@level0name=N'"&amp;$L$1&amp;"', @level1type=N'TABLE',@level1name=N'"&amp;$M$1&amp;"', @level2type=N'COLUMN',@level2name=N'"&amp;$C3&amp;"'"</f>
        <v>set @OldWording = N'PPL.000.014' set @NewWording = REPLACE(@OldWording,'***',char(13)+char(10)) EXEC sys.sp_addextendedproperty @name=N'Memo', @value=@NewWording , @level0type=N'SCHEMA',@level0name=N'dbo', @level1type=N'TABLE',@level1name=N'LifeInsExchangeRate', @level2type=N'COLUMN',@level2name=N'Cuy'</v>
      </c>
    </row>
    <row r="4" spans="1:21">
      <c r="C4" s="29" t="s">
        <v>3730</v>
      </c>
      <c r="D4" s="29" t="s">
        <v>126</v>
      </c>
      <c r="E4" s="28"/>
      <c r="F4" s="22"/>
      <c r="G4" s="22" t="s">
        <v>125</v>
      </c>
      <c r="H4" s="27" t="s">
        <v>127</v>
      </c>
      <c r="R4" s="32"/>
      <c r="S4" s="36"/>
    </row>
    <row r="5" spans="1:21">
      <c r="C5" s="29" t="s">
        <v>123</v>
      </c>
      <c r="D5" s="29" t="s">
        <v>126</v>
      </c>
      <c r="E5" s="28"/>
      <c r="F5" s="22"/>
      <c r="G5" s="22" t="s">
        <v>124</v>
      </c>
      <c r="H5" s="27" t="s">
        <v>127</v>
      </c>
      <c r="J5" s="29"/>
      <c r="K5" s="29"/>
      <c r="R5" s="32"/>
      <c r="S5" s="36"/>
      <c r="T5" s="32"/>
      <c r="U5" s="32"/>
    </row>
    <row r="6" spans="1:21">
      <c r="C6" s="15" t="s">
        <v>2984</v>
      </c>
      <c r="D6" s="15" t="s">
        <v>2986</v>
      </c>
      <c r="G6" s="10" t="s">
        <v>2985</v>
      </c>
      <c r="H6" s="34"/>
      <c r="I6" s="27"/>
      <c r="N6" s="36" t="str">
        <f>"EXEC sp_dropextendedproperty @name = N'MS_Description', @level0type=N'SCHEMA',@level0name=N'"&amp;$L$1&amp;"', @level1type=N'TABLE',@level1name=N'"&amp;$M$1&amp;"', @level2type=N'COLUMN',@level2name=N'"&amp;$C7&amp;"'"</f>
        <v>EXEC sp_dropextendedproperty @name = N'MS_Description', @level0type=N'SCHEMA',@level0name=N'dbo', @level1type=N'TABLE',@level1name=N'LifeInsExchangeRate', @level2type=N'COLUMN',@level2name=N'CreateTime'</v>
      </c>
      <c r="O6" s="36" t="str">
        <f>"EXEC sp_dropextendedproperty @name = N'Rule', @level0type=N'SCHEMA',@level0name=N'"&amp;$L$1&amp;"', @level1type=N'TABLE',@level1name=N'"&amp;$M$1&amp;"', @level2type=N'COLUMN',@level2name=N'"&amp;$C7&amp;"'"</f>
        <v>EXEC sp_dropextendedproperty @name = N'Rule', @level0type=N'SCHEMA',@level0name=N'dbo', @level1type=N'TABLE',@level1name=N'LifeInsExchangeRate', @level2type=N'COLUMN',@level2name=N'CreateTime'</v>
      </c>
      <c r="P6" s="36" t="str">
        <f>"EXEC sp_dropextendedproperty @name = N'Memo', @level0type=N'SCHEMA',@level0name=N'"&amp;$L$1&amp;"', @level1type=N'TABLE',@level1name=N'"&amp;$M$1&amp;"', @level2type=N'COLUMN',@level2name=N'"&amp;$C7&amp;"'"</f>
        <v>EXEC sp_dropextendedproperty @name = N'Memo', @level0type=N'SCHEMA',@level0name=N'dbo', @level1type=N'TABLE',@level1name=N'LifeInsExchangeRate', @level2type=N'COLUMN',@level2name=N'CreateTime'</v>
      </c>
      <c r="Q6" s="36" t="str">
        <f>"set @OldWording = N'"&amp;SUBSTITUTE($G7,CHAR(10),"")&amp;"'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@level2type=N'COLUMN',@level2name=N'"&amp;$C7&amp;"'"</f>
        <v>set @OldWording = N'建立時間' set @NewWording = REPLACE(@OldWording,'***',char(13)+char(10)) EXEC sys.sp_addextendedproperty @name=N'MS_Description', @value=@NewWording , @level0type=N'SCHEMA',@level0name=N'dbo', @level1type=N'TABLE',@level1name=N'LifeInsExchangeRate', @level2type=N'COLUMN',@level2name=N'CreateTime'</v>
      </c>
      <c r="R6" s="32" t="str">
        <f>"set @OldWording = N'"&amp;SUBSTITUTE($H7,CHAR(10),"")&amp;"'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@level2type=N'COLUMN',@level2name=N'"&amp;$C7&amp;"'"</f>
        <v>set @OldWording = N'' set @NewWording = REPLACE(@OldWording,'***',char(13)+char(10)) EXEC sys.sp_addextendedproperty @name=N'Rule', @value=@NewWording , @level0type=N'SCHEMA',@level0name=N'dbo', @level1type=N'TABLE',@level1name=N'LifeInsExchangeRate', @level2type=N'COLUMN',@level2name=N'CreateTime'</v>
      </c>
      <c r="S6" s="36" t="str">
        <f>"set @OldWording = N'"&amp;SUBSTITUTE($I7,CHAR(10),"")&amp;"' set @NewWording = REPLACE(@OldWording,'***',char(13)+char(10)) "&amp;"EXEC sys.sp_addextendedproperty @name=N'Memo', @value=@NewWording , @level0type=N'SCHEMA',@level0name=N'"&amp;$L$1&amp;"', @level1type=N'TABLE',@level1name=N'"&amp;$M$1&amp;"', @level2type=N'COLUMN',@level2name=N'"&amp;$C7&amp;"'"</f>
        <v>set @OldWording = N'' set @NewWording = REPLACE(@OldWording,'***',char(13)+char(10)) EXEC sys.sp_addextendedproperty @name=N'Memo', @value=@NewWording , @level0type=N'SCHEMA',@level0name=N'dbo', @level1type=N'TABLE',@level1name=N'LifeInsExchangeRate', @level2type=N'COLUMN',@level2name=N'CreateTime'</v>
      </c>
    </row>
    <row r="7" spans="1:21">
      <c r="C7" s="12" t="s">
        <v>69</v>
      </c>
      <c r="D7" s="12" t="s">
        <v>11</v>
      </c>
      <c r="E7" s="11" t="s">
        <v>16</v>
      </c>
      <c r="F7" s="13" t="s">
        <v>20</v>
      </c>
      <c r="G7" s="12" t="s">
        <v>30</v>
      </c>
      <c r="N7" s="36" t="str">
        <f>"EXEC sp_dropextendedproperty @name = N'MS_Description', @level0type=N'SCHEMA',@level0name=N'"&amp;$L$1&amp;"', @level1type=N'TABLE',@level1name=N'"&amp;$M$1&amp;"', @level2type=N'COLUMN',@level2name=N'"&amp;$C8&amp;"'"</f>
        <v>EXEC sp_dropextendedproperty @name = N'MS_Description', @level0type=N'SCHEMA',@level0name=N'dbo', @level1type=N'TABLE',@level1name=N'LifeInsExchangeRate', @level2type=N'COLUMN',@level2name=N'Creator'</v>
      </c>
      <c r="O7" s="36" t="str">
        <f>"EXEC sp_dropextendedproperty @name = N'Rule', @level0type=N'SCHEMA',@level0name=N'"&amp;$L$1&amp;"', @level1type=N'TABLE',@level1name=N'"&amp;$M$1&amp;"', @level2type=N'COLUMN',@level2name=N'"&amp;$C8&amp;"'"</f>
        <v>EXEC sp_dropextendedproperty @name = N'Rule', @level0type=N'SCHEMA',@level0name=N'dbo', @level1type=N'TABLE',@level1name=N'LifeInsExchangeRate', @level2type=N'COLUMN',@level2name=N'Creator'</v>
      </c>
      <c r="P7" s="36" t="str">
        <f>"EXEC sp_dropextendedproperty @name = N'Memo', @level0type=N'SCHEMA',@level0name=N'"&amp;$L$1&amp;"', @level1type=N'TABLE',@level1name=N'"&amp;$M$1&amp;"', @level2type=N'COLUMN',@level2name=N'"&amp;$C8&amp;"'"</f>
        <v>EXEC sp_dropextendedproperty @name = N'Memo', @level0type=N'SCHEMA',@level0name=N'dbo', @level1type=N'TABLE',@level1name=N'LifeInsExchangeRate', @level2type=N'COLUMN',@level2name=N'Creator'</v>
      </c>
      <c r="Q7" s="36" t="str">
        <f>"set @OldWording = N'"&amp;SUBSTITUTE($G8,CHAR(10),"")&amp;"'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@level2type=N'COLUMN',@level2name=N'"&amp;$C8&amp;"'"</f>
        <v>set @OldWording = N'建立人員' set @NewWording = REPLACE(@OldWording,'***',char(13)+char(10)) EXEC sys.sp_addextendedproperty @name=N'MS_Description', @value=@NewWording , @level0type=N'SCHEMA',@level0name=N'dbo', @level1type=N'TABLE',@level1name=N'LifeInsExchangeRate', @level2type=N'COLUMN',@level2name=N'Creator'</v>
      </c>
      <c r="R7" s="32" t="str">
        <f>"set @OldWording = N'"&amp;SUBSTITUTE($H8,CHAR(10),"")&amp;"'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@level2type=N'COLUMN',@level2name=N'"&amp;$C8&amp;"'"</f>
        <v>set @OldWording = N'' set @NewWording = REPLACE(@OldWording,'***',char(13)+char(10)) EXEC sys.sp_addextendedproperty @name=N'Rule', @value=@NewWording , @level0type=N'SCHEMA',@level0name=N'dbo', @level1type=N'TABLE',@level1name=N'LifeInsExchangeRate', @level2type=N'COLUMN',@level2name=N'Creator'</v>
      </c>
      <c r="S7" s="36" t="str">
        <f>"set @OldWording = N'"&amp;SUBSTITUTE($I8,CHAR(10),"")&amp;"' set @NewWording = REPLACE(@OldWording,'***',char(13)+char(10)) "&amp;"EXEC sys.sp_addextendedproperty @name=N'Memo', @value=@NewWording , @level0type=N'SCHEMA',@level0name=N'"&amp;$L$1&amp;"', @level1type=N'TABLE',@level1name=N'"&amp;$M$1&amp;"', @level2type=N'COLUMN',@level2name=N'"&amp;$C8&amp;"'"</f>
        <v>set @OldWording = N'' set @NewWording = REPLACE(@OldWording,'***',char(13)+char(10)) EXEC sys.sp_addextendedproperty @name=N'Memo', @value=@NewWording , @level0type=N'SCHEMA',@level0name=N'dbo', @level1type=N'TABLE',@level1name=N'LifeInsExchangeRate', @level2type=N'COLUMN',@level2name=N'Creator'</v>
      </c>
    </row>
    <row r="8" spans="1:21">
      <c r="C8" s="12" t="s">
        <v>1</v>
      </c>
      <c r="D8" s="12" t="s">
        <v>37</v>
      </c>
      <c r="E8" s="11"/>
      <c r="F8" s="13"/>
      <c r="G8" s="12" t="s">
        <v>31</v>
      </c>
      <c r="N8" s="36" t="str">
        <f>"EXEC sp_dropextendedproperty @name = N'MS_Description', @level0type=N'SCHEMA',@level0name=N'"&amp;$L$1&amp;"', @level1type=N'TABLE',@level1name=N'"&amp;$M$1&amp;"', @level2type=N'COLUMN',@level2name=N'"&amp;$C9&amp;"'"</f>
        <v>EXEC sp_dropextendedproperty @name = N'MS_Description', @level0type=N'SCHEMA',@level0name=N'dbo', @level1type=N'TABLE',@level1name=N'LifeInsExchangeRate', @level2type=N'COLUMN',@level2name=N'ModifyTime'</v>
      </c>
      <c r="O8" s="36" t="str">
        <f>"EXEC sp_dropextendedproperty @name = N'Rule', @level0type=N'SCHEMA',@level0name=N'"&amp;$L$1&amp;"', @level1type=N'TABLE',@level1name=N'"&amp;$M$1&amp;"', @level2type=N'COLUMN',@level2name=N'"&amp;$C9&amp;"'"</f>
        <v>EXEC sp_dropextendedproperty @name = N'Rule', @level0type=N'SCHEMA',@level0name=N'dbo', @level1type=N'TABLE',@level1name=N'LifeInsExchangeRate', @level2type=N'COLUMN',@level2name=N'ModifyTime'</v>
      </c>
      <c r="P8" s="36" t="str">
        <f>"EXEC sp_dropextendedproperty @name = N'Memo', @level0type=N'SCHEMA',@level0name=N'"&amp;$L$1&amp;"', @level1type=N'TABLE',@level1name=N'"&amp;$M$1&amp;"', @level2type=N'COLUMN',@level2name=N'"&amp;$C9&amp;"'"</f>
        <v>EXEC sp_dropextendedproperty @name = N'Memo', @level0type=N'SCHEMA',@level0name=N'dbo', @level1type=N'TABLE',@level1name=N'LifeInsExchangeRate', @level2type=N'COLUMN',@level2name=N'ModifyTime'</v>
      </c>
      <c r="Q8" s="36" t="str">
        <f>"set @OldWording = N'"&amp;SUBSTITUTE($G9,CHAR(10),"")&amp;"'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@level2type=N'COLUMN',@level2name=N'"&amp;$C9&amp;"'"</f>
        <v>set @OldWording = N'修改時間' set @NewWording = REPLACE(@OldWording,'***',char(13)+char(10)) EXEC sys.sp_addextendedproperty @name=N'MS_Description', @value=@NewWording , @level0type=N'SCHEMA',@level0name=N'dbo', @level1type=N'TABLE',@level1name=N'LifeInsExchangeRate', @level2type=N'COLUMN',@level2name=N'ModifyTime'</v>
      </c>
      <c r="R8" s="32" t="str">
        <f>"set @OldWording = N'"&amp;SUBSTITUTE($H9,CHAR(10),"")&amp;"'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@level2type=N'COLUMN',@level2name=N'"&amp;$C9&amp;"'"</f>
        <v>set @OldWording = N'' set @NewWording = REPLACE(@OldWording,'***',char(13)+char(10)) EXEC sys.sp_addextendedproperty @name=N'Rule', @value=@NewWording , @level0type=N'SCHEMA',@level0name=N'dbo', @level1type=N'TABLE',@level1name=N'LifeInsExchangeRate', @level2type=N'COLUMN',@level2name=N'ModifyTime'</v>
      </c>
      <c r="S8" s="36" t="str">
        <f>"set @OldWording = N'"&amp;SUBSTITUTE($I9,CHAR(10),"")&amp;"' set @NewWording = REPLACE(@OldWording,'***',char(13)+char(10)) "&amp;"EXEC sys.sp_addextendedproperty @name=N'Memo', @value=@NewWording , @level0type=N'SCHEMA',@level0name=N'"&amp;$L$1&amp;"', @level1type=N'TABLE',@level1name=N'"&amp;$M$1&amp;"', @level2type=N'COLUMN',@level2name=N'"&amp;$C9&amp;"'"</f>
        <v>set @OldWording = N'' set @NewWording = REPLACE(@OldWording,'***',char(13)+char(10)) EXEC sys.sp_addextendedproperty @name=N'Memo', @value=@NewWording , @level0type=N'SCHEMA',@level0name=N'dbo', @level1type=N'TABLE',@level1name=N'LifeInsExchangeRate', @level2type=N'COLUMN',@level2name=N'ModifyTime'</v>
      </c>
    </row>
    <row r="9" spans="1:21">
      <c r="C9" s="12" t="s">
        <v>19</v>
      </c>
      <c r="D9" s="12" t="s">
        <v>11</v>
      </c>
      <c r="E9" s="11" t="s">
        <v>16</v>
      </c>
      <c r="F9" s="13" t="s">
        <v>20</v>
      </c>
      <c r="G9" s="12" t="s">
        <v>32</v>
      </c>
      <c r="N9" s="36" t="str">
        <f>"EXEC sp_dropextendedproperty @name = N'MS_Description', @level0type=N'SCHEMA',@level0name=N'"&amp;$L$1&amp;"', @level1type=N'TABLE',@level1name=N'"&amp;$M$1&amp;"', @level2type=N'COLUMN',@level2name=N'"&amp;$C10&amp;"'"</f>
        <v>EXEC sp_dropextendedproperty @name = N'MS_Description', @level0type=N'SCHEMA',@level0name=N'dbo', @level1type=N'TABLE',@level1name=N'LifeInsExchangeRate', @level2type=N'COLUMN',@level2name=N'Modifier'</v>
      </c>
      <c r="O9" s="36" t="str">
        <f>"EXEC sp_dropextendedproperty @name = N'Rule', @level0type=N'SCHEMA',@level0name=N'"&amp;$L$1&amp;"', @level1type=N'TABLE',@level1name=N'"&amp;$M$1&amp;"', @level2type=N'COLUMN',@level2name=N'"&amp;$C10&amp;"'"</f>
        <v>EXEC sp_dropextendedproperty @name = N'Rule', @level0type=N'SCHEMA',@level0name=N'dbo', @level1type=N'TABLE',@level1name=N'LifeInsExchangeRate', @level2type=N'COLUMN',@level2name=N'Modifier'</v>
      </c>
      <c r="P9" s="36" t="str">
        <f>"EXEC sp_dropextendedproperty @name = N'Memo', @level0type=N'SCHEMA',@level0name=N'"&amp;$L$1&amp;"', @level1type=N'TABLE',@level1name=N'"&amp;$M$1&amp;"', @level2type=N'COLUMN',@level2name=N'"&amp;$C10&amp;"'"</f>
        <v>EXEC sp_dropextendedproperty @name = N'Memo', @level0type=N'SCHEMA',@level0name=N'dbo', @level1type=N'TABLE',@level1name=N'LifeInsExchangeRate', @level2type=N'COLUMN',@level2name=N'Modifier'</v>
      </c>
      <c r="Q9" s="36" t="str">
        <f>"set @OldWording = N'"&amp;SUBSTITUTE($G10,CHAR(10),"")&amp;"'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@level2type=N'COLUMN',@level2name=N'"&amp;$C10&amp;"'"</f>
        <v>set @OldWording = N'修改人員' set @NewWording = REPLACE(@OldWording,'***',char(13)+char(10)) EXEC sys.sp_addextendedproperty @name=N'MS_Description', @value=@NewWording , @level0type=N'SCHEMA',@level0name=N'dbo', @level1type=N'TABLE',@level1name=N'LifeInsExchangeRate', @level2type=N'COLUMN',@level2name=N'Modifier'</v>
      </c>
      <c r="R9" s="32" t="str">
        <f>"set @OldWording = N'"&amp;SUBSTITUTE($H10,CHAR(10),"")&amp;"'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@level2type=N'COLUMN',@level2name=N'"&amp;$C10&amp;"'"</f>
        <v>set @OldWording = N'' set @NewWording = REPLACE(@OldWording,'***',char(13)+char(10)) EXEC sys.sp_addextendedproperty @name=N'Rule', @value=@NewWording , @level0type=N'SCHEMA',@level0name=N'dbo', @level1type=N'TABLE',@level1name=N'LifeInsExchangeRate', @level2type=N'COLUMN',@level2name=N'Modifier'</v>
      </c>
      <c r="S9" s="36" t="str">
        <f>"set @OldWording = N'"&amp;SUBSTITUTE($I10,CHAR(10),"")&amp;"' set @NewWording = REPLACE(@OldWording,'***',char(13)+char(10)) "&amp;"EXEC sys.sp_addextendedproperty @name=N'Memo', @value=@NewWording , @level0type=N'SCHEMA',@level0name=N'"&amp;$L$1&amp;"', @level1type=N'TABLE',@level1name=N'"&amp;$M$1&amp;"', @level2type=N'COLUMN',@level2name=N'"&amp;$C10&amp;"'"</f>
        <v>set @OldWording = N'' set @NewWording = REPLACE(@OldWording,'***',char(13)+char(10)) EXEC sys.sp_addextendedproperty @name=N'Memo', @value=@NewWording , @level0type=N'SCHEMA',@level0name=N'dbo', @level1type=N'TABLE',@level1name=N'LifeInsExchangeRate', @level2type=N'COLUMN',@level2name=N'Modifier'</v>
      </c>
    </row>
    <row r="10" spans="1:21">
      <c r="C10" s="12" t="s">
        <v>70</v>
      </c>
      <c r="D10" s="12" t="s">
        <v>37</v>
      </c>
      <c r="E10" s="11"/>
      <c r="F10" s="13"/>
      <c r="G10" s="12" t="s">
        <v>33</v>
      </c>
      <c r="R10" s="32"/>
      <c r="S10" s="36"/>
    </row>
    <row r="11" spans="1:21">
      <c r="R11" s="32"/>
      <c r="S11" s="36"/>
    </row>
    <row r="12" spans="1:21">
      <c r="R12" s="32"/>
      <c r="S12" s="36"/>
    </row>
    <row r="13" spans="1:21">
      <c r="R13" s="32"/>
      <c r="S13" s="36"/>
    </row>
    <row r="14" spans="1:21">
      <c r="R14" s="32"/>
      <c r="S14" s="36"/>
    </row>
    <row r="15" spans="1:21">
      <c r="R15" s="32"/>
      <c r="S15" s="36"/>
    </row>
    <row r="16" spans="1:21">
      <c r="R16" s="32"/>
      <c r="S16" s="36"/>
    </row>
    <row r="17" spans="18:19">
      <c r="R17" s="32"/>
      <c r="S17" s="36"/>
    </row>
    <row r="18" spans="18:19">
      <c r="R18" s="32"/>
      <c r="S18" s="36"/>
    </row>
    <row r="19" spans="18:19">
      <c r="R19" s="32"/>
      <c r="S19" s="36"/>
    </row>
    <row r="20" spans="18:19">
      <c r="R20" s="32"/>
      <c r="S20" s="36"/>
    </row>
    <row r="21" spans="18:19">
      <c r="R21" s="32"/>
      <c r="S21" s="36"/>
    </row>
    <row r="22" spans="18:19">
      <c r="R22" s="32"/>
      <c r="S22" s="36"/>
    </row>
    <row r="23" spans="18:19">
      <c r="R23" s="32"/>
      <c r="S23" s="36"/>
    </row>
    <row r="24" spans="18:19">
      <c r="R24" s="32"/>
      <c r="S24" s="36"/>
    </row>
    <row r="25" spans="18:19">
      <c r="R25" s="32"/>
      <c r="S25" s="36"/>
    </row>
    <row r="26" spans="18:19">
      <c r="R26" s="32"/>
      <c r="S26" s="36"/>
    </row>
    <row r="27" spans="18:19">
      <c r="R27" s="32"/>
      <c r="S27" s="36"/>
    </row>
    <row r="28" spans="18:19">
      <c r="R28" s="32"/>
      <c r="S28" s="36"/>
    </row>
    <row r="29" spans="18:19">
      <c r="R29" s="32"/>
      <c r="S29" s="36"/>
    </row>
    <row r="30" spans="18:19">
      <c r="R30" s="32"/>
      <c r="S30" s="36"/>
    </row>
    <row r="31" spans="18:19">
      <c r="R31" s="32"/>
      <c r="S31" s="36"/>
    </row>
    <row r="32" spans="18:19">
      <c r="R32" s="32"/>
      <c r="S32" s="36"/>
    </row>
    <row r="33" spans="18:19">
      <c r="R33" s="32"/>
      <c r="S33" s="36"/>
    </row>
    <row r="34" spans="18:19">
      <c r="R34" s="32"/>
      <c r="S34" s="36"/>
    </row>
    <row r="35" spans="18:19">
      <c r="R35" s="32"/>
      <c r="S35" s="36"/>
    </row>
    <row r="36" spans="18:19">
      <c r="R36" s="32"/>
      <c r="S36" s="36"/>
    </row>
    <row r="37" spans="18:19">
      <c r="R37" s="32"/>
      <c r="S37" s="36"/>
    </row>
    <row r="38" spans="18:19">
      <c r="R38" s="32"/>
      <c r="S38" s="36"/>
    </row>
    <row r="39" spans="18:19">
      <c r="R39" s="32"/>
      <c r="S39" s="36"/>
    </row>
    <row r="40" spans="18:19">
      <c r="R40" s="32"/>
      <c r="S40" s="36"/>
    </row>
    <row r="41" spans="18:19">
      <c r="R41" s="32"/>
      <c r="S41" s="36"/>
    </row>
    <row r="42" spans="18:19">
      <c r="R42" s="32"/>
      <c r="S42" s="36"/>
    </row>
    <row r="43" spans="18:19">
      <c r="R43" s="32"/>
      <c r="S43" s="36"/>
    </row>
    <row r="44" spans="18:19">
      <c r="R44" s="32"/>
      <c r="S44" s="36"/>
    </row>
    <row r="45" spans="18:19">
      <c r="R45" s="32"/>
      <c r="S45" s="36"/>
    </row>
    <row r="46" spans="18:19">
      <c r="R46" s="32"/>
      <c r="S46" s="36"/>
    </row>
    <row r="47" spans="18:19">
      <c r="R47" s="32"/>
      <c r="S47" s="36"/>
    </row>
    <row r="48" spans="18:19">
      <c r="R48" s="32"/>
      <c r="S48" s="36"/>
    </row>
    <row r="49" spans="13:19">
      <c r="R49" s="32"/>
      <c r="S49" s="36"/>
    </row>
    <row r="50" spans="13:19">
      <c r="R50" s="32"/>
      <c r="S50" s="36"/>
    </row>
    <row r="51" spans="13:19">
      <c r="R51" s="32"/>
      <c r="S51" s="36"/>
    </row>
    <row r="52" spans="13:19">
      <c r="R52" s="32"/>
      <c r="S52" s="36"/>
    </row>
    <row r="63" spans="13:19">
      <c r="M63" s="32"/>
      <c r="N63" s="32"/>
      <c r="O63" s="32"/>
      <c r="P63" s="32"/>
      <c r="Q63" s="32"/>
      <c r="R63" s="32"/>
    </row>
  </sheetData>
  <phoneticPr fontId="3" type="noConversion"/>
  <hyperlinks>
    <hyperlink ref="A1" location="目錄!A1" display="回到目錄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"/>
  <dimension ref="A1:J3"/>
  <sheetViews>
    <sheetView workbookViewId="0"/>
  </sheetViews>
  <sheetFormatPr defaultRowHeight="13.8"/>
  <cols>
    <col min="1" max="1" width="7.453125" style="1" bestFit="1" customWidth="1"/>
    <col min="2" max="2" width="6" style="1" bestFit="1" customWidth="1"/>
    <col min="3" max="3" width="4.90625" style="1" bestFit="1" customWidth="1"/>
    <col min="4" max="4" width="8.6328125" style="1" bestFit="1" customWidth="1"/>
    <col min="5" max="5" width="8.54296875" style="1" bestFit="1" customWidth="1"/>
    <col min="6" max="6" width="6.36328125" style="1" bestFit="1" customWidth="1"/>
    <col min="7" max="7" width="10" style="1" bestFit="1" customWidth="1"/>
    <col min="8" max="8" width="7" style="1" bestFit="1" customWidth="1"/>
    <col min="9" max="9" width="10.36328125" style="1" bestFit="1" customWidth="1"/>
    <col min="10" max="10" width="7.81640625" style="1" bestFit="1" customWidth="1"/>
    <col min="11" max="16384" width="8.7265625" style="1"/>
  </cols>
  <sheetData>
    <row r="1" spans="1:10">
      <c r="A1" s="63" t="s">
        <v>36</v>
      </c>
      <c r="B1" s="80" t="s">
        <v>3194</v>
      </c>
      <c r="C1" s="80" t="s">
        <v>3012</v>
      </c>
      <c r="D1" s="80" t="s">
        <v>3730</v>
      </c>
      <c r="E1" s="80" t="s">
        <v>2924</v>
      </c>
      <c r="F1" s="80" t="s">
        <v>3195</v>
      </c>
      <c r="G1" s="80" t="s">
        <v>0</v>
      </c>
      <c r="H1" s="80" t="s">
        <v>1</v>
      </c>
      <c r="I1" s="80" t="s">
        <v>19</v>
      </c>
      <c r="J1" s="80" t="s">
        <v>2</v>
      </c>
    </row>
    <row r="2" spans="1:10">
      <c r="B2" s="1">
        <v>1</v>
      </c>
      <c r="C2" s="1" t="s">
        <v>3026</v>
      </c>
      <c r="D2" s="1">
        <v>20200101</v>
      </c>
      <c r="E2" s="1">
        <v>99991231</v>
      </c>
      <c r="F2" s="1">
        <v>1</v>
      </c>
      <c r="G2" s="81"/>
      <c r="H2" s="1" t="s">
        <v>522</v>
      </c>
      <c r="I2" s="81"/>
      <c r="J2" s="1" t="s">
        <v>522</v>
      </c>
    </row>
    <row r="3" spans="1:10">
      <c r="B3" s="1">
        <v>2</v>
      </c>
      <c r="C3" s="1" t="s">
        <v>3196</v>
      </c>
      <c r="D3" s="1">
        <v>20200101</v>
      </c>
      <c r="E3" s="1">
        <v>99991231</v>
      </c>
      <c r="F3" s="1">
        <v>30</v>
      </c>
      <c r="G3" s="81"/>
      <c r="H3" s="1" t="s">
        <v>522</v>
      </c>
      <c r="I3" s="81"/>
      <c r="J3" s="1" t="s">
        <v>522</v>
      </c>
    </row>
  </sheetData>
  <phoneticPr fontId="3" type="noConversion"/>
  <hyperlinks>
    <hyperlink ref="A1" location="目錄!A1" display="回到目錄"/>
  </hyperlink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"/>
  <dimension ref="A1:S96"/>
  <sheetViews>
    <sheetView workbookViewId="0">
      <pane ySplit="1" topLeftCell="A2" activePane="bottomLeft" state="frozen"/>
      <selection activeCell="B1" sqref="B1"/>
      <selection pane="bottomLeft"/>
    </sheetView>
  </sheetViews>
  <sheetFormatPr defaultColWidth="11.1796875" defaultRowHeight="13.8"/>
  <cols>
    <col min="1" max="1" width="7.453125" style="10" bestFit="1" customWidth="1"/>
    <col min="2" max="2" width="4.36328125" style="14" bestFit="1" customWidth="1"/>
    <col min="3" max="3" width="15.7265625" style="10" bestFit="1" customWidth="1"/>
    <col min="4" max="4" width="10.08984375" style="10" bestFit="1" customWidth="1"/>
    <col min="5" max="5" width="7.54296875" style="14" bestFit="1" customWidth="1"/>
    <col min="6" max="6" width="10" style="1" bestFit="1" customWidth="1"/>
    <col min="7" max="7" width="13.90625" style="10" bestFit="1" customWidth="1"/>
    <col min="8" max="8" width="37" style="15" bestFit="1" customWidth="1"/>
    <col min="9" max="9" width="7.453125" style="15" bestFit="1" customWidth="1"/>
    <col min="10" max="10" width="5.26953125" style="15" bestFit="1" customWidth="1"/>
    <col min="11" max="11" width="6.1796875" style="15" bestFit="1" customWidth="1"/>
    <col min="12" max="12" width="4.26953125" style="36" bestFit="1" customWidth="1"/>
    <col min="13" max="13" width="12.7265625" style="36" customWidth="1"/>
    <col min="14" max="17" width="8.81640625" style="36" customWidth="1"/>
    <col min="18" max="18" width="6.6328125" style="36" customWidth="1"/>
    <col min="19" max="19" width="6.6328125" style="32" customWidth="1"/>
    <col min="20" max="16384" width="11.1796875" style="10"/>
  </cols>
  <sheetData>
    <row r="1" spans="1:19">
      <c r="A1" s="23" t="s">
        <v>36</v>
      </c>
      <c r="B1" s="5" t="s">
        <v>5</v>
      </c>
      <c r="C1" s="6" t="s">
        <v>3</v>
      </c>
      <c r="D1" s="6" t="s">
        <v>4</v>
      </c>
      <c r="E1" s="7" t="s">
        <v>6</v>
      </c>
      <c r="F1" s="3" t="s">
        <v>13</v>
      </c>
      <c r="G1" s="8" t="s">
        <v>7</v>
      </c>
      <c r="H1" s="9" t="s">
        <v>8</v>
      </c>
      <c r="I1" s="9" t="s">
        <v>467</v>
      </c>
      <c r="L1" s="72" t="s">
        <v>468</v>
      </c>
      <c r="M1" s="72" t="s">
        <v>478</v>
      </c>
      <c r="N1" s="72" t="s">
        <v>470</v>
      </c>
      <c r="O1" s="72" t="s">
        <v>471</v>
      </c>
      <c r="P1" s="72" t="s">
        <v>472</v>
      </c>
      <c r="Q1" s="72" t="s">
        <v>473</v>
      </c>
      <c r="R1" s="72" t="s">
        <v>474</v>
      </c>
      <c r="S1" s="73" t="s">
        <v>475</v>
      </c>
    </row>
    <row r="2" spans="1:19">
      <c r="B2" s="11" t="s">
        <v>14</v>
      </c>
      <c r="C2" s="13" t="s">
        <v>80</v>
      </c>
      <c r="D2" s="18" t="s">
        <v>111</v>
      </c>
      <c r="E2" s="11"/>
      <c r="F2" s="12"/>
      <c r="G2" s="12" t="s">
        <v>81</v>
      </c>
      <c r="H2" s="16"/>
      <c r="I2" s="16"/>
      <c r="M2" s="34"/>
      <c r="N2" s="36" t="str">
        <f>"EXEC sp_dropextendedproperty @name = N'MS_Description', @level0type=N'SCHEMA',@level0name=N'"&amp;$L$1&amp;"', @level1type=N'TABLE',@level1name=N'"&amp;$M$1&amp;"', @level2type=N'COLUMN',@level2name=N'"&amp;$C2&amp;"'"</f>
        <v>EXEC sp_dropextendedproperty @name = N'MS_Description', @level0type=N'SCHEMA',@level0name=N'dbo', @level1type=N'TABLE',@level1name=N'LifeInsAmtPlan', @level2type=N'COLUMN',@level2name=N'PlanCode'</v>
      </c>
      <c r="O2" s="36" t="str">
        <f>"EXEC sp_dropextendedproperty @name = N'Rule', @level0type=N'SCHEMA',@level0name=N'"&amp;$L$1&amp;"', @level1type=N'TABLE',@level1name=N'"&amp;$M$1&amp;"', @level2type=N'COLUMN',@level2name=N'"&amp;$C2&amp;"'"</f>
        <v>EXEC sp_dropextendedproperty @name = N'Rule', @level0type=N'SCHEMA',@level0name=N'dbo', @level1type=N'TABLE',@level1name=N'LifeInsAmtPlan', @level2type=N'COLUMN',@level2name=N'PlanCode'</v>
      </c>
      <c r="P2" s="36" t="str">
        <f>"EXEC sp_dropextendedproperty @name = N'Memo', @level0type=N'SCHEMA',@level0name=N'"&amp;$L$1&amp;"', @level1type=N'TABLE',@level1name=N'"&amp;$M$1&amp;"', @level2type=N'COLUMN',@level2name=N'"&amp;$C2&amp;"'"</f>
        <v>EXEC sp_dropextendedproperty @name = N'Memo', @level0type=N'SCHEMA',@level0name=N'dbo', @level1type=N'TABLE',@level1name=N'LifeInsAmtPlan', @level2type=N'COLUMN',@level2name=N'PlanCode'</v>
      </c>
      <c r="Q2" s="36" t="str">
        <f>"set @OldWording = N'"&amp;SUBSTITUTE($G2,CHAR(10),"")&amp;"'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@level2type=N'COLUMN',@level2name=N'"&amp;$C2&amp;"'"</f>
        <v>set @OldWording = N'險種代碼' set @NewWording = REPLACE(@OldWording,'***',char(13)+char(10)) EXEC sys.sp_addextendedproperty @name=N'MS_Description', @value=@NewWording , @level0type=N'SCHEMA',@level0name=N'dbo', @level1type=N'TABLE',@level1name=N'LifeInsAmtPlan', @level2type=N'COLUMN',@level2name=N'PlanCode'</v>
      </c>
      <c r="R2" s="32" t="str">
        <f>"set @OldWording = N'"&amp;SUBSTITUTE($H2,CHAR(10),"")&amp;"'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@name=N'Rule', @value=@NewWording , @level0type=N'SCHEMA',@level0name=N'dbo', @level1type=N'TABLE',@level1name=N'LifeInsAmtPlan', @level2type=N'COLUMN',@level2name=N'PlanCode'</v>
      </c>
      <c r="S2" s="36" t="str">
        <f>"set @OldWording = N'"&amp;SUBSTITUTE($I2,CHAR(10),"")&amp;"' set @NewWording = REPLACE(@OldWording,'***',char(13)+char(10)) "&amp;"EXEC sys.sp_addextendedproperty @name=N'Memo',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@name=N'Memo', @value=@NewWording , @level0type=N'SCHEMA',@level0name=N'dbo', @level1type=N'TABLE',@level1name=N'LifeInsAmtPlan', @level2type=N'COLUMN',@level2name=N'PlanCode'</v>
      </c>
    </row>
    <row r="3" spans="1:19" ht="27.6">
      <c r="B3" s="14" t="s">
        <v>14</v>
      </c>
      <c r="C3" s="15" t="s">
        <v>3728</v>
      </c>
      <c r="D3" s="15" t="s">
        <v>21</v>
      </c>
      <c r="F3" s="10"/>
      <c r="G3" s="10" t="s">
        <v>78</v>
      </c>
      <c r="H3" s="16" t="s">
        <v>3652</v>
      </c>
      <c r="I3" s="24"/>
      <c r="N3" s="36" t="str">
        <f t="shared" ref="N3:N10" si="0">"EXEC sp_dropextendedproperty @name = N'MS_Description', @level0type=N'SCHEMA',@level0name=N'"&amp;$L$1&amp;"', @level1type=N'TABLE',@level1name=N'"&amp;$M$1&amp;"', @level2type=N'COLUMN',@level2name=N'"&amp;$C3&amp;"'"</f>
        <v>EXEC sp_dropextendedproperty @name = N'MS_Description', @level0type=N'SCHEMA',@level0name=N'dbo', @level1type=N'TABLE',@level1name=N'LifeInsAmtPlan', @level2type=N'COLUMN',@level2name=N'MultiKind'</v>
      </c>
      <c r="O3" s="36" t="str">
        <f t="shared" ref="O3:O10" si="1">"EXEC sp_dropextendedproperty @name = N'Rule', @level0type=N'SCHEMA',@level0name=N'"&amp;$L$1&amp;"', @level1type=N'TABLE',@level1name=N'"&amp;$M$1&amp;"', @level2type=N'COLUMN',@level2name=N'"&amp;$C3&amp;"'"</f>
        <v>EXEC sp_dropextendedproperty @name = N'Rule', @level0type=N'SCHEMA',@level0name=N'dbo', @level1type=N'TABLE',@level1name=N'LifeInsAmtPlan', @level2type=N'COLUMN',@level2name=N'MultiKind'</v>
      </c>
      <c r="P3" s="36" t="str">
        <f t="shared" ref="P3:P10" si="2">"EXEC sp_dropextendedproperty @name = N'Memo', @level0type=N'SCHEMA',@level0name=N'"&amp;$L$1&amp;"', @level1type=N'TABLE',@level1name=N'"&amp;$M$1&amp;"', @level2type=N'COLUMN',@level2name=N'"&amp;$C3&amp;"'"</f>
        <v>EXEC sp_dropextendedproperty @name = N'Memo', @level0type=N'SCHEMA',@level0name=N'dbo', @level1type=N'TABLE',@level1name=N'LifeInsAmtPlan', @level2type=N'COLUMN',@level2name=N'MultiKind'</v>
      </c>
      <c r="Q3" s="36" t="str">
        <f t="shared" ref="Q3:Q10" si="3">"set @OldWording = N'"&amp;SUBSTITUTE($G3,CHAR(10),"")&amp;"'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@level2type=N'COLUMN',@level2name=N'"&amp;$C3&amp;"'"</f>
        <v>set @OldWording = N'多型別' set @NewWording = REPLACE(@OldWording,'***',char(13)+char(10)) EXEC sys.sp_addextendedproperty @name=N'MS_Description', @value=@NewWording , @level0type=N'SCHEMA',@level0name=N'dbo', @level1type=N'TABLE',@level1name=N'LifeInsAmtPlan', @level2type=N'COLUMN',@level2name=N'MultiKind'</v>
      </c>
      <c r="R3" s="32" t="str">
        <f t="shared" ref="R3:R10" si="4">"set @OldWording = N'"&amp;SUBSTITUTE($H3,CHAR(10),"")&amp;"'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@level2type=N'COLUMN',@level2name=N'"&amp;$C3&amp;"'"</f>
        <v>set @OldWording = N'*=沒有型別***多型別對應dbo.LifeInsMultiKind' set @NewWording = REPLACE(@OldWording,'***',char(13)+char(10)) EXEC sys.sp_addextendedproperty @name=N'Rule', @value=@NewWording , @level0type=N'SCHEMA',@level0name=N'dbo', @level1type=N'TABLE',@level1name=N'LifeInsAmtPlan', @level2type=N'COLUMN',@level2name=N'MultiKind'</v>
      </c>
      <c r="S3" s="36" t="str">
        <f t="shared" ref="S3:S10" si="5">"set @OldWording = N'"&amp;SUBSTITUTE($I3,CHAR(10),"")&amp;"' set @NewWording = REPLACE(@OldWording,'***',char(13)+char(10)) "&amp;"EXEC sys.sp_addextendedproperty @name=N'Memo', @value=@NewWording , @level0type=N'SCHEMA',@level0name=N'"&amp;$L$1&amp;"', @level1type=N'TABLE',@level1name=N'"&amp;$M$1&amp;"', @level2type=N'COLUMN',@level2name=N'"&amp;$C3&amp;"'"</f>
        <v>set @OldWording = N'' set @NewWording = REPLACE(@OldWording,'***',char(13)+char(10)) EXEC sys.sp_addextendedproperty @name=N'Memo', @value=@NewWording , @level0type=N'SCHEMA',@level0name=N'dbo', @level1type=N'TABLE',@level1name=N'LifeInsAmtPlan', @level2type=N'COLUMN',@level2name=N'MultiKind'</v>
      </c>
    </row>
    <row r="4" spans="1:19">
      <c r="B4" s="11" t="s">
        <v>14</v>
      </c>
      <c r="C4" s="12" t="s">
        <v>463</v>
      </c>
      <c r="D4" s="12" t="s">
        <v>23</v>
      </c>
      <c r="F4" s="4"/>
      <c r="G4" s="12" t="s">
        <v>464</v>
      </c>
      <c r="H4" s="13"/>
      <c r="I4" s="13"/>
      <c r="N4" s="36" t="str">
        <f t="shared" si="0"/>
        <v>EXEC sp_dropextendedproperty @name = N'MS_Description', @level0type=N'SCHEMA',@level0name=N'dbo', @level1type=N'TABLE',@level1name=N'LifeInsAmtPlan', @level2type=N'COLUMN',@level2name=N'AmtPlan'</v>
      </c>
      <c r="O4" s="36" t="str">
        <f t="shared" si="1"/>
        <v>EXEC sp_dropextendedproperty @name = N'Rule', @level0type=N'SCHEMA',@level0name=N'dbo', @level1type=N'TABLE',@level1name=N'LifeInsAmtPlan', @level2type=N'COLUMN',@level2name=N'AmtPlan'</v>
      </c>
      <c r="P4" s="36" t="str">
        <f t="shared" si="2"/>
        <v>EXEC sp_dropextendedproperty @name = N'Memo', @level0type=N'SCHEMA',@level0name=N'dbo', @level1type=N'TABLE',@level1name=N'LifeInsAmtPlan', @level2type=N'COLUMN',@level2name=N'AmtPlan'</v>
      </c>
      <c r="Q4" s="36" t="str">
        <f t="shared" si="3"/>
        <v>set @OldWording = N'保額計劃' set @NewWording = REPLACE(@OldWording,'***',char(13)+char(10)) EXEC sys.sp_addextendedproperty @name=N'MS_Description', @value=@NewWording , @level0type=N'SCHEMA',@level0name=N'dbo', @level1type=N'TABLE',@level1name=N'LifeInsAmtPlan', @level2type=N'COLUMN',@level2name=N'AmtPlan'</v>
      </c>
      <c r="R4" s="32" t="str">
        <f t="shared" si="4"/>
        <v>set @OldWording = N'' set @NewWording = REPLACE(@OldWording,'***',char(13)+char(10)) EXEC sys.sp_addextendedproperty @name=N'Rule', @value=@NewWording , @level0type=N'SCHEMA',@level0name=N'dbo', @level1type=N'TABLE',@level1name=N'LifeInsAmtPlan', @level2type=N'COLUMN',@level2name=N'AmtPlan'</v>
      </c>
      <c r="S4" s="36" t="str">
        <f t="shared" si="5"/>
        <v>set @OldWording = N'' set @NewWording = REPLACE(@OldWording,'***',char(13)+char(10)) EXEC sys.sp_addextendedproperty @name=N'Memo', @value=@NewWording , @level0type=N'SCHEMA',@level0name=N'dbo', @level1type=N'TABLE',@level1name=N'LifeInsAmtPlan', @level2type=N'COLUMN',@level2name=N'AmtPlan'</v>
      </c>
    </row>
    <row r="5" spans="1:19">
      <c r="B5" s="11"/>
      <c r="C5" s="15" t="s">
        <v>465</v>
      </c>
      <c r="D5" s="15" t="s">
        <v>3077</v>
      </c>
      <c r="F5" s="10"/>
      <c r="G5" s="12" t="s">
        <v>466</v>
      </c>
      <c r="H5" s="16"/>
      <c r="I5" s="16"/>
      <c r="N5" s="36" t="str">
        <f t="shared" si="0"/>
        <v>EXEC sp_dropextendedproperty @name = N'MS_Description', @level0type=N'SCHEMA',@level0name=N'dbo', @level1type=N'TABLE',@level1name=N'LifeInsAmtPlan', @level2type=N'COLUMN',@level2name=N'DispAmtPlan'</v>
      </c>
      <c r="O5" s="36" t="str">
        <f t="shared" si="1"/>
        <v>EXEC sp_dropextendedproperty @name = N'Rule', @level0type=N'SCHEMA',@level0name=N'dbo', @level1type=N'TABLE',@level1name=N'LifeInsAmtPlan', @level2type=N'COLUMN',@level2name=N'DispAmtPlan'</v>
      </c>
      <c r="P5" s="36" t="str">
        <f t="shared" si="2"/>
        <v>EXEC sp_dropextendedproperty @name = N'Memo', @level0type=N'SCHEMA',@level0name=N'dbo', @level1type=N'TABLE',@level1name=N'LifeInsAmtPlan', @level2type=N'COLUMN',@level2name=N'DispAmtPlan'</v>
      </c>
      <c r="Q5" s="36" t="str">
        <f t="shared" si="3"/>
        <v>set @OldWording = N'顯示保額計劃' set @NewWording = REPLACE(@OldWording,'***',char(13)+char(10)) EXEC sys.sp_addextendedproperty @name=N'MS_Description', @value=@NewWording , @level0type=N'SCHEMA',@level0name=N'dbo', @level1type=N'TABLE',@level1name=N'LifeInsAmtPlan', @level2type=N'COLUMN',@level2name=N'DispAmtPlan'</v>
      </c>
      <c r="R5" s="32" t="str">
        <f t="shared" si="4"/>
        <v>set @OldWording = N'' set @NewWording = REPLACE(@OldWording,'***',char(13)+char(10)) EXEC sys.sp_addextendedproperty @name=N'Rule', @value=@NewWording , @level0type=N'SCHEMA',@level0name=N'dbo', @level1type=N'TABLE',@level1name=N'LifeInsAmtPlan', @level2type=N'COLUMN',@level2name=N'DispAmtPlan'</v>
      </c>
      <c r="S5" s="36" t="str">
        <f t="shared" si="5"/>
        <v>set @OldWording = N'' set @NewWording = REPLACE(@OldWording,'***',char(13)+char(10)) EXEC sys.sp_addextendedproperty @name=N'Memo', @value=@NewWording , @level0type=N'SCHEMA',@level0name=N'dbo', @level1type=N'TABLE',@level1name=N'LifeInsAmtPlan', @level2type=N'COLUMN',@level2name=N'DispAmtPlan'</v>
      </c>
    </row>
    <row r="6" spans="1:19">
      <c r="B6" s="11"/>
      <c r="C6" s="15" t="s">
        <v>4676</v>
      </c>
      <c r="D6" s="15" t="s">
        <v>4677</v>
      </c>
      <c r="F6" s="10"/>
      <c r="G6" s="12" t="s">
        <v>4675</v>
      </c>
      <c r="H6" s="16" t="s">
        <v>4681</v>
      </c>
      <c r="I6" s="16"/>
      <c r="R6" s="32"/>
      <c r="S6" s="36"/>
    </row>
    <row r="7" spans="1:19" ht="27.6">
      <c r="B7" s="11"/>
      <c r="C7" s="10" t="s">
        <v>95</v>
      </c>
      <c r="D7" s="10" t="s">
        <v>128</v>
      </c>
      <c r="F7" s="13"/>
      <c r="G7" s="10" t="s">
        <v>96</v>
      </c>
      <c r="H7" s="16" t="s">
        <v>4989</v>
      </c>
      <c r="I7" s="16"/>
      <c r="N7" s="36" t="str">
        <f t="shared" si="0"/>
        <v>EXEC sp_dropextendedproperty @name = N'MS_Description', @level0type=N'SCHEMA',@level0name=N'dbo', @level1type=N'TABLE',@level1name=N'LifeInsAmtPlan', @level2type=N'COLUMN',@level2name=N'ActPremType'</v>
      </c>
      <c r="O7" s="36" t="str">
        <f t="shared" si="1"/>
        <v>EXEC sp_dropextendedproperty @name = N'Rule', @level0type=N'SCHEMA',@level0name=N'dbo', @level1type=N'TABLE',@level1name=N'LifeInsAmtPlan', @level2type=N'COLUMN',@level2name=N'ActPremType'</v>
      </c>
      <c r="P7" s="36" t="str">
        <f t="shared" si="2"/>
        <v>EXEC sp_dropextendedproperty @name = N'Memo', @level0type=N'SCHEMA',@level0name=N'dbo', @level1type=N'TABLE',@level1name=N'LifeInsAmtPlan', @level2type=N'COLUMN',@level2name=N'ActPremType'</v>
      </c>
      <c r="Q7" s="36" t="str">
        <f t="shared" si="3"/>
        <v>set @OldWording = N'精算保費類型' set @NewWording = REPLACE(@OldWording,'***',char(13)+char(10)) EXEC sys.sp_addextendedproperty @name=N'MS_Description', @value=@NewWording , @level0type=N'SCHEMA',@level0name=N'dbo', @level1type=N'TABLE',@level1name=N'LifeInsAmtPlan', @level2type=N'COLUMN',@level2name=N'ActPremType'</v>
      </c>
      <c r="R7" s="32" t="str">
        <f t="shared" si="4"/>
        <v>set @OldWording = N'KEY值可自定義***對應dbo.LifeInsActFactorGP.ActPremType' set @NewWording = REPLACE(@OldWording,'***',char(13)+char(10)) EXEC sys.sp_addextendedproperty @name=N'Rule', @value=@NewWording , @level0type=N'SCHEMA',@level0name=N'dbo', @level1type=N'TABLE',@level1name=N'LifeInsAmtPlan', @level2type=N'COLUMN',@level2name=N'ActPremType'</v>
      </c>
      <c r="S7" s="36" t="str">
        <f t="shared" si="5"/>
        <v>set @OldWording = N'' set @NewWording = REPLACE(@OldWording,'***',char(13)+char(10)) EXEC sys.sp_addextendedproperty @name=N'Memo', @value=@NewWording , @level0type=N'SCHEMA',@level0name=N'dbo', @level1type=N'TABLE',@level1name=N'LifeInsAmtPlan', @level2type=N'COLUMN',@level2name=N'ActPremType'</v>
      </c>
    </row>
    <row r="8" spans="1:19">
      <c r="C8" s="12" t="s">
        <v>0</v>
      </c>
      <c r="D8" s="12" t="s">
        <v>11</v>
      </c>
      <c r="E8" s="11" t="s">
        <v>16</v>
      </c>
      <c r="F8" s="4" t="s">
        <v>20</v>
      </c>
      <c r="G8" s="12" t="s">
        <v>30</v>
      </c>
      <c r="N8" s="36" t="str">
        <f t="shared" si="0"/>
        <v>EXEC sp_dropextendedproperty @name = N'MS_Description', @level0type=N'SCHEMA',@level0name=N'dbo', @level1type=N'TABLE',@level1name=N'LifeInsAmtPlan', @level2type=N'COLUMN',@level2name=N'CreateTime'</v>
      </c>
      <c r="O8" s="36" t="str">
        <f t="shared" si="1"/>
        <v>EXEC sp_dropextendedproperty @name = N'Rule', @level0type=N'SCHEMA',@level0name=N'dbo', @level1type=N'TABLE',@level1name=N'LifeInsAmtPlan', @level2type=N'COLUMN',@level2name=N'CreateTime'</v>
      </c>
      <c r="P8" s="36" t="str">
        <f t="shared" si="2"/>
        <v>EXEC sp_dropextendedproperty @name = N'Memo', @level0type=N'SCHEMA',@level0name=N'dbo', @level1type=N'TABLE',@level1name=N'LifeInsAmtPlan', @level2type=N'COLUMN',@level2name=N'CreateTime'</v>
      </c>
      <c r="Q8" s="36" t="str">
        <f t="shared" si="3"/>
        <v>set @OldWording = N'建立時間' set @NewWording = REPLACE(@OldWording,'***',char(13)+char(10)) EXEC sys.sp_addextendedproperty @name=N'MS_Description', @value=@NewWording , @level0type=N'SCHEMA',@level0name=N'dbo', @level1type=N'TABLE',@level1name=N'LifeInsAmtPlan', @level2type=N'COLUMN',@level2name=N'CreateTime'</v>
      </c>
      <c r="R8" s="32" t="str">
        <f t="shared" si="4"/>
        <v>set @OldWording = N'' set @NewWording = REPLACE(@OldWording,'***',char(13)+char(10)) EXEC sys.sp_addextendedproperty @name=N'Rule', @value=@NewWording , @level0type=N'SCHEMA',@level0name=N'dbo', @level1type=N'TABLE',@level1name=N'LifeInsAmtPlan', @level2type=N'COLUMN',@level2name=N'CreateTime'</v>
      </c>
      <c r="S8" s="36" t="str">
        <f t="shared" si="5"/>
        <v>set @OldWording = N'' set @NewWording = REPLACE(@OldWording,'***',char(13)+char(10)) EXEC sys.sp_addextendedproperty @name=N'Memo', @value=@NewWording , @level0type=N'SCHEMA',@level0name=N'dbo', @level1type=N'TABLE',@level1name=N'LifeInsAmtPlan', @level2type=N'COLUMN',@level2name=N'CreateTime'</v>
      </c>
    </row>
    <row r="9" spans="1:19">
      <c r="C9" s="12" t="s">
        <v>1</v>
      </c>
      <c r="D9" s="12" t="s">
        <v>37</v>
      </c>
      <c r="E9" s="11"/>
      <c r="F9" s="4"/>
      <c r="G9" s="12" t="s">
        <v>31</v>
      </c>
      <c r="H9" s="24"/>
      <c r="I9" s="24"/>
      <c r="N9" s="36" t="str">
        <f t="shared" si="0"/>
        <v>EXEC sp_dropextendedproperty @name = N'MS_Description', @level0type=N'SCHEMA',@level0name=N'dbo', @level1type=N'TABLE',@level1name=N'LifeInsAmtPlan', @level2type=N'COLUMN',@level2name=N'Creator'</v>
      </c>
      <c r="O9" s="36" t="str">
        <f t="shared" si="1"/>
        <v>EXEC sp_dropextendedproperty @name = N'Rule', @level0type=N'SCHEMA',@level0name=N'dbo', @level1type=N'TABLE',@level1name=N'LifeInsAmtPlan', @level2type=N'COLUMN',@level2name=N'Creator'</v>
      </c>
      <c r="P9" s="36" t="str">
        <f t="shared" si="2"/>
        <v>EXEC sp_dropextendedproperty @name = N'Memo', @level0type=N'SCHEMA',@level0name=N'dbo', @level1type=N'TABLE',@level1name=N'LifeInsAmtPlan', @level2type=N'COLUMN',@level2name=N'Creator'</v>
      </c>
      <c r="Q9" s="36" t="str">
        <f t="shared" si="3"/>
        <v>set @OldWording = N'建立人員' set @NewWording = REPLACE(@OldWording,'***',char(13)+char(10)) EXEC sys.sp_addextendedproperty @name=N'MS_Description', @value=@NewWording , @level0type=N'SCHEMA',@level0name=N'dbo', @level1type=N'TABLE',@level1name=N'LifeInsAmtPlan', @level2type=N'COLUMN',@level2name=N'Creator'</v>
      </c>
      <c r="R9" s="32" t="str">
        <f t="shared" si="4"/>
        <v>set @OldWording = N'' set @NewWording = REPLACE(@OldWording,'***',char(13)+char(10)) EXEC sys.sp_addextendedproperty @name=N'Rule', @value=@NewWording , @level0type=N'SCHEMA',@level0name=N'dbo', @level1type=N'TABLE',@level1name=N'LifeInsAmtPlan', @level2type=N'COLUMN',@level2name=N'Creator'</v>
      </c>
      <c r="S9" s="36" t="str">
        <f t="shared" si="5"/>
        <v>set @OldWording = N'' set @NewWording = REPLACE(@OldWording,'***',char(13)+char(10)) EXEC sys.sp_addextendedproperty @name=N'Memo', @value=@NewWording , @level0type=N'SCHEMA',@level0name=N'dbo', @level1type=N'TABLE',@level1name=N'LifeInsAmtPlan', @level2type=N'COLUMN',@level2name=N'Creator'</v>
      </c>
    </row>
    <row r="10" spans="1:19">
      <c r="C10" s="12" t="s">
        <v>19</v>
      </c>
      <c r="D10" s="12" t="s">
        <v>11</v>
      </c>
      <c r="E10" s="11" t="s">
        <v>16</v>
      </c>
      <c r="F10" s="4" t="s">
        <v>20</v>
      </c>
      <c r="G10" s="12" t="s">
        <v>32</v>
      </c>
      <c r="H10" s="24"/>
      <c r="I10" s="24"/>
      <c r="N10" s="36" t="str">
        <f t="shared" si="0"/>
        <v>EXEC sp_dropextendedproperty @name = N'MS_Description', @level0type=N'SCHEMA',@level0name=N'dbo', @level1type=N'TABLE',@level1name=N'LifeInsAmtPlan', @level2type=N'COLUMN',@level2name=N'ModifyTime'</v>
      </c>
      <c r="O10" s="36" t="str">
        <f t="shared" si="1"/>
        <v>EXEC sp_dropextendedproperty @name = N'Rule', @level0type=N'SCHEMA',@level0name=N'dbo', @level1type=N'TABLE',@level1name=N'LifeInsAmtPlan', @level2type=N'COLUMN',@level2name=N'ModifyTime'</v>
      </c>
      <c r="P10" s="36" t="str">
        <f t="shared" si="2"/>
        <v>EXEC sp_dropextendedproperty @name = N'Memo', @level0type=N'SCHEMA',@level0name=N'dbo', @level1type=N'TABLE',@level1name=N'LifeInsAmtPlan', @level2type=N'COLUMN',@level2name=N'ModifyTime'</v>
      </c>
      <c r="Q10" s="36" t="str">
        <f t="shared" si="3"/>
        <v>set @OldWording = N'修改時間' set @NewWording = REPLACE(@OldWording,'***',char(13)+char(10)) EXEC sys.sp_addextendedproperty @name=N'MS_Description', @value=@NewWording , @level0type=N'SCHEMA',@level0name=N'dbo', @level1type=N'TABLE',@level1name=N'LifeInsAmtPlan', @level2type=N'COLUMN',@level2name=N'ModifyTime'</v>
      </c>
      <c r="R10" s="32" t="str">
        <f t="shared" si="4"/>
        <v>set @OldWording = N'' set @NewWording = REPLACE(@OldWording,'***',char(13)+char(10)) EXEC sys.sp_addextendedproperty @name=N'Rule', @value=@NewWording , @level0type=N'SCHEMA',@level0name=N'dbo', @level1type=N'TABLE',@level1name=N'LifeInsAmtPlan', @level2type=N'COLUMN',@level2name=N'ModifyTime'</v>
      </c>
      <c r="S10" s="36" t="str">
        <f t="shared" si="5"/>
        <v>set @OldWording = N'' set @NewWording = REPLACE(@OldWording,'***',char(13)+char(10)) EXEC sys.sp_addextendedproperty @name=N'Memo', @value=@NewWording , @level0type=N'SCHEMA',@level0name=N'dbo', @level1type=N'TABLE',@level1name=N'LifeInsAmtPlan', @level2type=N'COLUMN',@level2name=N'ModifyTime'</v>
      </c>
    </row>
    <row r="11" spans="1:19">
      <c r="C11" s="12" t="s">
        <v>2</v>
      </c>
      <c r="D11" s="12" t="s">
        <v>37</v>
      </c>
      <c r="E11" s="11"/>
      <c r="F11" s="4"/>
      <c r="G11" s="12" t="s">
        <v>33</v>
      </c>
      <c r="N11" s="36" t="str">
        <f>"EXEC sp_dropextendedproperty @name = N'MS_Description', @level0type=N'SCHEMA',@level0name=N'"&amp;$L$1&amp;"', @level1type=N'TABLE',@level1name=N'"&amp;$M$1&amp;"', @level2type=N'COLUMN',@level2name=N'"&amp;$C11&amp;"'"</f>
        <v>EXEC sp_dropextendedproperty @name = N'MS_Description', @level0type=N'SCHEMA',@level0name=N'dbo', @level1type=N'TABLE',@level1name=N'LifeInsAmtPlan', @level2type=N'COLUMN',@level2name=N'Modifier'</v>
      </c>
      <c r="O11" s="36" t="str">
        <f>"EXEC sp_dropextendedproperty @name = N'Rule', @level0type=N'SCHEMA',@level0name=N'"&amp;$L$1&amp;"', @level1type=N'TABLE',@level1name=N'"&amp;$M$1&amp;"', @level2type=N'COLUMN',@level2name=N'"&amp;$C11&amp;"'"</f>
        <v>EXEC sp_dropextendedproperty @name = N'Rule', @level0type=N'SCHEMA',@level0name=N'dbo', @level1type=N'TABLE',@level1name=N'LifeInsAmtPlan', @level2type=N'COLUMN',@level2name=N'Modifier'</v>
      </c>
      <c r="P11" s="36" t="str">
        <f>"EXEC sp_dropextendedproperty @name = N'Memo', @level0type=N'SCHEMA',@level0name=N'"&amp;$L$1&amp;"', @level1type=N'TABLE',@level1name=N'"&amp;$M$1&amp;"', @level2type=N'COLUMN',@level2name=N'"&amp;$C11&amp;"'"</f>
        <v>EXEC sp_dropextendedproperty @name = N'Memo', @level0type=N'SCHEMA',@level0name=N'dbo', @level1type=N'TABLE',@level1name=N'LifeInsAmtPlan', @level2type=N'COLUMN',@level2name=N'Modifier'</v>
      </c>
      <c r="Q11" s="36" t="str">
        <f>"set @OldWording = N'"&amp;SUBSTITUTE($G11,CHAR(10),"")&amp;"'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@level2type=N'COLUMN',@level2name=N'"&amp;$C11&amp;"'"</f>
        <v>set @OldWording = N'修改人員' set @NewWording = REPLACE(@OldWording,'***',char(13)+char(10)) EXEC sys.sp_addextendedproperty @name=N'MS_Description', @value=@NewWording , @level0type=N'SCHEMA',@level0name=N'dbo', @level1type=N'TABLE',@level1name=N'LifeInsAmtPlan', @level2type=N'COLUMN',@level2name=N'Modifier'</v>
      </c>
      <c r="R11" s="32" t="str">
        <f>"set @OldWording = N'"&amp;SUBSTITUTE($H11,CHAR(10),"")&amp;"'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@level2type=N'COLUMN',@level2name=N'"&amp;$C11&amp;"'"</f>
        <v>set @OldWording = N'' set @NewWording = REPLACE(@OldWording,'***',char(13)+char(10)) EXEC sys.sp_addextendedproperty @name=N'Rule', @value=@NewWording , @level0type=N'SCHEMA',@level0name=N'dbo', @level1type=N'TABLE',@level1name=N'LifeInsAmtPlan', @level2type=N'COLUMN',@level2name=N'Modifier'</v>
      </c>
      <c r="S11" s="36" t="str">
        <f>"set @OldWording = N'"&amp;SUBSTITUTE($I11,CHAR(10),"")&amp;"' set @NewWording = REPLACE(@OldWording,'***',char(13)+char(10)) "&amp;"EXEC sys.sp_addextendedproperty @name=N'Memo', @value=@NewWording , @level0type=N'SCHEMA',@level0name=N'"&amp;$L$1&amp;"', @level1type=N'TABLE',@level1name=N'"&amp;$M$1&amp;"', @level2type=N'COLUMN',@level2name=N'"&amp;$C11&amp;"'"</f>
        <v>set @OldWording = N'' set @NewWording = REPLACE(@OldWording,'***',char(13)+char(10)) EXEC sys.sp_addextendedproperty @name=N'Memo', @value=@NewWording , @level0type=N'SCHEMA',@level0name=N'dbo', @level1type=N'TABLE',@level1name=N'LifeInsAmtPlan', @level2type=N'COLUMN',@level2name=N'Modifier'</v>
      </c>
    </row>
    <row r="12" spans="1:19">
      <c r="B12" s="11"/>
      <c r="C12" s="29"/>
      <c r="D12" s="30"/>
      <c r="E12" s="28"/>
      <c r="F12" s="31"/>
      <c r="G12" s="22"/>
      <c r="H12" s="13"/>
      <c r="I12" s="13"/>
      <c r="R12" s="32"/>
      <c r="S12" s="36"/>
    </row>
    <row r="13" spans="1:19">
      <c r="B13" s="11"/>
      <c r="C13" s="29"/>
      <c r="D13" s="30"/>
      <c r="E13" s="28"/>
      <c r="F13" s="31"/>
      <c r="G13" s="22"/>
      <c r="H13" s="13"/>
      <c r="I13" s="13"/>
      <c r="R13" s="32"/>
      <c r="S13" s="36"/>
    </row>
    <row r="14" spans="1:19">
      <c r="B14" s="11"/>
      <c r="H14" s="13"/>
      <c r="I14" s="13"/>
      <c r="R14" s="32"/>
      <c r="S14" s="36"/>
    </row>
    <row r="15" spans="1:19">
      <c r="B15" s="11"/>
      <c r="H15" s="13"/>
      <c r="I15" s="13"/>
      <c r="R15" s="32"/>
      <c r="S15" s="36"/>
    </row>
    <row r="16" spans="1:19">
      <c r="B16" s="11"/>
      <c r="H16" s="13"/>
      <c r="I16" s="13"/>
      <c r="R16" s="32"/>
      <c r="S16" s="36"/>
    </row>
    <row r="17" spans="2:19">
      <c r="B17" s="11"/>
      <c r="H17" s="13"/>
      <c r="I17" s="13"/>
      <c r="R17" s="32"/>
      <c r="S17" s="36"/>
    </row>
    <row r="18" spans="2:19">
      <c r="B18" s="11"/>
      <c r="C18" s="12"/>
      <c r="D18" s="12"/>
      <c r="E18" s="11"/>
      <c r="F18" s="4"/>
      <c r="G18" s="12"/>
      <c r="H18" s="13"/>
      <c r="I18" s="13"/>
      <c r="R18" s="32"/>
      <c r="S18" s="36"/>
    </row>
    <row r="19" spans="2:19">
      <c r="B19" s="11"/>
      <c r="C19" s="12"/>
      <c r="D19" s="12"/>
      <c r="E19" s="11"/>
      <c r="F19" s="4"/>
      <c r="G19" s="12"/>
      <c r="H19" s="13"/>
      <c r="I19" s="13"/>
      <c r="R19" s="32"/>
      <c r="S19" s="36"/>
    </row>
    <row r="20" spans="2:19">
      <c r="B20" s="11"/>
      <c r="C20" s="12"/>
      <c r="D20" s="12"/>
      <c r="E20" s="11"/>
      <c r="F20" s="4"/>
      <c r="G20" s="12"/>
      <c r="H20" s="13"/>
      <c r="I20" s="13"/>
      <c r="R20" s="32"/>
      <c r="S20" s="36"/>
    </row>
    <row r="21" spans="2:19">
      <c r="B21" s="11"/>
      <c r="C21" s="12"/>
      <c r="D21" s="12"/>
      <c r="E21" s="11"/>
      <c r="F21" s="4"/>
      <c r="G21" s="12"/>
      <c r="H21" s="13"/>
      <c r="I21" s="13"/>
      <c r="R21" s="32"/>
      <c r="S21" s="36"/>
    </row>
    <row r="22" spans="2:19">
      <c r="B22" s="11"/>
      <c r="C22" s="12"/>
      <c r="D22" s="12"/>
      <c r="E22" s="11"/>
      <c r="F22" s="4"/>
      <c r="G22" s="12"/>
      <c r="H22" s="13"/>
      <c r="I22" s="13"/>
      <c r="R22" s="32"/>
      <c r="S22" s="36"/>
    </row>
    <row r="23" spans="2:19">
      <c r="B23" s="11"/>
      <c r="C23" s="12"/>
      <c r="D23" s="12"/>
      <c r="E23" s="11"/>
      <c r="F23" s="4"/>
      <c r="G23" s="12"/>
      <c r="H23" s="13"/>
      <c r="I23" s="13"/>
      <c r="R23" s="32"/>
      <c r="S23" s="36"/>
    </row>
    <row r="24" spans="2:19">
      <c r="B24" s="11"/>
      <c r="C24" s="12"/>
      <c r="D24" s="12"/>
      <c r="E24" s="11"/>
      <c r="F24" s="4"/>
      <c r="G24" s="12"/>
      <c r="H24" s="13"/>
      <c r="I24" s="13"/>
      <c r="R24" s="32"/>
      <c r="S24" s="36"/>
    </row>
    <row r="25" spans="2:19">
      <c r="B25" s="11"/>
      <c r="C25" s="12"/>
      <c r="D25" s="12"/>
      <c r="E25" s="11"/>
      <c r="F25" s="4"/>
      <c r="G25" s="12"/>
      <c r="H25" s="13"/>
      <c r="I25" s="13"/>
      <c r="R25" s="32"/>
      <c r="S25" s="36"/>
    </row>
    <row r="26" spans="2:19">
      <c r="B26" s="11"/>
      <c r="C26" s="12"/>
      <c r="D26" s="12"/>
      <c r="E26" s="11"/>
      <c r="F26" s="4"/>
      <c r="G26" s="12"/>
      <c r="H26" s="13"/>
      <c r="I26" s="13"/>
      <c r="R26" s="32"/>
      <c r="S26" s="36"/>
    </row>
    <row r="27" spans="2:19">
      <c r="B27" s="11"/>
      <c r="C27" s="12"/>
      <c r="D27" s="12"/>
      <c r="E27" s="11"/>
      <c r="F27" s="4"/>
      <c r="G27" s="12"/>
      <c r="H27" s="13"/>
      <c r="I27" s="13"/>
      <c r="R27" s="32"/>
      <c r="S27" s="36"/>
    </row>
    <row r="28" spans="2:19">
      <c r="B28" s="11"/>
      <c r="C28" s="12"/>
      <c r="D28" s="12"/>
      <c r="E28" s="11"/>
      <c r="F28" s="4"/>
      <c r="G28" s="12"/>
      <c r="H28" s="13"/>
      <c r="I28" s="13"/>
      <c r="R28" s="32"/>
      <c r="S28" s="36"/>
    </row>
    <row r="29" spans="2:19">
      <c r="B29" s="11"/>
      <c r="C29" s="12"/>
      <c r="D29" s="12"/>
      <c r="E29" s="11"/>
      <c r="F29" s="4"/>
      <c r="G29" s="12"/>
      <c r="H29" s="13"/>
      <c r="I29" s="13"/>
      <c r="R29" s="32"/>
      <c r="S29" s="36"/>
    </row>
    <row r="30" spans="2:19">
      <c r="B30" s="11"/>
      <c r="C30" s="12"/>
      <c r="D30" s="12"/>
      <c r="E30" s="11"/>
      <c r="F30" s="4"/>
      <c r="G30" s="12"/>
      <c r="H30" s="13"/>
      <c r="I30" s="13"/>
      <c r="R30" s="32"/>
      <c r="S30" s="36"/>
    </row>
    <row r="31" spans="2:19">
      <c r="B31" s="11"/>
      <c r="C31" s="12"/>
      <c r="D31" s="12"/>
      <c r="E31" s="11"/>
      <c r="F31" s="4"/>
      <c r="G31" s="12"/>
      <c r="H31" s="13"/>
      <c r="I31" s="13"/>
      <c r="R31" s="32"/>
      <c r="S31" s="36"/>
    </row>
    <row r="32" spans="2:19">
      <c r="B32" s="11"/>
      <c r="C32" s="12"/>
      <c r="D32" s="12"/>
      <c r="E32" s="11"/>
      <c r="F32" s="4"/>
      <c r="G32" s="12"/>
      <c r="H32" s="13"/>
      <c r="I32" s="13"/>
      <c r="R32" s="32"/>
      <c r="S32" s="36"/>
    </row>
    <row r="33" spans="2:19">
      <c r="B33" s="11"/>
      <c r="C33" s="12"/>
      <c r="D33" s="12"/>
      <c r="E33" s="11"/>
      <c r="F33" s="4"/>
      <c r="G33" s="12"/>
      <c r="H33" s="13"/>
      <c r="I33" s="13"/>
      <c r="R33" s="32"/>
      <c r="S33" s="36"/>
    </row>
    <row r="34" spans="2:19">
      <c r="B34" s="11"/>
      <c r="C34" s="12"/>
      <c r="D34" s="12"/>
      <c r="E34" s="11"/>
      <c r="F34" s="4"/>
      <c r="G34" s="12"/>
      <c r="H34" s="13"/>
      <c r="I34" s="13"/>
      <c r="R34" s="32"/>
      <c r="S34" s="36"/>
    </row>
    <row r="35" spans="2:19">
      <c r="B35" s="11"/>
      <c r="C35" s="12"/>
      <c r="D35" s="12"/>
      <c r="E35" s="11"/>
      <c r="F35" s="4"/>
      <c r="G35" s="12"/>
      <c r="H35" s="13"/>
      <c r="I35" s="13"/>
      <c r="R35" s="32"/>
      <c r="S35" s="36"/>
    </row>
    <row r="36" spans="2:19">
      <c r="B36" s="11"/>
      <c r="C36" s="12"/>
      <c r="D36" s="12"/>
      <c r="E36" s="11"/>
      <c r="F36" s="4"/>
      <c r="G36" s="12"/>
      <c r="H36" s="13"/>
      <c r="I36" s="13"/>
      <c r="R36" s="32"/>
      <c r="S36" s="36"/>
    </row>
    <row r="37" spans="2:19">
      <c r="B37" s="11"/>
      <c r="C37" s="12"/>
      <c r="D37" s="12"/>
      <c r="E37" s="11"/>
      <c r="F37" s="4"/>
      <c r="G37" s="12"/>
      <c r="H37" s="13"/>
      <c r="I37" s="13"/>
      <c r="R37" s="32"/>
      <c r="S37" s="36"/>
    </row>
    <row r="38" spans="2:19">
      <c r="B38" s="11"/>
      <c r="C38" s="12"/>
      <c r="D38" s="12"/>
      <c r="E38" s="11"/>
      <c r="F38" s="4"/>
      <c r="G38" s="12"/>
      <c r="H38" s="13"/>
      <c r="I38" s="13"/>
      <c r="R38" s="32"/>
      <c r="S38" s="36"/>
    </row>
    <row r="39" spans="2:19">
      <c r="B39" s="11"/>
      <c r="C39" s="12"/>
      <c r="D39" s="12"/>
      <c r="E39" s="11"/>
      <c r="F39" s="4"/>
      <c r="G39" s="12"/>
      <c r="H39" s="13"/>
      <c r="I39" s="13"/>
      <c r="R39" s="32"/>
      <c r="S39" s="36"/>
    </row>
    <row r="40" spans="2:19">
      <c r="B40" s="11"/>
      <c r="C40" s="12"/>
      <c r="D40" s="12"/>
      <c r="E40" s="11"/>
      <c r="F40" s="4"/>
      <c r="G40" s="12"/>
      <c r="H40" s="13"/>
      <c r="I40" s="13"/>
      <c r="R40" s="32"/>
      <c r="S40" s="36"/>
    </row>
    <row r="41" spans="2:19">
      <c r="B41" s="11"/>
      <c r="C41" s="12"/>
      <c r="D41" s="12"/>
      <c r="E41" s="11"/>
      <c r="F41" s="4"/>
      <c r="G41" s="12"/>
      <c r="H41" s="13"/>
      <c r="I41" s="13"/>
      <c r="R41" s="32"/>
      <c r="S41" s="36"/>
    </row>
    <row r="42" spans="2:19">
      <c r="B42" s="11"/>
      <c r="C42" s="12"/>
      <c r="D42" s="12"/>
      <c r="E42" s="11"/>
      <c r="F42" s="4"/>
      <c r="G42" s="12"/>
      <c r="H42" s="13"/>
      <c r="I42" s="13"/>
      <c r="R42" s="32"/>
      <c r="S42" s="36"/>
    </row>
    <row r="43" spans="2:19">
      <c r="B43" s="11"/>
      <c r="C43" s="12"/>
      <c r="D43" s="12"/>
      <c r="E43" s="11"/>
      <c r="F43" s="4"/>
      <c r="G43" s="12"/>
      <c r="H43" s="13"/>
      <c r="I43" s="13"/>
      <c r="R43" s="32"/>
      <c r="S43" s="36"/>
    </row>
    <row r="44" spans="2:19">
      <c r="B44" s="11"/>
      <c r="C44" s="12"/>
      <c r="D44" s="12"/>
      <c r="E44" s="11"/>
      <c r="F44" s="4"/>
      <c r="G44" s="12"/>
      <c r="H44" s="13"/>
      <c r="I44" s="13"/>
      <c r="R44" s="32"/>
      <c r="S44" s="36"/>
    </row>
    <row r="45" spans="2:19">
      <c r="B45" s="11"/>
      <c r="C45" s="12"/>
      <c r="D45" s="12"/>
      <c r="E45" s="11"/>
      <c r="F45" s="4"/>
      <c r="G45" s="12"/>
      <c r="H45" s="13"/>
      <c r="I45" s="13"/>
      <c r="R45" s="32"/>
      <c r="S45" s="36"/>
    </row>
    <row r="46" spans="2:19">
      <c r="B46" s="11"/>
      <c r="C46" s="12"/>
      <c r="D46" s="12"/>
      <c r="E46" s="11"/>
      <c r="F46" s="4"/>
      <c r="G46" s="12"/>
      <c r="H46" s="13"/>
      <c r="I46" s="13"/>
      <c r="R46" s="32"/>
      <c r="S46" s="36"/>
    </row>
    <row r="47" spans="2:19">
      <c r="B47" s="11"/>
      <c r="C47" s="12"/>
      <c r="D47" s="12"/>
      <c r="E47" s="11"/>
      <c r="F47" s="4"/>
      <c r="G47" s="12"/>
      <c r="H47" s="13"/>
      <c r="I47" s="13"/>
      <c r="R47" s="32"/>
      <c r="S47" s="36"/>
    </row>
    <row r="48" spans="2:19">
      <c r="B48" s="11"/>
      <c r="C48" s="12"/>
      <c r="D48" s="12"/>
      <c r="E48" s="11"/>
      <c r="F48" s="4"/>
      <c r="G48" s="12"/>
      <c r="H48" s="13"/>
      <c r="I48" s="13"/>
      <c r="R48" s="32"/>
      <c r="S48" s="36"/>
    </row>
    <row r="49" spans="2:19">
      <c r="B49" s="11"/>
      <c r="C49" s="12"/>
      <c r="D49" s="12"/>
      <c r="E49" s="11"/>
      <c r="F49" s="4"/>
      <c r="G49" s="12"/>
      <c r="H49" s="13"/>
      <c r="I49" s="13"/>
      <c r="R49" s="32"/>
      <c r="S49" s="36"/>
    </row>
    <row r="50" spans="2:19">
      <c r="B50" s="11"/>
      <c r="C50" s="12"/>
      <c r="D50" s="12"/>
      <c r="E50" s="11"/>
      <c r="F50" s="4"/>
      <c r="G50" s="12"/>
      <c r="H50" s="13"/>
      <c r="I50" s="13"/>
      <c r="R50" s="32"/>
      <c r="S50" s="36"/>
    </row>
    <row r="51" spans="2:19">
      <c r="B51" s="11"/>
      <c r="C51" s="12"/>
      <c r="D51" s="12"/>
      <c r="E51" s="11"/>
      <c r="F51" s="4"/>
      <c r="G51" s="12"/>
      <c r="H51" s="13"/>
      <c r="I51" s="13"/>
      <c r="R51" s="32"/>
      <c r="S51" s="36"/>
    </row>
    <row r="52" spans="2:19">
      <c r="B52" s="11"/>
      <c r="C52" s="12"/>
      <c r="D52" s="12"/>
      <c r="E52" s="11"/>
      <c r="F52" s="4"/>
      <c r="G52" s="12"/>
      <c r="H52" s="13"/>
      <c r="I52" s="13"/>
    </row>
    <row r="53" spans="2:19">
      <c r="B53" s="11"/>
      <c r="C53" s="12"/>
      <c r="D53" s="12"/>
      <c r="E53" s="11"/>
      <c r="F53" s="4"/>
      <c r="G53" s="12"/>
      <c r="H53" s="13"/>
      <c r="I53" s="13"/>
    </row>
    <row r="54" spans="2:19">
      <c r="B54" s="11"/>
      <c r="C54" s="12"/>
      <c r="D54" s="12"/>
      <c r="E54" s="11"/>
      <c r="F54" s="4"/>
      <c r="G54" s="12"/>
      <c r="H54" s="13"/>
      <c r="I54" s="13"/>
    </row>
    <row r="55" spans="2:19">
      <c r="B55" s="11"/>
      <c r="C55" s="12"/>
      <c r="D55" s="12"/>
      <c r="E55" s="11"/>
      <c r="F55" s="4"/>
      <c r="G55" s="12"/>
      <c r="H55" s="13"/>
      <c r="I55" s="13"/>
    </row>
    <row r="56" spans="2:19">
      <c r="B56" s="11"/>
      <c r="C56" s="12"/>
      <c r="D56" s="12"/>
      <c r="E56" s="11"/>
      <c r="F56" s="4"/>
      <c r="G56" s="12"/>
      <c r="H56" s="13"/>
      <c r="I56" s="13"/>
    </row>
    <row r="57" spans="2:19">
      <c r="B57" s="11"/>
      <c r="C57" s="12"/>
      <c r="D57" s="12"/>
      <c r="E57" s="11"/>
      <c r="F57" s="4"/>
      <c r="G57" s="12"/>
      <c r="H57" s="13"/>
      <c r="I57" s="13"/>
    </row>
    <row r="58" spans="2:19">
      <c r="B58" s="11"/>
      <c r="C58" s="12"/>
      <c r="D58" s="12"/>
      <c r="E58" s="11"/>
      <c r="F58" s="4"/>
      <c r="G58" s="12"/>
      <c r="H58" s="13"/>
      <c r="I58" s="13"/>
    </row>
    <row r="59" spans="2:19">
      <c r="B59" s="11"/>
      <c r="C59" s="12"/>
      <c r="D59" s="12"/>
      <c r="E59" s="11"/>
      <c r="F59" s="4"/>
      <c r="G59" s="12"/>
      <c r="H59" s="13"/>
      <c r="I59" s="13"/>
    </row>
    <row r="60" spans="2:19">
      <c r="B60" s="11"/>
      <c r="C60" s="12"/>
      <c r="D60" s="12"/>
      <c r="E60" s="11"/>
      <c r="F60" s="4"/>
      <c r="G60" s="12"/>
      <c r="H60" s="13"/>
      <c r="I60" s="13"/>
    </row>
    <row r="61" spans="2:19">
      <c r="B61" s="11"/>
      <c r="C61" s="12"/>
      <c r="D61" s="12"/>
      <c r="E61" s="11"/>
      <c r="F61" s="4"/>
      <c r="G61" s="12"/>
      <c r="H61" s="13"/>
      <c r="I61" s="13"/>
    </row>
    <row r="62" spans="2:19">
      <c r="B62" s="11"/>
      <c r="C62" s="12"/>
      <c r="D62" s="12"/>
      <c r="E62" s="11"/>
      <c r="F62" s="4"/>
      <c r="G62" s="12"/>
      <c r="H62" s="13"/>
      <c r="I62" s="13"/>
      <c r="M62" s="32"/>
      <c r="N62" s="32"/>
      <c r="O62" s="32"/>
      <c r="P62" s="32"/>
      <c r="Q62" s="32"/>
      <c r="R62" s="32"/>
    </row>
    <row r="63" spans="2:19">
      <c r="B63" s="11"/>
      <c r="C63" s="12"/>
      <c r="D63" s="12"/>
      <c r="E63" s="11"/>
      <c r="F63" s="4"/>
      <c r="G63" s="12"/>
      <c r="H63" s="13"/>
      <c r="I63" s="13"/>
    </row>
    <row r="64" spans="2:19">
      <c r="B64" s="11"/>
      <c r="C64" s="12"/>
      <c r="D64" s="12"/>
      <c r="E64" s="11"/>
      <c r="F64" s="4"/>
      <c r="G64" s="12"/>
      <c r="H64" s="13"/>
      <c r="I64" s="13"/>
    </row>
    <row r="65" spans="2:9">
      <c r="B65" s="11"/>
      <c r="C65" s="12"/>
      <c r="D65" s="12"/>
      <c r="E65" s="11"/>
      <c r="F65" s="4"/>
      <c r="G65" s="12"/>
      <c r="H65" s="13"/>
      <c r="I65" s="13"/>
    </row>
    <row r="66" spans="2:9">
      <c r="B66" s="11"/>
      <c r="C66" s="12"/>
      <c r="D66" s="12"/>
      <c r="E66" s="11"/>
      <c r="F66" s="4"/>
      <c r="G66" s="12"/>
      <c r="H66" s="13"/>
      <c r="I66" s="13"/>
    </row>
    <row r="67" spans="2:9">
      <c r="B67" s="11"/>
      <c r="C67" s="12"/>
      <c r="D67" s="12"/>
      <c r="E67" s="11"/>
      <c r="F67" s="4"/>
      <c r="G67" s="12"/>
      <c r="H67" s="13"/>
      <c r="I67" s="13"/>
    </row>
    <row r="68" spans="2:9">
      <c r="B68" s="11"/>
      <c r="C68" s="12"/>
      <c r="D68" s="12"/>
      <c r="E68" s="11"/>
      <c r="F68" s="4"/>
      <c r="G68" s="12"/>
      <c r="H68" s="13"/>
      <c r="I68" s="13"/>
    </row>
    <row r="69" spans="2:9">
      <c r="B69" s="11"/>
      <c r="C69" s="12"/>
      <c r="D69" s="12"/>
      <c r="E69" s="11"/>
      <c r="F69" s="4"/>
      <c r="G69" s="12"/>
      <c r="H69" s="13"/>
      <c r="I69" s="13"/>
    </row>
    <row r="70" spans="2:9">
      <c r="B70" s="11"/>
      <c r="C70" s="12"/>
      <c r="D70" s="12"/>
      <c r="E70" s="11"/>
      <c r="F70" s="4"/>
      <c r="G70" s="12"/>
      <c r="H70" s="13"/>
      <c r="I70" s="13"/>
    </row>
    <row r="71" spans="2:9">
      <c r="B71" s="11"/>
      <c r="C71" s="12"/>
      <c r="D71" s="12"/>
      <c r="E71" s="11"/>
      <c r="F71" s="4"/>
      <c r="G71" s="12"/>
      <c r="H71" s="13"/>
      <c r="I71" s="13"/>
    </row>
    <row r="72" spans="2:9">
      <c r="B72" s="11"/>
      <c r="C72" s="12"/>
      <c r="D72" s="12"/>
      <c r="E72" s="11"/>
      <c r="F72" s="4"/>
      <c r="G72" s="12"/>
      <c r="H72" s="13"/>
      <c r="I72" s="13"/>
    </row>
    <row r="73" spans="2:9">
      <c r="B73" s="11"/>
      <c r="C73" s="12"/>
      <c r="D73" s="12"/>
      <c r="E73" s="11"/>
      <c r="F73" s="4"/>
      <c r="G73" s="12"/>
      <c r="H73" s="13"/>
      <c r="I73" s="13"/>
    </row>
    <row r="74" spans="2:9">
      <c r="B74" s="11"/>
      <c r="C74" s="12"/>
      <c r="D74" s="12"/>
      <c r="E74" s="11"/>
      <c r="F74" s="4"/>
      <c r="G74" s="12"/>
      <c r="H74" s="13"/>
      <c r="I74" s="13"/>
    </row>
    <row r="75" spans="2:9">
      <c r="B75" s="11"/>
      <c r="C75" s="12"/>
      <c r="D75" s="12"/>
      <c r="E75" s="11"/>
      <c r="F75" s="4"/>
      <c r="G75" s="12"/>
      <c r="H75" s="13"/>
      <c r="I75" s="13"/>
    </row>
    <row r="76" spans="2:9">
      <c r="B76" s="11"/>
      <c r="C76" s="12"/>
      <c r="D76" s="12"/>
      <c r="E76" s="11"/>
      <c r="F76" s="4"/>
      <c r="G76" s="12"/>
      <c r="H76" s="13"/>
      <c r="I76" s="13"/>
    </row>
    <row r="77" spans="2:9">
      <c r="B77" s="11"/>
      <c r="C77" s="12"/>
      <c r="D77" s="12"/>
      <c r="E77" s="11"/>
      <c r="F77" s="4"/>
      <c r="G77" s="12"/>
      <c r="H77" s="13"/>
      <c r="I77" s="13"/>
    </row>
    <row r="78" spans="2:9">
      <c r="B78" s="11"/>
      <c r="C78" s="12"/>
      <c r="D78" s="12"/>
      <c r="E78" s="11"/>
      <c r="F78" s="4"/>
      <c r="G78" s="12"/>
      <c r="H78" s="13"/>
      <c r="I78" s="13"/>
    </row>
    <row r="79" spans="2:9">
      <c r="B79" s="11"/>
      <c r="C79" s="12"/>
      <c r="D79" s="12"/>
      <c r="E79" s="11"/>
      <c r="F79" s="4"/>
      <c r="G79" s="12"/>
      <c r="H79" s="13"/>
      <c r="I79" s="13"/>
    </row>
    <row r="80" spans="2:9">
      <c r="B80" s="11"/>
      <c r="C80" s="12"/>
      <c r="D80" s="12"/>
      <c r="E80" s="11"/>
      <c r="F80" s="4"/>
      <c r="G80" s="12"/>
      <c r="H80" s="13"/>
      <c r="I80" s="13"/>
    </row>
    <row r="81" spans="2:9">
      <c r="B81" s="11"/>
      <c r="C81" s="12"/>
      <c r="D81" s="12"/>
      <c r="E81" s="11"/>
      <c r="F81" s="4"/>
      <c r="G81" s="12"/>
      <c r="H81" s="13"/>
      <c r="I81" s="13"/>
    </row>
    <row r="82" spans="2:9">
      <c r="B82" s="11"/>
      <c r="C82" s="12"/>
      <c r="D82" s="12"/>
      <c r="E82" s="11"/>
      <c r="F82" s="4"/>
      <c r="G82" s="12"/>
      <c r="H82" s="13"/>
      <c r="I82" s="13"/>
    </row>
    <row r="83" spans="2:9">
      <c r="B83" s="11"/>
      <c r="C83" s="12"/>
      <c r="D83" s="12"/>
      <c r="E83" s="11"/>
      <c r="F83" s="4"/>
      <c r="G83" s="12"/>
      <c r="H83" s="13"/>
      <c r="I83" s="13"/>
    </row>
    <row r="84" spans="2:9">
      <c r="B84" s="11"/>
      <c r="C84" s="12"/>
      <c r="D84" s="12"/>
      <c r="E84" s="11"/>
      <c r="F84" s="4"/>
      <c r="G84" s="12"/>
      <c r="H84" s="13"/>
      <c r="I84" s="13"/>
    </row>
    <row r="85" spans="2:9">
      <c r="B85" s="11"/>
      <c r="C85" s="12"/>
      <c r="D85" s="12"/>
      <c r="E85" s="11"/>
      <c r="F85" s="4"/>
      <c r="G85" s="12"/>
      <c r="H85" s="13"/>
      <c r="I85" s="13"/>
    </row>
    <row r="86" spans="2:9">
      <c r="B86" s="11"/>
      <c r="C86" s="12"/>
      <c r="D86" s="12"/>
      <c r="E86" s="11"/>
      <c r="F86" s="4"/>
      <c r="G86" s="12"/>
      <c r="H86" s="13"/>
      <c r="I86" s="13"/>
    </row>
    <row r="87" spans="2:9">
      <c r="B87" s="11"/>
      <c r="C87" s="12"/>
      <c r="D87" s="12"/>
      <c r="E87" s="11"/>
      <c r="F87" s="4"/>
      <c r="G87" s="12"/>
      <c r="H87" s="13"/>
      <c r="I87" s="13"/>
    </row>
    <row r="88" spans="2:9">
      <c r="B88" s="11"/>
      <c r="C88" s="12"/>
      <c r="D88" s="12"/>
      <c r="E88" s="11"/>
      <c r="F88" s="4"/>
      <c r="G88" s="12"/>
      <c r="H88" s="13"/>
      <c r="I88" s="13"/>
    </row>
    <row r="89" spans="2:9">
      <c r="B89" s="11"/>
      <c r="C89" s="12"/>
      <c r="D89" s="12"/>
      <c r="E89" s="11"/>
      <c r="F89" s="4"/>
      <c r="G89" s="12"/>
      <c r="H89" s="13"/>
      <c r="I89" s="13"/>
    </row>
    <row r="90" spans="2:9">
      <c r="B90" s="11"/>
      <c r="C90" s="12"/>
      <c r="D90" s="12"/>
      <c r="E90" s="11"/>
      <c r="F90" s="4"/>
      <c r="G90" s="12"/>
      <c r="H90" s="13"/>
      <c r="I90" s="13"/>
    </row>
    <row r="91" spans="2:9">
      <c r="B91" s="11"/>
      <c r="C91" s="12"/>
      <c r="D91" s="12"/>
      <c r="E91" s="11"/>
      <c r="F91" s="4"/>
      <c r="G91" s="12"/>
      <c r="H91" s="13"/>
      <c r="I91" s="13"/>
    </row>
    <row r="92" spans="2:9">
      <c r="B92" s="11"/>
      <c r="C92" s="12"/>
      <c r="D92" s="12"/>
      <c r="E92" s="11"/>
      <c r="F92" s="4"/>
      <c r="G92" s="12"/>
      <c r="H92" s="13"/>
      <c r="I92" s="13"/>
    </row>
    <row r="93" spans="2:9">
      <c r="B93" s="11"/>
      <c r="C93" s="12"/>
      <c r="D93" s="12"/>
      <c r="E93" s="11"/>
      <c r="F93" s="4"/>
      <c r="G93" s="12"/>
      <c r="H93" s="13"/>
      <c r="I93" s="13"/>
    </row>
    <row r="94" spans="2:9">
      <c r="B94" s="11"/>
      <c r="C94" s="12"/>
      <c r="D94" s="12"/>
      <c r="E94" s="11"/>
      <c r="F94" s="4"/>
      <c r="G94" s="12"/>
      <c r="H94" s="13"/>
      <c r="I94" s="13"/>
    </row>
    <row r="95" spans="2:9">
      <c r="B95" s="11"/>
      <c r="C95" s="12"/>
      <c r="D95" s="12"/>
      <c r="E95" s="11"/>
      <c r="F95" s="4"/>
      <c r="G95" s="12"/>
      <c r="H95" s="13"/>
      <c r="I95" s="13"/>
    </row>
    <row r="96" spans="2:9">
      <c r="B96" s="11"/>
      <c r="C96" s="12"/>
      <c r="D96" s="12"/>
      <c r="E96" s="11"/>
      <c r="G96" s="12"/>
      <c r="H96" s="13"/>
      <c r="I96" s="13"/>
    </row>
  </sheetData>
  <phoneticPr fontId="3" type="noConversion"/>
  <hyperlinks>
    <hyperlink ref="A1" location="目錄!A1" display="回到目錄"/>
  </hyperlinks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"/>
  <dimension ref="A1:M96"/>
  <sheetViews>
    <sheetView workbookViewId="0">
      <pane ySplit="1" topLeftCell="A2" activePane="bottomLeft" state="frozen"/>
      <selection activeCell="B1" sqref="B1"/>
      <selection pane="bottomLeft"/>
    </sheetView>
  </sheetViews>
  <sheetFormatPr defaultRowHeight="13.8"/>
  <cols>
    <col min="1" max="1" width="7.453125" style="1" customWidth="1"/>
    <col min="2" max="2" width="8.54296875" style="39" bestFit="1" customWidth="1"/>
    <col min="3" max="3" width="11" style="39" customWidth="1"/>
    <col min="4" max="4" width="10.08984375" style="39" bestFit="1" customWidth="1"/>
    <col min="5" max="5" width="24.26953125" style="39" bestFit="1" customWidth="1"/>
    <col min="6" max="6" width="11.54296875" style="39" bestFit="1" customWidth="1"/>
    <col min="7" max="7" width="10.6328125" style="39" bestFit="1" customWidth="1"/>
    <col min="8" max="8" width="7" style="39" bestFit="1" customWidth="1"/>
    <col min="9" max="9" width="10.36328125" style="39" bestFit="1" customWidth="1"/>
    <col min="10" max="10" width="7.453125" style="39" bestFit="1" customWidth="1"/>
    <col min="11" max="16384" width="8.7265625" style="1"/>
  </cols>
  <sheetData>
    <row r="1" spans="1:10">
      <c r="A1" s="63" t="s">
        <v>36</v>
      </c>
      <c r="B1" s="85" t="s">
        <v>171</v>
      </c>
      <c r="C1" s="85" t="s">
        <v>3728</v>
      </c>
      <c r="D1" s="85" t="s">
        <v>551</v>
      </c>
      <c r="E1" s="86" t="s">
        <v>552</v>
      </c>
      <c r="F1" s="86" t="s">
        <v>529</v>
      </c>
      <c r="G1" s="86" t="s">
        <v>0</v>
      </c>
      <c r="H1" s="86" t="s">
        <v>1</v>
      </c>
      <c r="I1" s="86" t="s">
        <v>19</v>
      </c>
      <c r="J1" s="87" t="s">
        <v>2</v>
      </c>
    </row>
    <row r="2" spans="1:10">
      <c r="A2" s="15"/>
      <c r="B2" s="60" t="s">
        <v>553</v>
      </c>
      <c r="C2" s="60" t="s">
        <v>154</v>
      </c>
      <c r="D2" s="83">
        <v>1</v>
      </c>
      <c r="E2" s="60" t="s">
        <v>3070</v>
      </c>
      <c r="F2" s="60" t="s">
        <v>3062</v>
      </c>
      <c r="G2" s="60"/>
      <c r="H2" s="84" t="s">
        <v>523</v>
      </c>
      <c r="I2" s="84"/>
      <c r="J2" s="84" t="s">
        <v>523</v>
      </c>
    </row>
    <row r="3" spans="1:10">
      <c r="A3" s="15"/>
      <c r="B3" s="60" t="s">
        <v>553</v>
      </c>
      <c r="C3" s="60" t="s">
        <v>154</v>
      </c>
      <c r="D3" s="39">
        <v>2</v>
      </c>
      <c r="E3" s="60" t="s">
        <v>3069</v>
      </c>
      <c r="F3" s="39" t="s">
        <v>3063</v>
      </c>
      <c r="H3" s="84" t="s">
        <v>523</v>
      </c>
      <c r="I3" s="84"/>
      <c r="J3" s="84" t="s">
        <v>523</v>
      </c>
    </row>
    <row r="4" spans="1:10">
      <c r="A4" s="15"/>
      <c r="B4" s="60" t="s">
        <v>553</v>
      </c>
      <c r="C4" s="60" t="s">
        <v>154</v>
      </c>
      <c r="D4" s="60">
        <v>3</v>
      </c>
      <c r="E4" s="60" t="s">
        <v>3071</v>
      </c>
      <c r="F4" s="60" t="s">
        <v>3064</v>
      </c>
      <c r="G4" s="60"/>
      <c r="H4" s="84" t="s">
        <v>523</v>
      </c>
      <c r="I4" s="84"/>
      <c r="J4" s="84" t="s">
        <v>523</v>
      </c>
    </row>
    <row r="5" spans="1:10">
      <c r="A5" s="15"/>
      <c r="B5" s="60" t="s">
        <v>553</v>
      </c>
      <c r="C5" s="60" t="s">
        <v>154</v>
      </c>
      <c r="D5" s="39">
        <v>4</v>
      </c>
      <c r="E5" s="60" t="s">
        <v>3072</v>
      </c>
      <c r="F5" s="39" t="s">
        <v>3065</v>
      </c>
      <c r="G5" s="60"/>
      <c r="H5" s="84" t="s">
        <v>523</v>
      </c>
      <c r="I5" s="84"/>
      <c r="J5" s="84" t="s">
        <v>523</v>
      </c>
    </row>
    <row r="6" spans="1:10">
      <c r="A6" s="15"/>
      <c r="B6" s="60" t="s">
        <v>553</v>
      </c>
      <c r="C6" s="60" t="s">
        <v>154</v>
      </c>
      <c r="D6" s="39">
        <v>5</v>
      </c>
      <c r="E6" s="60" t="s">
        <v>3073</v>
      </c>
      <c r="F6" s="60" t="s">
        <v>3066</v>
      </c>
      <c r="H6" s="84" t="s">
        <v>523</v>
      </c>
      <c r="I6" s="84"/>
      <c r="J6" s="84" t="s">
        <v>523</v>
      </c>
    </row>
    <row r="7" spans="1:10">
      <c r="A7" s="15"/>
      <c r="B7" s="60" t="s">
        <v>553</v>
      </c>
      <c r="C7" s="60" t="s">
        <v>154</v>
      </c>
      <c r="D7" s="60">
        <v>6</v>
      </c>
      <c r="E7" s="60" t="s">
        <v>3074</v>
      </c>
      <c r="F7" s="39" t="s">
        <v>3067</v>
      </c>
      <c r="G7" s="60"/>
      <c r="H7" s="84" t="s">
        <v>523</v>
      </c>
      <c r="I7" s="84"/>
      <c r="J7" s="84" t="s">
        <v>523</v>
      </c>
    </row>
    <row r="8" spans="1:10">
      <c r="B8" s="60" t="s">
        <v>184</v>
      </c>
      <c r="C8" s="60" t="s">
        <v>154</v>
      </c>
      <c r="D8" s="83">
        <v>1</v>
      </c>
      <c r="E8" s="60" t="s">
        <v>3075</v>
      </c>
      <c r="F8" s="60" t="s">
        <v>3062</v>
      </c>
      <c r="G8" s="60"/>
      <c r="H8" s="84" t="s">
        <v>523</v>
      </c>
      <c r="I8" s="84"/>
      <c r="J8" s="84" t="s">
        <v>523</v>
      </c>
    </row>
    <row r="9" spans="1:10">
      <c r="B9" s="60" t="s">
        <v>184</v>
      </c>
      <c r="C9" s="60" t="s">
        <v>154</v>
      </c>
      <c r="D9" s="39">
        <v>2</v>
      </c>
      <c r="E9" s="60" t="s">
        <v>3069</v>
      </c>
      <c r="F9" s="39" t="s">
        <v>3063</v>
      </c>
      <c r="H9" s="84" t="s">
        <v>523</v>
      </c>
      <c r="I9" s="84"/>
      <c r="J9" s="84" t="s">
        <v>523</v>
      </c>
    </row>
    <row r="10" spans="1:10">
      <c r="B10" s="60" t="s">
        <v>184</v>
      </c>
      <c r="C10" s="60" t="s">
        <v>154</v>
      </c>
      <c r="D10" s="60">
        <v>3</v>
      </c>
      <c r="E10" s="60" t="s">
        <v>3071</v>
      </c>
      <c r="F10" s="60" t="s">
        <v>3064</v>
      </c>
      <c r="G10" s="60"/>
      <c r="H10" s="84" t="s">
        <v>523</v>
      </c>
      <c r="I10" s="84"/>
      <c r="J10" s="84" t="s">
        <v>523</v>
      </c>
    </row>
    <row r="11" spans="1:10">
      <c r="B11" s="60" t="s">
        <v>184</v>
      </c>
      <c r="C11" s="60" t="s">
        <v>154</v>
      </c>
      <c r="D11" s="39">
        <v>4</v>
      </c>
      <c r="E11" s="60" t="s">
        <v>3076</v>
      </c>
      <c r="F11" s="39" t="s">
        <v>3065</v>
      </c>
      <c r="G11" s="60"/>
      <c r="H11" s="84" t="s">
        <v>523</v>
      </c>
      <c r="I11" s="84"/>
      <c r="J11" s="84" t="s">
        <v>523</v>
      </c>
    </row>
    <row r="12" spans="1:10">
      <c r="B12" s="60" t="s">
        <v>3047</v>
      </c>
      <c r="C12" s="60" t="s">
        <v>154</v>
      </c>
      <c r="D12" s="83">
        <v>1</v>
      </c>
      <c r="E12" s="60" t="s">
        <v>3070</v>
      </c>
      <c r="F12" s="60" t="s">
        <v>3062</v>
      </c>
      <c r="G12" s="60"/>
      <c r="H12" s="84" t="s">
        <v>523</v>
      </c>
      <c r="I12" s="84"/>
      <c r="J12" s="84" t="s">
        <v>523</v>
      </c>
    </row>
    <row r="13" spans="1:10">
      <c r="B13" s="60" t="s">
        <v>3047</v>
      </c>
      <c r="C13" s="60" t="s">
        <v>154</v>
      </c>
      <c r="D13" s="39">
        <v>2</v>
      </c>
      <c r="E13" s="60" t="s">
        <v>3069</v>
      </c>
      <c r="F13" s="39" t="s">
        <v>3063</v>
      </c>
      <c r="G13" s="60"/>
      <c r="H13" s="84" t="s">
        <v>523</v>
      </c>
      <c r="I13" s="84"/>
      <c r="J13" s="84" t="s">
        <v>523</v>
      </c>
    </row>
    <row r="14" spans="1:10">
      <c r="B14" s="60" t="s">
        <v>3047</v>
      </c>
      <c r="C14" s="60" t="s">
        <v>154</v>
      </c>
      <c r="D14" s="60">
        <v>3</v>
      </c>
      <c r="E14" s="60" t="s">
        <v>3071</v>
      </c>
      <c r="F14" s="60" t="s">
        <v>3064</v>
      </c>
      <c r="G14" s="60"/>
      <c r="H14" s="84" t="s">
        <v>523</v>
      </c>
      <c r="I14" s="84"/>
      <c r="J14" s="84" t="s">
        <v>523</v>
      </c>
    </row>
    <row r="15" spans="1:10">
      <c r="B15" s="60" t="s">
        <v>3047</v>
      </c>
      <c r="C15" s="60" t="s">
        <v>154</v>
      </c>
      <c r="D15" s="39">
        <v>4</v>
      </c>
      <c r="E15" s="60" t="s">
        <v>3072</v>
      </c>
      <c r="F15" s="39" t="s">
        <v>3065</v>
      </c>
      <c r="G15" s="60"/>
      <c r="H15" s="84" t="s">
        <v>523</v>
      </c>
      <c r="I15" s="84"/>
      <c r="J15" s="84" t="s">
        <v>523</v>
      </c>
    </row>
    <row r="16" spans="1:10">
      <c r="B16" s="60" t="s">
        <v>3047</v>
      </c>
      <c r="C16" s="60" t="s">
        <v>154</v>
      </c>
      <c r="D16" s="39">
        <v>5</v>
      </c>
      <c r="E16" s="60" t="s">
        <v>3073</v>
      </c>
      <c r="F16" s="60" t="s">
        <v>3066</v>
      </c>
      <c r="G16" s="60"/>
      <c r="H16" s="84" t="s">
        <v>523</v>
      </c>
      <c r="I16" s="84"/>
      <c r="J16" s="84" t="s">
        <v>523</v>
      </c>
    </row>
    <row r="17" spans="2:13">
      <c r="B17" s="60" t="s">
        <v>3047</v>
      </c>
      <c r="C17" s="60" t="s">
        <v>154</v>
      </c>
      <c r="D17" s="60">
        <v>6</v>
      </c>
      <c r="E17" s="60" t="s">
        <v>3074</v>
      </c>
      <c r="F17" s="39" t="s">
        <v>3067</v>
      </c>
      <c r="G17" s="60"/>
      <c r="H17" s="84" t="s">
        <v>523</v>
      </c>
      <c r="I17" s="84"/>
      <c r="J17" s="84" t="s">
        <v>523</v>
      </c>
    </row>
    <row r="18" spans="2:13">
      <c r="B18" s="60" t="s">
        <v>3048</v>
      </c>
      <c r="C18" s="60" t="s">
        <v>154</v>
      </c>
      <c r="D18" s="39">
        <v>5</v>
      </c>
      <c r="E18" s="60" t="s">
        <v>3078</v>
      </c>
      <c r="F18" s="39" t="s">
        <v>3114</v>
      </c>
      <c r="G18" s="60"/>
      <c r="H18" s="84" t="s">
        <v>523</v>
      </c>
      <c r="I18" s="84"/>
      <c r="J18" s="84" t="s">
        <v>523</v>
      </c>
      <c r="M18" s="106"/>
    </row>
    <row r="19" spans="2:13">
      <c r="B19" s="60" t="s">
        <v>3048</v>
      </c>
      <c r="C19" s="60" t="s">
        <v>154</v>
      </c>
      <c r="D19" s="39">
        <v>6</v>
      </c>
      <c r="E19" s="60" t="s">
        <v>3079</v>
      </c>
      <c r="F19" s="39" t="s">
        <v>3114</v>
      </c>
      <c r="G19" s="60"/>
      <c r="H19" s="84" t="s">
        <v>523</v>
      </c>
      <c r="I19" s="84"/>
      <c r="J19" s="84" t="s">
        <v>523</v>
      </c>
      <c r="M19" s="106"/>
    </row>
    <row r="20" spans="2:13">
      <c r="B20" s="60" t="s">
        <v>3048</v>
      </c>
      <c r="C20" s="60" t="s">
        <v>154</v>
      </c>
      <c r="D20" s="39">
        <v>7</v>
      </c>
      <c r="E20" s="60" t="s">
        <v>3080</v>
      </c>
      <c r="F20" s="39" t="s">
        <v>3114</v>
      </c>
      <c r="G20" s="60"/>
      <c r="H20" s="84" t="s">
        <v>523</v>
      </c>
      <c r="I20" s="84"/>
      <c r="J20" s="84" t="s">
        <v>523</v>
      </c>
      <c r="M20" s="106"/>
    </row>
    <row r="21" spans="2:13">
      <c r="B21" s="60" t="s">
        <v>3048</v>
      </c>
      <c r="C21" s="60" t="s">
        <v>154</v>
      </c>
      <c r="D21" s="39">
        <v>8</v>
      </c>
      <c r="E21" s="60" t="s">
        <v>3081</v>
      </c>
      <c r="F21" s="39" t="s">
        <v>3114</v>
      </c>
      <c r="G21" s="60"/>
      <c r="H21" s="84" t="s">
        <v>523</v>
      </c>
      <c r="I21" s="84"/>
      <c r="J21" s="84" t="s">
        <v>523</v>
      </c>
      <c r="M21" s="106"/>
    </row>
    <row r="22" spans="2:13">
      <c r="B22" s="60" t="s">
        <v>3048</v>
      </c>
      <c r="C22" s="60" t="s">
        <v>154</v>
      </c>
      <c r="D22" s="39">
        <v>9</v>
      </c>
      <c r="E22" s="60" t="s">
        <v>3082</v>
      </c>
      <c r="F22" s="39" t="s">
        <v>3114</v>
      </c>
      <c r="G22" s="60"/>
      <c r="H22" s="84" t="s">
        <v>523</v>
      </c>
      <c r="I22" s="84"/>
      <c r="J22" s="84" t="s">
        <v>523</v>
      </c>
      <c r="M22" s="106"/>
    </row>
    <row r="23" spans="2:13">
      <c r="B23" s="60" t="s">
        <v>3048</v>
      </c>
      <c r="C23" s="60" t="s">
        <v>154</v>
      </c>
      <c r="D23" s="39">
        <v>10</v>
      </c>
      <c r="E23" s="60" t="s">
        <v>3083</v>
      </c>
      <c r="F23" s="39" t="s">
        <v>3114</v>
      </c>
      <c r="G23" s="60"/>
      <c r="H23" s="84" t="s">
        <v>523</v>
      </c>
      <c r="I23" s="84"/>
      <c r="J23" s="84" t="s">
        <v>523</v>
      </c>
      <c r="M23" s="106"/>
    </row>
    <row r="24" spans="2:13">
      <c r="B24" s="60" t="s">
        <v>3048</v>
      </c>
      <c r="C24" s="60" t="s">
        <v>154</v>
      </c>
      <c r="D24" s="39">
        <v>11</v>
      </c>
      <c r="E24" s="60" t="s">
        <v>3084</v>
      </c>
      <c r="F24" s="39" t="s">
        <v>3114</v>
      </c>
      <c r="G24" s="60"/>
      <c r="H24" s="84" t="s">
        <v>523</v>
      </c>
      <c r="I24" s="84"/>
      <c r="J24" s="84" t="s">
        <v>523</v>
      </c>
      <c r="M24" s="106"/>
    </row>
    <row r="25" spans="2:13">
      <c r="B25" s="60" t="s">
        <v>3048</v>
      </c>
      <c r="C25" s="60" t="s">
        <v>154</v>
      </c>
      <c r="D25" s="39">
        <v>12</v>
      </c>
      <c r="E25" s="60" t="s">
        <v>3085</v>
      </c>
      <c r="F25" s="39" t="s">
        <v>3114</v>
      </c>
      <c r="G25" s="60"/>
      <c r="H25" s="84" t="s">
        <v>523</v>
      </c>
      <c r="I25" s="84"/>
      <c r="J25" s="84" t="s">
        <v>523</v>
      </c>
      <c r="M25" s="106"/>
    </row>
    <row r="26" spans="2:13">
      <c r="B26" s="60" t="s">
        <v>3048</v>
      </c>
      <c r="C26" s="60" t="s">
        <v>154</v>
      </c>
      <c r="D26" s="39">
        <v>13</v>
      </c>
      <c r="E26" s="60" t="s">
        <v>3086</v>
      </c>
      <c r="F26" s="39" t="s">
        <v>3114</v>
      </c>
      <c r="G26" s="60"/>
      <c r="H26" s="84" t="s">
        <v>523</v>
      </c>
      <c r="I26" s="84"/>
      <c r="J26" s="84" t="s">
        <v>523</v>
      </c>
      <c r="M26" s="106"/>
    </row>
    <row r="27" spans="2:13">
      <c r="B27" s="60" t="s">
        <v>3048</v>
      </c>
      <c r="C27" s="60" t="s">
        <v>154</v>
      </c>
      <c r="D27" s="39">
        <v>14</v>
      </c>
      <c r="E27" s="60" t="s">
        <v>3087</v>
      </c>
      <c r="F27" s="39" t="s">
        <v>3114</v>
      </c>
      <c r="G27" s="60"/>
      <c r="H27" s="84" t="s">
        <v>523</v>
      </c>
      <c r="I27" s="84"/>
      <c r="J27" s="84" t="s">
        <v>523</v>
      </c>
      <c r="M27" s="106"/>
    </row>
    <row r="28" spans="2:13">
      <c r="B28" s="60" t="s">
        <v>3048</v>
      </c>
      <c r="C28" s="60" t="s">
        <v>154</v>
      </c>
      <c r="D28" s="39">
        <v>15</v>
      </c>
      <c r="E28" s="60" t="s">
        <v>3088</v>
      </c>
      <c r="F28" s="39" t="s">
        <v>3114</v>
      </c>
      <c r="G28" s="60"/>
      <c r="H28" s="84" t="s">
        <v>523</v>
      </c>
      <c r="I28" s="84"/>
      <c r="J28" s="84" t="s">
        <v>523</v>
      </c>
      <c r="M28" s="106"/>
    </row>
    <row r="29" spans="2:13">
      <c r="B29" s="60" t="s">
        <v>3048</v>
      </c>
      <c r="C29" s="60" t="s">
        <v>154</v>
      </c>
      <c r="D29" s="39">
        <v>16</v>
      </c>
      <c r="E29" s="60" t="s">
        <v>3089</v>
      </c>
      <c r="F29" s="39" t="s">
        <v>3114</v>
      </c>
      <c r="G29" s="60"/>
      <c r="H29" s="84" t="s">
        <v>523</v>
      </c>
      <c r="I29" s="84"/>
      <c r="J29" s="84" t="s">
        <v>523</v>
      </c>
      <c r="M29" s="106"/>
    </row>
    <row r="30" spans="2:13">
      <c r="B30" s="60" t="s">
        <v>3048</v>
      </c>
      <c r="C30" s="60" t="s">
        <v>154</v>
      </c>
      <c r="D30" s="39">
        <v>17</v>
      </c>
      <c r="E30" s="60" t="s">
        <v>3090</v>
      </c>
      <c r="F30" s="39" t="s">
        <v>3114</v>
      </c>
      <c r="G30" s="60"/>
      <c r="H30" s="84" t="s">
        <v>523</v>
      </c>
      <c r="I30" s="84"/>
      <c r="J30" s="84" t="s">
        <v>523</v>
      </c>
      <c r="M30" s="106"/>
    </row>
    <row r="31" spans="2:13">
      <c r="B31" s="60" t="s">
        <v>3048</v>
      </c>
      <c r="C31" s="60" t="s">
        <v>154</v>
      </c>
      <c r="D31" s="39">
        <v>18</v>
      </c>
      <c r="E31" s="60" t="s">
        <v>3091</v>
      </c>
      <c r="F31" s="39" t="s">
        <v>3114</v>
      </c>
      <c r="G31" s="60"/>
      <c r="H31" s="84" t="s">
        <v>523</v>
      </c>
      <c r="I31" s="84"/>
      <c r="J31" s="84" t="s">
        <v>523</v>
      </c>
      <c r="M31" s="106"/>
    </row>
    <row r="32" spans="2:13">
      <c r="B32" s="60" t="s">
        <v>3048</v>
      </c>
      <c r="C32" s="60" t="s">
        <v>154</v>
      </c>
      <c r="D32" s="39">
        <v>19</v>
      </c>
      <c r="E32" s="60" t="s">
        <v>3092</v>
      </c>
      <c r="F32" s="39" t="s">
        <v>3114</v>
      </c>
      <c r="G32" s="60"/>
      <c r="H32" s="84" t="s">
        <v>523</v>
      </c>
      <c r="I32" s="84"/>
      <c r="J32" s="84" t="s">
        <v>523</v>
      </c>
      <c r="M32" s="106"/>
    </row>
    <row r="33" spans="2:13">
      <c r="B33" s="60" t="s">
        <v>3048</v>
      </c>
      <c r="C33" s="60" t="s">
        <v>154</v>
      </c>
      <c r="D33" s="39">
        <v>20</v>
      </c>
      <c r="E33" s="60" t="s">
        <v>3093</v>
      </c>
      <c r="F33" s="39" t="s">
        <v>3114</v>
      </c>
      <c r="G33" s="60"/>
      <c r="H33" s="84" t="s">
        <v>523</v>
      </c>
      <c r="I33" s="84"/>
      <c r="J33" s="84" t="s">
        <v>523</v>
      </c>
      <c r="M33" s="106"/>
    </row>
    <row r="34" spans="2:13">
      <c r="B34" s="60" t="s">
        <v>3048</v>
      </c>
      <c r="C34" s="60" t="s">
        <v>154</v>
      </c>
      <c r="D34" s="39">
        <v>21</v>
      </c>
      <c r="E34" s="60" t="s">
        <v>3094</v>
      </c>
      <c r="F34" s="39" t="s">
        <v>3114</v>
      </c>
      <c r="G34" s="60"/>
      <c r="H34" s="84" t="s">
        <v>523</v>
      </c>
      <c r="I34" s="84"/>
      <c r="J34" s="84" t="s">
        <v>523</v>
      </c>
      <c r="M34" s="106"/>
    </row>
    <row r="35" spans="2:13">
      <c r="B35" s="60" t="s">
        <v>3048</v>
      </c>
      <c r="C35" s="60" t="s">
        <v>154</v>
      </c>
      <c r="D35" s="39">
        <v>22</v>
      </c>
      <c r="E35" s="60" t="s">
        <v>3095</v>
      </c>
      <c r="F35" s="39" t="s">
        <v>3114</v>
      </c>
      <c r="G35" s="60"/>
      <c r="H35" s="84" t="s">
        <v>523</v>
      </c>
      <c r="I35" s="84"/>
      <c r="J35" s="84" t="s">
        <v>523</v>
      </c>
      <c r="M35" s="106"/>
    </row>
    <row r="36" spans="2:13">
      <c r="B36" s="60" t="s">
        <v>3048</v>
      </c>
      <c r="C36" s="60" t="s">
        <v>154</v>
      </c>
      <c r="D36" s="39">
        <v>23</v>
      </c>
      <c r="E36" s="60" t="s">
        <v>3096</v>
      </c>
      <c r="F36" s="39" t="s">
        <v>3114</v>
      </c>
      <c r="G36" s="60"/>
      <c r="H36" s="84" t="s">
        <v>523</v>
      </c>
      <c r="I36" s="84"/>
      <c r="J36" s="84" t="s">
        <v>523</v>
      </c>
      <c r="M36" s="106"/>
    </row>
    <row r="37" spans="2:13">
      <c r="B37" s="60" t="s">
        <v>3048</v>
      </c>
      <c r="C37" s="60" t="s">
        <v>154</v>
      </c>
      <c r="D37" s="39">
        <v>24</v>
      </c>
      <c r="E37" s="60" t="s">
        <v>3097</v>
      </c>
      <c r="F37" s="39" t="s">
        <v>3114</v>
      </c>
      <c r="G37" s="60"/>
      <c r="H37" s="84" t="s">
        <v>523</v>
      </c>
      <c r="I37" s="84"/>
      <c r="J37" s="84" t="s">
        <v>523</v>
      </c>
      <c r="M37" s="106"/>
    </row>
    <row r="38" spans="2:13">
      <c r="B38" s="60" t="s">
        <v>3048</v>
      </c>
      <c r="C38" s="60" t="s">
        <v>154</v>
      </c>
      <c r="D38" s="39">
        <v>25</v>
      </c>
      <c r="E38" s="60" t="s">
        <v>3098</v>
      </c>
      <c r="F38" s="39" t="s">
        <v>3114</v>
      </c>
      <c r="G38" s="60"/>
      <c r="H38" s="84" t="s">
        <v>523</v>
      </c>
      <c r="I38" s="84"/>
      <c r="J38" s="84" t="s">
        <v>523</v>
      </c>
      <c r="M38" s="106"/>
    </row>
    <row r="39" spans="2:13">
      <c r="B39" s="60" t="s">
        <v>3048</v>
      </c>
      <c r="C39" s="60" t="s">
        <v>154</v>
      </c>
      <c r="D39" s="39">
        <v>26</v>
      </c>
      <c r="E39" s="60" t="s">
        <v>3099</v>
      </c>
      <c r="F39" s="39" t="s">
        <v>3114</v>
      </c>
      <c r="G39" s="60"/>
      <c r="H39" s="84" t="s">
        <v>523</v>
      </c>
      <c r="I39" s="84"/>
      <c r="J39" s="84" t="s">
        <v>523</v>
      </c>
      <c r="M39" s="106"/>
    </row>
    <row r="40" spans="2:13">
      <c r="B40" s="60" t="s">
        <v>3048</v>
      </c>
      <c r="C40" s="60" t="s">
        <v>154</v>
      </c>
      <c r="D40" s="39">
        <v>27</v>
      </c>
      <c r="E40" s="60" t="s">
        <v>3100</v>
      </c>
      <c r="F40" s="39" t="s">
        <v>3114</v>
      </c>
      <c r="G40" s="60"/>
      <c r="H40" s="84" t="s">
        <v>523</v>
      </c>
      <c r="I40" s="84"/>
      <c r="J40" s="84" t="s">
        <v>523</v>
      </c>
      <c r="M40" s="106"/>
    </row>
    <row r="41" spans="2:13">
      <c r="B41" s="60" t="s">
        <v>3048</v>
      </c>
      <c r="C41" s="60" t="s">
        <v>154</v>
      </c>
      <c r="D41" s="39">
        <v>28</v>
      </c>
      <c r="E41" s="60" t="s">
        <v>3101</v>
      </c>
      <c r="F41" s="39" t="s">
        <v>3114</v>
      </c>
      <c r="G41" s="60"/>
      <c r="H41" s="84" t="s">
        <v>523</v>
      </c>
      <c r="I41" s="84"/>
      <c r="J41" s="84" t="s">
        <v>523</v>
      </c>
      <c r="M41" s="106"/>
    </row>
    <row r="42" spans="2:13">
      <c r="B42" s="60" t="s">
        <v>3048</v>
      </c>
      <c r="C42" s="60" t="s">
        <v>154</v>
      </c>
      <c r="D42" s="39">
        <v>29</v>
      </c>
      <c r="E42" s="60" t="s">
        <v>3102</v>
      </c>
      <c r="F42" s="39" t="s">
        <v>3114</v>
      </c>
      <c r="G42" s="60"/>
      <c r="H42" s="84" t="s">
        <v>523</v>
      </c>
      <c r="I42" s="84"/>
      <c r="J42" s="84" t="s">
        <v>523</v>
      </c>
      <c r="M42" s="106"/>
    </row>
    <row r="43" spans="2:13">
      <c r="B43" s="60" t="s">
        <v>3048</v>
      </c>
      <c r="C43" s="60" t="s">
        <v>154</v>
      </c>
      <c r="D43" s="39">
        <v>30</v>
      </c>
      <c r="E43" s="60" t="s">
        <v>3103</v>
      </c>
      <c r="F43" s="39" t="s">
        <v>3114</v>
      </c>
      <c r="G43" s="60"/>
      <c r="H43" s="84" t="s">
        <v>523</v>
      </c>
      <c r="I43" s="84"/>
      <c r="J43" s="84" t="s">
        <v>523</v>
      </c>
      <c r="M43" s="106"/>
    </row>
    <row r="44" spans="2:13">
      <c r="B44" s="60" t="s">
        <v>3048</v>
      </c>
      <c r="C44" s="60" t="s">
        <v>154</v>
      </c>
      <c r="D44" s="39">
        <v>31</v>
      </c>
      <c r="E44" s="60" t="s">
        <v>3104</v>
      </c>
      <c r="F44" s="39" t="s">
        <v>3114</v>
      </c>
      <c r="G44" s="60"/>
      <c r="H44" s="84" t="s">
        <v>523</v>
      </c>
      <c r="I44" s="84"/>
      <c r="J44" s="84" t="s">
        <v>523</v>
      </c>
      <c r="M44" s="106"/>
    </row>
    <row r="45" spans="2:13">
      <c r="B45" s="60" t="s">
        <v>3048</v>
      </c>
      <c r="C45" s="60" t="s">
        <v>154</v>
      </c>
      <c r="D45" s="39">
        <v>32</v>
      </c>
      <c r="E45" s="60" t="s">
        <v>3105</v>
      </c>
      <c r="F45" s="39" t="s">
        <v>3114</v>
      </c>
      <c r="G45" s="60"/>
      <c r="H45" s="84" t="s">
        <v>523</v>
      </c>
      <c r="I45" s="84"/>
      <c r="J45" s="84" t="s">
        <v>523</v>
      </c>
      <c r="M45" s="106"/>
    </row>
    <row r="46" spans="2:13">
      <c r="B46" s="60" t="s">
        <v>3048</v>
      </c>
      <c r="C46" s="60" t="s">
        <v>154</v>
      </c>
      <c r="D46" s="39">
        <v>33</v>
      </c>
      <c r="E46" s="60" t="s">
        <v>3106</v>
      </c>
      <c r="F46" s="39" t="s">
        <v>3114</v>
      </c>
      <c r="G46" s="60"/>
      <c r="H46" s="84" t="s">
        <v>523</v>
      </c>
      <c r="I46" s="84"/>
      <c r="J46" s="84" t="s">
        <v>523</v>
      </c>
      <c r="M46" s="106"/>
    </row>
    <row r="47" spans="2:13">
      <c r="B47" s="60" t="s">
        <v>3048</v>
      </c>
      <c r="C47" s="60" t="s">
        <v>154</v>
      </c>
      <c r="D47" s="39">
        <v>34</v>
      </c>
      <c r="E47" s="60" t="s">
        <v>3107</v>
      </c>
      <c r="F47" s="39" t="s">
        <v>3114</v>
      </c>
      <c r="G47" s="60"/>
      <c r="H47" s="84" t="s">
        <v>523</v>
      </c>
      <c r="I47" s="84"/>
      <c r="J47" s="84" t="s">
        <v>523</v>
      </c>
      <c r="M47" s="106"/>
    </row>
    <row r="48" spans="2:13">
      <c r="B48" s="60" t="s">
        <v>3048</v>
      </c>
      <c r="C48" s="60" t="s">
        <v>154</v>
      </c>
      <c r="D48" s="39">
        <v>35</v>
      </c>
      <c r="E48" s="60" t="s">
        <v>3108</v>
      </c>
      <c r="F48" s="39" t="s">
        <v>3114</v>
      </c>
      <c r="G48" s="60"/>
      <c r="H48" s="84" t="s">
        <v>523</v>
      </c>
      <c r="I48" s="84"/>
      <c r="J48" s="84" t="s">
        <v>523</v>
      </c>
      <c r="M48" s="106"/>
    </row>
    <row r="49" spans="2:13">
      <c r="B49" s="60" t="s">
        <v>3048</v>
      </c>
      <c r="C49" s="60" t="s">
        <v>154</v>
      </c>
      <c r="D49" s="39">
        <v>36</v>
      </c>
      <c r="E49" s="60" t="s">
        <v>3109</v>
      </c>
      <c r="F49" s="39" t="s">
        <v>3114</v>
      </c>
      <c r="G49" s="60"/>
      <c r="H49" s="84" t="s">
        <v>523</v>
      </c>
      <c r="I49" s="84"/>
      <c r="J49" s="84" t="s">
        <v>523</v>
      </c>
      <c r="M49" s="106"/>
    </row>
    <row r="50" spans="2:13">
      <c r="B50" s="60" t="s">
        <v>3048</v>
      </c>
      <c r="C50" s="60" t="s">
        <v>154</v>
      </c>
      <c r="D50" s="39">
        <v>37</v>
      </c>
      <c r="E50" s="60" t="s">
        <v>3110</v>
      </c>
      <c r="F50" s="39" t="s">
        <v>3114</v>
      </c>
      <c r="G50" s="60"/>
      <c r="H50" s="84" t="s">
        <v>523</v>
      </c>
      <c r="I50" s="84"/>
      <c r="J50" s="84" t="s">
        <v>523</v>
      </c>
      <c r="M50" s="106"/>
    </row>
    <row r="51" spans="2:13">
      <c r="B51" s="60" t="s">
        <v>3048</v>
      </c>
      <c r="C51" s="60" t="s">
        <v>154</v>
      </c>
      <c r="D51" s="39">
        <v>38</v>
      </c>
      <c r="E51" s="60" t="s">
        <v>3111</v>
      </c>
      <c r="F51" s="39" t="s">
        <v>3114</v>
      </c>
      <c r="G51" s="60"/>
      <c r="H51" s="84" t="s">
        <v>523</v>
      </c>
      <c r="I51" s="84"/>
      <c r="J51" s="84" t="s">
        <v>523</v>
      </c>
      <c r="M51" s="106"/>
    </row>
    <row r="52" spans="2:13">
      <c r="B52" s="60" t="s">
        <v>3048</v>
      </c>
      <c r="C52" s="60" t="s">
        <v>154</v>
      </c>
      <c r="D52" s="39">
        <v>39</v>
      </c>
      <c r="E52" s="60" t="s">
        <v>3112</v>
      </c>
      <c r="F52" s="39" t="s">
        <v>3114</v>
      </c>
      <c r="G52" s="60"/>
      <c r="H52" s="84" t="s">
        <v>523</v>
      </c>
      <c r="I52" s="84"/>
      <c r="J52" s="84" t="s">
        <v>523</v>
      </c>
      <c r="M52" s="106"/>
    </row>
    <row r="53" spans="2:13">
      <c r="B53" s="60" t="s">
        <v>3048</v>
      </c>
      <c r="C53" s="60" t="s">
        <v>154</v>
      </c>
      <c r="D53" s="39">
        <v>40</v>
      </c>
      <c r="E53" s="60" t="s">
        <v>3113</v>
      </c>
      <c r="F53" s="39" t="s">
        <v>3114</v>
      </c>
      <c r="G53" s="60"/>
      <c r="H53" s="84" t="s">
        <v>523</v>
      </c>
      <c r="I53" s="84"/>
      <c r="J53" s="84" t="s">
        <v>523</v>
      </c>
      <c r="M53" s="106"/>
    </row>
    <row r="54" spans="2:13">
      <c r="B54" s="60" t="s">
        <v>3049</v>
      </c>
      <c r="C54" s="60" t="s">
        <v>3050</v>
      </c>
      <c r="D54" s="39">
        <v>2</v>
      </c>
      <c r="E54" s="60" t="s">
        <v>3052</v>
      </c>
      <c r="F54" s="39" t="s">
        <v>3063</v>
      </c>
      <c r="G54" s="60"/>
      <c r="H54" s="84" t="s">
        <v>523</v>
      </c>
      <c r="I54" s="84"/>
      <c r="J54" s="84" t="s">
        <v>523</v>
      </c>
    </row>
    <row r="55" spans="2:13">
      <c r="B55" s="60" t="s">
        <v>3049</v>
      </c>
      <c r="C55" s="60" t="s">
        <v>3050</v>
      </c>
      <c r="D55" s="39">
        <v>3</v>
      </c>
      <c r="E55" s="60" t="s">
        <v>3053</v>
      </c>
      <c r="F55" s="39" t="s">
        <v>3064</v>
      </c>
      <c r="G55" s="60"/>
      <c r="H55" s="84" t="s">
        <v>523</v>
      </c>
      <c r="I55" s="84"/>
      <c r="J55" s="84" t="s">
        <v>523</v>
      </c>
    </row>
    <row r="56" spans="2:13">
      <c r="B56" s="60" t="s">
        <v>3049</v>
      </c>
      <c r="C56" s="60" t="s">
        <v>3050</v>
      </c>
      <c r="D56" s="39">
        <v>4</v>
      </c>
      <c r="E56" s="60" t="s">
        <v>3054</v>
      </c>
      <c r="F56" s="39" t="s">
        <v>3065</v>
      </c>
      <c r="G56" s="60"/>
      <c r="H56" s="84" t="s">
        <v>523</v>
      </c>
      <c r="I56" s="84"/>
      <c r="J56" s="84" t="s">
        <v>523</v>
      </c>
    </row>
    <row r="57" spans="2:13">
      <c r="B57" s="60" t="s">
        <v>3049</v>
      </c>
      <c r="C57" s="60" t="s">
        <v>3050</v>
      </c>
      <c r="D57" s="39">
        <v>5</v>
      </c>
      <c r="E57" s="60" t="s">
        <v>3055</v>
      </c>
      <c r="F57" s="39" t="s">
        <v>3066</v>
      </c>
      <c r="G57" s="60"/>
      <c r="H57" s="84" t="s">
        <v>523</v>
      </c>
      <c r="I57" s="84"/>
      <c r="J57" s="84" t="s">
        <v>523</v>
      </c>
    </row>
    <row r="58" spans="2:13">
      <c r="B58" s="60" t="s">
        <v>3049</v>
      </c>
      <c r="C58" s="60" t="s">
        <v>3050</v>
      </c>
      <c r="D58" s="39">
        <v>6</v>
      </c>
      <c r="E58" s="60" t="s">
        <v>3056</v>
      </c>
      <c r="F58" s="39" t="s">
        <v>3067</v>
      </c>
      <c r="G58" s="60"/>
      <c r="H58" s="84" t="s">
        <v>523</v>
      </c>
      <c r="I58" s="84"/>
      <c r="J58" s="84" t="s">
        <v>523</v>
      </c>
    </row>
    <row r="59" spans="2:13">
      <c r="B59" s="60" t="s">
        <v>3049</v>
      </c>
      <c r="C59" s="60" t="s">
        <v>3050</v>
      </c>
      <c r="D59" s="39">
        <v>8</v>
      </c>
      <c r="E59" s="60" t="s">
        <v>3057</v>
      </c>
      <c r="F59" s="39" t="s">
        <v>3068</v>
      </c>
      <c r="G59" s="60"/>
      <c r="H59" s="84" t="s">
        <v>523</v>
      </c>
      <c r="I59" s="84"/>
      <c r="J59" s="84" t="s">
        <v>523</v>
      </c>
    </row>
    <row r="60" spans="2:13">
      <c r="B60" s="39" t="s">
        <v>554</v>
      </c>
      <c r="C60" s="60" t="s">
        <v>154</v>
      </c>
      <c r="D60" s="60">
        <v>3</v>
      </c>
      <c r="E60" s="60" t="s">
        <v>3116</v>
      </c>
      <c r="F60" s="60" t="s">
        <v>555</v>
      </c>
      <c r="G60" s="60"/>
      <c r="H60" s="84" t="s">
        <v>523</v>
      </c>
      <c r="I60" s="84"/>
      <c r="J60" s="84" t="s">
        <v>523</v>
      </c>
    </row>
    <row r="61" spans="2:13">
      <c r="B61" s="39" t="s">
        <v>554</v>
      </c>
      <c r="C61" s="60" t="s">
        <v>154</v>
      </c>
      <c r="D61" s="60">
        <v>4</v>
      </c>
      <c r="E61" s="60" t="s">
        <v>3117</v>
      </c>
      <c r="F61" s="60" t="s">
        <v>556</v>
      </c>
      <c r="G61" s="60"/>
      <c r="H61" s="84" t="s">
        <v>523</v>
      </c>
      <c r="I61" s="84"/>
      <c r="J61" s="84" t="s">
        <v>523</v>
      </c>
    </row>
    <row r="62" spans="2:13">
      <c r="B62" s="39" t="s">
        <v>177</v>
      </c>
      <c r="C62" s="60" t="s">
        <v>154</v>
      </c>
      <c r="D62" s="60">
        <v>5</v>
      </c>
      <c r="E62" s="60" t="s">
        <v>3078</v>
      </c>
      <c r="F62" s="60" t="s">
        <v>555</v>
      </c>
      <c r="G62" s="60"/>
      <c r="H62" s="84" t="s">
        <v>523</v>
      </c>
      <c r="I62" s="84"/>
      <c r="J62" s="84" t="s">
        <v>523</v>
      </c>
    </row>
    <row r="63" spans="2:13">
      <c r="B63" s="39" t="s">
        <v>177</v>
      </c>
      <c r="C63" s="60" t="s">
        <v>154</v>
      </c>
      <c r="D63" s="60">
        <v>6</v>
      </c>
      <c r="E63" s="60" t="s">
        <v>3079</v>
      </c>
      <c r="F63" s="60" t="s">
        <v>556</v>
      </c>
      <c r="G63" s="60"/>
      <c r="H63" s="84" t="s">
        <v>523</v>
      </c>
      <c r="I63" s="84"/>
      <c r="J63" s="84" t="s">
        <v>523</v>
      </c>
    </row>
    <row r="64" spans="2:13">
      <c r="B64" s="39" t="s">
        <v>177</v>
      </c>
      <c r="C64" s="60" t="s">
        <v>154</v>
      </c>
      <c r="D64" s="60">
        <v>7</v>
      </c>
      <c r="E64" s="60" t="s">
        <v>3080</v>
      </c>
      <c r="F64" s="60" t="s">
        <v>555</v>
      </c>
      <c r="G64" s="60"/>
      <c r="H64" s="84" t="s">
        <v>523</v>
      </c>
      <c r="I64" s="84"/>
      <c r="J64" s="84" t="s">
        <v>523</v>
      </c>
    </row>
    <row r="65" spans="2:10">
      <c r="B65" s="39" t="s">
        <v>177</v>
      </c>
      <c r="C65" s="60" t="s">
        <v>154</v>
      </c>
      <c r="D65" s="60">
        <v>8</v>
      </c>
      <c r="E65" s="60" t="s">
        <v>3081</v>
      </c>
      <c r="F65" s="60" t="s">
        <v>556</v>
      </c>
      <c r="G65" s="60"/>
      <c r="H65" s="84" t="s">
        <v>523</v>
      </c>
      <c r="I65" s="84"/>
      <c r="J65" s="84" t="s">
        <v>523</v>
      </c>
    </row>
    <row r="66" spans="2:10">
      <c r="B66" s="39" t="s">
        <v>177</v>
      </c>
      <c r="C66" s="60" t="s">
        <v>154</v>
      </c>
      <c r="D66" s="60">
        <v>9</v>
      </c>
      <c r="E66" s="60" t="s">
        <v>3082</v>
      </c>
      <c r="F66" s="60" t="s">
        <v>555</v>
      </c>
      <c r="G66" s="60"/>
      <c r="H66" s="84" t="s">
        <v>523</v>
      </c>
      <c r="I66" s="84"/>
      <c r="J66" s="84" t="s">
        <v>523</v>
      </c>
    </row>
    <row r="67" spans="2:10">
      <c r="B67" s="39" t="s">
        <v>177</v>
      </c>
      <c r="C67" s="60" t="s">
        <v>154</v>
      </c>
      <c r="D67" s="60">
        <v>10</v>
      </c>
      <c r="E67" s="60" t="s">
        <v>3083</v>
      </c>
      <c r="F67" s="60" t="s">
        <v>556</v>
      </c>
      <c r="G67" s="60"/>
      <c r="H67" s="84" t="s">
        <v>523</v>
      </c>
      <c r="I67" s="84"/>
      <c r="J67" s="84" t="s">
        <v>523</v>
      </c>
    </row>
    <row r="68" spans="2:10">
      <c r="B68" s="39" t="s">
        <v>177</v>
      </c>
      <c r="C68" s="60" t="s">
        <v>154</v>
      </c>
      <c r="D68" s="60">
        <v>11</v>
      </c>
      <c r="E68" s="60" t="s">
        <v>3084</v>
      </c>
      <c r="F68" s="60" t="s">
        <v>555</v>
      </c>
      <c r="G68" s="60"/>
      <c r="H68" s="84" t="s">
        <v>523</v>
      </c>
      <c r="I68" s="84"/>
      <c r="J68" s="84" t="s">
        <v>523</v>
      </c>
    </row>
    <row r="69" spans="2:10">
      <c r="B69" s="39" t="s">
        <v>177</v>
      </c>
      <c r="C69" s="60" t="s">
        <v>154</v>
      </c>
      <c r="D69" s="60">
        <v>12</v>
      </c>
      <c r="E69" s="60" t="s">
        <v>3085</v>
      </c>
      <c r="F69" s="60" t="s">
        <v>556</v>
      </c>
      <c r="G69" s="60"/>
      <c r="H69" s="84" t="s">
        <v>523</v>
      </c>
      <c r="I69" s="84"/>
      <c r="J69" s="84" t="s">
        <v>523</v>
      </c>
    </row>
    <row r="70" spans="2:10">
      <c r="B70" s="39" t="s">
        <v>177</v>
      </c>
      <c r="C70" s="60" t="s">
        <v>154</v>
      </c>
      <c r="D70" s="60">
        <v>13</v>
      </c>
      <c r="E70" s="60" t="s">
        <v>3086</v>
      </c>
      <c r="F70" s="60" t="s">
        <v>555</v>
      </c>
      <c r="G70" s="60"/>
      <c r="H70" s="84" t="s">
        <v>523</v>
      </c>
      <c r="I70" s="84"/>
      <c r="J70" s="84" t="s">
        <v>523</v>
      </c>
    </row>
    <row r="71" spans="2:10">
      <c r="B71" s="39" t="s">
        <v>177</v>
      </c>
      <c r="C71" s="60" t="s">
        <v>154</v>
      </c>
      <c r="D71" s="60">
        <v>14</v>
      </c>
      <c r="E71" s="60" t="s">
        <v>3087</v>
      </c>
      <c r="F71" s="60" t="s">
        <v>556</v>
      </c>
      <c r="G71" s="60"/>
      <c r="H71" s="84" t="s">
        <v>523</v>
      </c>
      <c r="I71" s="84"/>
      <c r="J71" s="84" t="s">
        <v>523</v>
      </c>
    </row>
    <row r="72" spans="2:10">
      <c r="B72" s="39" t="s">
        <v>177</v>
      </c>
      <c r="C72" s="60" t="s">
        <v>154</v>
      </c>
      <c r="D72" s="60">
        <v>15</v>
      </c>
      <c r="E72" s="60" t="s">
        <v>3088</v>
      </c>
      <c r="F72" s="60" t="s">
        <v>555</v>
      </c>
      <c r="G72" s="60"/>
      <c r="H72" s="84" t="s">
        <v>523</v>
      </c>
      <c r="I72" s="84"/>
      <c r="J72" s="84" t="s">
        <v>523</v>
      </c>
    </row>
    <row r="73" spans="2:10">
      <c r="B73" s="39" t="s">
        <v>177</v>
      </c>
      <c r="C73" s="60" t="s">
        <v>154</v>
      </c>
      <c r="D73" s="60">
        <v>16</v>
      </c>
      <c r="E73" s="60" t="s">
        <v>3089</v>
      </c>
      <c r="F73" s="60" t="s">
        <v>556</v>
      </c>
      <c r="G73" s="60"/>
      <c r="H73" s="84" t="s">
        <v>523</v>
      </c>
      <c r="I73" s="84"/>
      <c r="J73" s="84" t="s">
        <v>523</v>
      </c>
    </row>
    <row r="74" spans="2:10">
      <c r="B74" s="39" t="s">
        <v>177</v>
      </c>
      <c r="C74" s="60" t="s">
        <v>154</v>
      </c>
      <c r="D74" s="60">
        <v>17</v>
      </c>
      <c r="E74" s="60" t="s">
        <v>3090</v>
      </c>
      <c r="F74" s="60" t="s">
        <v>555</v>
      </c>
      <c r="G74" s="60"/>
      <c r="H74" s="84" t="s">
        <v>523</v>
      </c>
      <c r="I74" s="84"/>
      <c r="J74" s="84" t="s">
        <v>523</v>
      </c>
    </row>
    <row r="75" spans="2:10">
      <c r="B75" s="39" t="s">
        <v>177</v>
      </c>
      <c r="C75" s="60" t="s">
        <v>154</v>
      </c>
      <c r="D75" s="60">
        <v>18</v>
      </c>
      <c r="E75" s="60" t="s">
        <v>3091</v>
      </c>
      <c r="F75" s="60" t="s">
        <v>556</v>
      </c>
      <c r="G75" s="60"/>
      <c r="H75" s="84" t="s">
        <v>523</v>
      </c>
      <c r="I75" s="84"/>
      <c r="J75" s="84" t="s">
        <v>523</v>
      </c>
    </row>
    <row r="76" spans="2:10">
      <c r="B76" s="39" t="s">
        <v>177</v>
      </c>
      <c r="C76" s="60" t="s">
        <v>154</v>
      </c>
      <c r="D76" s="60">
        <v>19</v>
      </c>
      <c r="E76" s="60" t="s">
        <v>3092</v>
      </c>
      <c r="F76" s="60" t="s">
        <v>555</v>
      </c>
      <c r="G76" s="60"/>
      <c r="H76" s="84" t="s">
        <v>523</v>
      </c>
      <c r="I76" s="84"/>
      <c r="J76" s="84" t="s">
        <v>523</v>
      </c>
    </row>
    <row r="77" spans="2:10">
      <c r="B77" s="39" t="s">
        <v>177</v>
      </c>
      <c r="C77" s="60" t="s">
        <v>154</v>
      </c>
      <c r="D77" s="60">
        <v>20</v>
      </c>
      <c r="E77" s="60" t="s">
        <v>3093</v>
      </c>
      <c r="F77" s="60" t="s">
        <v>556</v>
      </c>
      <c r="G77" s="60"/>
      <c r="H77" s="84" t="s">
        <v>523</v>
      </c>
      <c r="I77" s="84"/>
      <c r="J77" s="84" t="s">
        <v>523</v>
      </c>
    </row>
    <row r="78" spans="2:10">
      <c r="B78" s="39" t="s">
        <v>177</v>
      </c>
      <c r="C78" s="60" t="s">
        <v>154</v>
      </c>
      <c r="D78" s="60">
        <v>21</v>
      </c>
      <c r="E78" s="60" t="s">
        <v>3094</v>
      </c>
      <c r="F78" s="60" t="s">
        <v>555</v>
      </c>
      <c r="G78" s="60"/>
      <c r="H78" s="84" t="s">
        <v>523</v>
      </c>
      <c r="I78" s="84"/>
      <c r="J78" s="84" t="s">
        <v>523</v>
      </c>
    </row>
    <row r="79" spans="2:10">
      <c r="B79" s="39" t="s">
        <v>177</v>
      </c>
      <c r="C79" s="60" t="s">
        <v>154</v>
      </c>
      <c r="D79" s="60">
        <v>22</v>
      </c>
      <c r="E79" s="60" t="s">
        <v>3095</v>
      </c>
      <c r="F79" s="60" t="s">
        <v>556</v>
      </c>
      <c r="G79" s="60"/>
      <c r="H79" s="84" t="s">
        <v>523</v>
      </c>
      <c r="I79" s="84"/>
      <c r="J79" s="84" t="s">
        <v>523</v>
      </c>
    </row>
    <row r="80" spans="2:10">
      <c r="B80" s="39" t="s">
        <v>177</v>
      </c>
      <c r="C80" s="60" t="s">
        <v>154</v>
      </c>
      <c r="D80" s="60">
        <v>23</v>
      </c>
      <c r="E80" s="60" t="s">
        <v>3096</v>
      </c>
      <c r="F80" s="60" t="s">
        <v>555</v>
      </c>
      <c r="G80" s="60"/>
      <c r="H80" s="84" t="s">
        <v>523</v>
      </c>
      <c r="I80" s="84"/>
      <c r="J80" s="84" t="s">
        <v>523</v>
      </c>
    </row>
    <row r="81" spans="2:10">
      <c r="B81" s="39" t="s">
        <v>177</v>
      </c>
      <c r="C81" s="60" t="s">
        <v>154</v>
      </c>
      <c r="D81" s="60">
        <v>24</v>
      </c>
      <c r="E81" s="60" t="s">
        <v>3097</v>
      </c>
      <c r="F81" s="60" t="s">
        <v>556</v>
      </c>
      <c r="G81" s="60"/>
      <c r="H81" s="84" t="s">
        <v>523</v>
      </c>
      <c r="I81" s="84"/>
      <c r="J81" s="84" t="s">
        <v>523</v>
      </c>
    </row>
    <row r="82" spans="2:10">
      <c r="B82" s="39" t="s">
        <v>177</v>
      </c>
      <c r="C82" s="60" t="s">
        <v>154</v>
      </c>
      <c r="D82" s="60">
        <v>25</v>
      </c>
      <c r="E82" s="60" t="s">
        <v>3098</v>
      </c>
      <c r="F82" s="60" t="s">
        <v>555</v>
      </c>
      <c r="G82" s="60"/>
      <c r="H82" s="84" t="s">
        <v>523</v>
      </c>
      <c r="I82" s="84"/>
      <c r="J82" s="84" t="s">
        <v>523</v>
      </c>
    </row>
    <row r="83" spans="2:10">
      <c r="B83" s="39" t="s">
        <v>177</v>
      </c>
      <c r="C83" s="60" t="s">
        <v>154</v>
      </c>
      <c r="D83" s="60">
        <v>26</v>
      </c>
      <c r="E83" s="60" t="s">
        <v>3099</v>
      </c>
      <c r="F83" s="60" t="s">
        <v>556</v>
      </c>
      <c r="G83" s="60"/>
      <c r="H83" s="84" t="s">
        <v>523</v>
      </c>
      <c r="I83" s="84"/>
      <c r="J83" s="84" t="s">
        <v>523</v>
      </c>
    </row>
    <row r="84" spans="2:10">
      <c r="B84" s="39" t="s">
        <v>177</v>
      </c>
      <c r="C84" s="60" t="s">
        <v>154</v>
      </c>
      <c r="D84" s="60">
        <v>27</v>
      </c>
      <c r="E84" s="60" t="s">
        <v>3100</v>
      </c>
      <c r="F84" s="60" t="s">
        <v>555</v>
      </c>
      <c r="G84" s="60"/>
      <c r="H84" s="84" t="s">
        <v>523</v>
      </c>
      <c r="I84" s="84"/>
      <c r="J84" s="84" t="s">
        <v>523</v>
      </c>
    </row>
    <row r="85" spans="2:10">
      <c r="B85" s="39" t="s">
        <v>177</v>
      </c>
      <c r="C85" s="60" t="s">
        <v>154</v>
      </c>
      <c r="D85" s="60">
        <v>28</v>
      </c>
      <c r="E85" s="60" t="s">
        <v>3101</v>
      </c>
      <c r="F85" s="60" t="s">
        <v>556</v>
      </c>
      <c r="G85" s="60"/>
      <c r="H85" s="84" t="s">
        <v>523</v>
      </c>
      <c r="I85" s="84"/>
      <c r="J85" s="84" t="s">
        <v>523</v>
      </c>
    </row>
    <row r="86" spans="2:10">
      <c r="B86" s="39" t="s">
        <v>177</v>
      </c>
      <c r="C86" s="60" t="s">
        <v>154</v>
      </c>
      <c r="D86" s="60">
        <v>29</v>
      </c>
      <c r="E86" s="60" t="s">
        <v>3102</v>
      </c>
      <c r="F86" s="60" t="s">
        <v>555</v>
      </c>
      <c r="G86" s="60"/>
      <c r="H86" s="84" t="s">
        <v>523</v>
      </c>
      <c r="I86" s="84"/>
      <c r="J86" s="84" t="s">
        <v>523</v>
      </c>
    </row>
    <row r="87" spans="2:10">
      <c r="B87" s="39" t="s">
        <v>177</v>
      </c>
      <c r="C87" s="60" t="s">
        <v>154</v>
      </c>
      <c r="D87" s="60">
        <v>30</v>
      </c>
      <c r="E87" s="60" t="s">
        <v>3103</v>
      </c>
      <c r="F87" s="60" t="s">
        <v>556</v>
      </c>
      <c r="G87" s="60"/>
      <c r="H87" s="84" t="s">
        <v>523</v>
      </c>
      <c r="I87" s="84"/>
      <c r="J87" s="84" t="s">
        <v>523</v>
      </c>
    </row>
    <row r="88" spans="2:10">
      <c r="B88" s="1" t="s">
        <v>3118</v>
      </c>
      <c r="C88" s="60" t="s">
        <v>154</v>
      </c>
      <c r="D88" s="39">
        <v>1</v>
      </c>
      <c r="E88" s="39" t="s">
        <v>3134</v>
      </c>
      <c r="F88" s="60" t="s">
        <v>555</v>
      </c>
      <c r="G88" s="60"/>
      <c r="H88" s="84" t="s">
        <v>523</v>
      </c>
      <c r="I88" s="84"/>
      <c r="J88" s="84" t="s">
        <v>523</v>
      </c>
    </row>
    <row r="89" spans="2:10">
      <c r="B89" s="1" t="s">
        <v>3118</v>
      </c>
      <c r="C89" s="60" t="s">
        <v>154</v>
      </c>
      <c r="D89" s="39">
        <v>2</v>
      </c>
      <c r="E89" s="39" t="s">
        <v>3135</v>
      </c>
      <c r="F89" s="60" t="s">
        <v>555</v>
      </c>
      <c r="G89" s="60"/>
      <c r="H89" s="84" t="s">
        <v>523</v>
      </c>
      <c r="I89" s="84"/>
      <c r="J89" s="84" t="s">
        <v>523</v>
      </c>
    </row>
    <row r="90" spans="2:10">
      <c r="B90" s="1" t="s">
        <v>3118</v>
      </c>
      <c r="C90" s="60" t="s">
        <v>154</v>
      </c>
      <c r="D90" s="39">
        <v>3</v>
      </c>
      <c r="E90" s="39" t="s">
        <v>3136</v>
      </c>
      <c r="F90" s="60" t="s">
        <v>555</v>
      </c>
      <c r="G90" s="60"/>
      <c r="H90" s="84" t="s">
        <v>523</v>
      </c>
      <c r="I90" s="84"/>
      <c r="J90" s="84" t="s">
        <v>523</v>
      </c>
    </row>
    <row r="91" spans="2:10">
      <c r="B91" s="1" t="s">
        <v>3118</v>
      </c>
      <c r="C91" s="60" t="s">
        <v>154</v>
      </c>
      <c r="D91" s="39">
        <v>4</v>
      </c>
      <c r="E91" s="39" t="s">
        <v>3137</v>
      </c>
      <c r="F91" s="60" t="s">
        <v>555</v>
      </c>
      <c r="G91" s="60"/>
      <c r="H91" s="84" t="s">
        <v>523</v>
      </c>
      <c r="I91" s="84"/>
      <c r="J91" s="84" t="s">
        <v>523</v>
      </c>
    </row>
    <row r="92" spans="2:10">
      <c r="B92" s="1" t="s">
        <v>3118</v>
      </c>
      <c r="C92" s="60" t="s">
        <v>154</v>
      </c>
      <c r="D92" s="39">
        <v>5</v>
      </c>
      <c r="E92" s="39" t="s">
        <v>3138</v>
      </c>
      <c r="F92" s="60" t="s">
        <v>555</v>
      </c>
      <c r="G92" s="60"/>
      <c r="H92" s="84" t="s">
        <v>523</v>
      </c>
      <c r="I92" s="84"/>
      <c r="J92" s="84" t="s">
        <v>523</v>
      </c>
    </row>
    <row r="93" spans="2:10">
      <c r="B93" s="1" t="s">
        <v>3124</v>
      </c>
      <c r="C93" s="60" t="s">
        <v>154</v>
      </c>
      <c r="D93" s="39">
        <v>1</v>
      </c>
      <c r="E93" s="60" t="s">
        <v>3147</v>
      </c>
      <c r="F93" s="60" t="s">
        <v>555</v>
      </c>
      <c r="G93" s="60"/>
      <c r="H93" s="84" t="s">
        <v>523</v>
      </c>
      <c r="I93" s="84"/>
      <c r="J93" s="84" t="s">
        <v>523</v>
      </c>
    </row>
    <row r="94" spans="2:10">
      <c r="B94" s="1" t="s">
        <v>3124</v>
      </c>
      <c r="C94" s="60" t="s">
        <v>154</v>
      </c>
      <c r="D94" s="39">
        <v>2</v>
      </c>
      <c r="E94" s="60" t="s">
        <v>3148</v>
      </c>
      <c r="F94" s="60" t="s">
        <v>555</v>
      </c>
      <c r="G94" s="60"/>
      <c r="H94" s="84" t="s">
        <v>523</v>
      </c>
      <c r="I94" s="84"/>
      <c r="J94" s="84" t="s">
        <v>523</v>
      </c>
    </row>
    <row r="95" spans="2:10">
      <c r="B95" s="1" t="s">
        <v>3124</v>
      </c>
      <c r="C95" s="60" t="s">
        <v>154</v>
      </c>
      <c r="D95" s="39">
        <v>3</v>
      </c>
      <c r="E95" s="60" t="s">
        <v>3149</v>
      </c>
      <c r="F95" s="60" t="s">
        <v>555</v>
      </c>
      <c r="G95" s="60"/>
      <c r="H95" s="84" t="s">
        <v>523</v>
      </c>
      <c r="I95" s="84"/>
      <c r="J95" s="84" t="s">
        <v>523</v>
      </c>
    </row>
    <row r="96" spans="2:10">
      <c r="B96" s="1" t="s">
        <v>3124</v>
      </c>
      <c r="C96" s="60" t="s">
        <v>154</v>
      </c>
      <c r="D96" s="39">
        <v>4</v>
      </c>
      <c r="E96" s="60" t="s">
        <v>3150</v>
      </c>
      <c r="F96" s="60" t="s">
        <v>555</v>
      </c>
      <c r="G96" s="60"/>
      <c r="H96" s="84" t="s">
        <v>523</v>
      </c>
      <c r="I96" s="84"/>
      <c r="J96" s="84" t="s">
        <v>523</v>
      </c>
    </row>
  </sheetData>
  <phoneticPr fontId="3" type="noConversion"/>
  <hyperlinks>
    <hyperlink ref="A1" location="目錄!A1" display="回到目錄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"/>
  <dimension ref="A1:S103"/>
  <sheetViews>
    <sheetView workbookViewId="0">
      <pane ySplit="1" topLeftCell="A11" activePane="bottomLeft" state="frozen"/>
      <selection activeCell="B1" sqref="B1"/>
      <selection pane="bottomLeft"/>
    </sheetView>
  </sheetViews>
  <sheetFormatPr defaultColWidth="11.1796875" defaultRowHeight="13.8"/>
  <cols>
    <col min="1" max="1" width="7.453125" style="10" bestFit="1" customWidth="1"/>
    <col min="2" max="2" width="4.36328125" style="14" bestFit="1" customWidth="1"/>
    <col min="3" max="3" width="20" style="10" bestFit="1" customWidth="1"/>
    <col min="4" max="4" width="10.08984375" style="10" bestFit="1" customWidth="1"/>
    <col min="5" max="5" width="7.54296875" style="14" bestFit="1" customWidth="1"/>
    <col min="6" max="6" width="10" style="1" bestFit="1" customWidth="1"/>
    <col min="7" max="7" width="18.90625" style="10" bestFit="1" customWidth="1"/>
    <col min="8" max="8" width="55.7265625" style="15" customWidth="1"/>
    <col min="9" max="9" width="10.08984375" style="15" bestFit="1" customWidth="1"/>
    <col min="10" max="10" width="5.26953125" style="39" bestFit="1" customWidth="1"/>
    <col min="11" max="11" width="6.1796875" style="39" bestFit="1" customWidth="1"/>
    <col min="12" max="12" width="4.26953125" style="39" bestFit="1" customWidth="1"/>
    <col min="13" max="13" width="9.6328125" style="10" bestFit="1" customWidth="1"/>
    <col min="14" max="21" width="12.6328125" style="10" customWidth="1"/>
    <col min="22" max="24" width="14.453125" style="10" customWidth="1"/>
    <col min="25" max="16384" width="11.1796875" style="10"/>
  </cols>
  <sheetData>
    <row r="1" spans="1:19">
      <c r="A1" s="23" t="s">
        <v>36</v>
      </c>
      <c r="B1" s="5" t="s">
        <v>5</v>
      </c>
      <c r="C1" s="6" t="s">
        <v>3</v>
      </c>
      <c r="D1" s="6" t="s">
        <v>4</v>
      </c>
      <c r="E1" s="7" t="s">
        <v>6</v>
      </c>
      <c r="F1" s="3" t="s">
        <v>13</v>
      </c>
      <c r="G1" s="8" t="s">
        <v>7</v>
      </c>
      <c r="H1" s="9" t="s">
        <v>8</v>
      </c>
      <c r="I1" s="9" t="s">
        <v>467</v>
      </c>
      <c r="L1" s="72" t="s">
        <v>468</v>
      </c>
      <c r="M1" s="72" t="s">
        <v>479</v>
      </c>
      <c r="N1" s="72" t="s">
        <v>470</v>
      </c>
      <c r="O1" s="72" t="s">
        <v>471</v>
      </c>
      <c r="P1" s="72" t="s">
        <v>472</v>
      </c>
      <c r="Q1" s="72" t="s">
        <v>473</v>
      </c>
      <c r="R1" s="72" t="s">
        <v>474</v>
      </c>
      <c r="S1" s="73" t="s">
        <v>475</v>
      </c>
    </row>
    <row r="2" spans="1:19">
      <c r="B2" s="11" t="s">
        <v>14</v>
      </c>
      <c r="C2" s="13" t="s">
        <v>80</v>
      </c>
      <c r="D2" s="18" t="s">
        <v>459</v>
      </c>
      <c r="E2" s="11"/>
      <c r="F2" s="12"/>
      <c r="G2" s="12" t="s">
        <v>460</v>
      </c>
      <c r="H2" s="16"/>
      <c r="I2" s="16"/>
      <c r="L2" s="36"/>
      <c r="M2" s="34"/>
      <c r="N2" s="36" t="str">
        <f t="shared" ref="N2:N8" si="0">"EXEC sp_dropextendedproperty @name = N'MS_Description', @level0type=N'SCHEMA',@level0name=N'"&amp;$L$1&amp;"', @level1type=N'TABLE',@level1name=N'"&amp;$M$1&amp;"', @level2type=N'COLUMN',@level2name=N'"&amp;$C2&amp;"'"</f>
        <v>EXEC sp_dropextendedproperty @name = N'MS_Description', @level0type=N'SCHEMA',@level0name=N'dbo', @level1type=N'TABLE',@level1name=N'LifeInsYear', @level2type=N'COLUMN',@level2name=N'PlanCode'</v>
      </c>
      <c r="O2" s="36" t="str">
        <f t="shared" ref="O2:O8" si="1">"EXEC sp_dropextendedproperty @name = N'Rule', @level0type=N'SCHEMA',@level0name=N'"&amp;$L$1&amp;"', @level1type=N'TABLE',@level1name=N'"&amp;$M$1&amp;"', @level2type=N'COLUMN',@level2name=N'"&amp;$C2&amp;"'"</f>
        <v>EXEC sp_dropextendedproperty @name = N'Rule', @level0type=N'SCHEMA',@level0name=N'dbo', @level1type=N'TABLE',@level1name=N'LifeInsYear', @level2type=N'COLUMN',@level2name=N'PlanCode'</v>
      </c>
      <c r="P2" s="36" t="str">
        <f t="shared" ref="P2:P8" si="2">"EXEC sp_dropextendedproperty @name = N'Memo', @level0type=N'SCHEMA',@level0name=N'"&amp;$L$1&amp;"', @level1type=N'TABLE',@level1name=N'"&amp;$M$1&amp;"', @level2type=N'COLUMN',@level2name=N'"&amp;$C2&amp;"'"</f>
        <v>EXEC sp_dropextendedproperty @name = N'Memo', @level0type=N'SCHEMA',@level0name=N'dbo', @level1type=N'TABLE',@level1name=N'LifeInsYear', @level2type=N'COLUMN',@level2name=N'PlanCode'</v>
      </c>
      <c r="Q2" s="36" t="str">
        <f t="shared" ref="Q2:Q8" si="3">"set @OldWording = N'"&amp;SUBSTITUTE($G2,CHAR(10),"")&amp;"'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@level2type=N'COLUMN',@level2name=N'"&amp;$C2&amp;"'"</f>
        <v>set @OldWording = N'險種代碼' set @NewWording = REPLACE(@OldWording,'***',char(13)+char(10)) EXEC sys.sp_addextendedproperty @name=N'MS_Description', @value=@NewWording , @level0type=N'SCHEMA',@level0name=N'dbo', @level1type=N'TABLE',@level1name=N'LifeInsYear', @level2type=N'COLUMN',@level2name=N'PlanCode'</v>
      </c>
      <c r="R2" s="32" t="str">
        <f t="shared" ref="R2:R8" si="4">"set @OldWording = N'"&amp;SUBSTITUTE($H2,CHAR(10),"")&amp;"'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@name=N'Rule', @value=@NewWording , @level0type=N'SCHEMA',@level0name=N'dbo', @level1type=N'TABLE',@level1name=N'LifeInsYear', @level2type=N'COLUMN',@level2name=N'PlanCode'</v>
      </c>
      <c r="S2" s="36" t="str">
        <f t="shared" ref="S2:S8" si="5">"set @OldWording = N'"&amp;SUBSTITUTE($I2,CHAR(10),"")&amp;"' set @NewWording = REPLACE(@OldWording,'***',char(13)+char(10)) "&amp;"EXEC sys.sp_addextendedproperty @name=N'Memo',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@name=N'Memo', @value=@NewWording , @level0type=N'SCHEMA',@level0name=N'dbo', @level1type=N'TABLE',@level1name=N'LifeInsYear', @level2type=N'COLUMN',@level2name=N'PlanCode'</v>
      </c>
    </row>
    <row r="3" spans="1:19" ht="27.6">
      <c r="B3" s="11" t="s">
        <v>90</v>
      </c>
      <c r="C3" s="15" t="s">
        <v>3728</v>
      </c>
      <c r="D3" s="15" t="s">
        <v>21</v>
      </c>
      <c r="F3" s="10"/>
      <c r="G3" s="10" t="s">
        <v>461</v>
      </c>
      <c r="H3" s="16" t="s">
        <v>3652</v>
      </c>
      <c r="I3" s="16"/>
      <c r="N3" s="36" t="str">
        <f t="shared" si="0"/>
        <v>EXEC sp_dropextendedproperty @name = N'MS_Description', @level0type=N'SCHEMA',@level0name=N'dbo', @level1type=N'TABLE',@level1name=N'LifeInsYear', @level2type=N'COLUMN',@level2name=N'MultiKind'</v>
      </c>
      <c r="O3" s="36" t="str">
        <f t="shared" si="1"/>
        <v>EXEC sp_dropextendedproperty @name = N'Rule', @level0type=N'SCHEMA',@level0name=N'dbo', @level1type=N'TABLE',@level1name=N'LifeInsYear', @level2type=N'COLUMN',@level2name=N'MultiKind'</v>
      </c>
      <c r="P3" s="36" t="str">
        <f t="shared" si="2"/>
        <v>EXEC sp_dropextendedproperty @name = N'Memo', @level0type=N'SCHEMA',@level0name=N'dbo', @level1type=N'TABLE',@level1name=N'LifeInsYear', @level2type=N'COLUMN',@level2name=N'MultiKind'</v>
      </c>
      <c r="Q3" s="36" t="str">
        <f t="shared" si="3"/>
        <v>set @OldWording = N'多型別' set @NewWording = REPLACE(@OldWording,'***',char(13)+char(10)) EXEC sys.sp_addextendedproperty @name=N'MS_Description', @value=@NewWording , @level0type=N'SCHEMA',@level0name=N'dbo', @level1type=N'TABLE',@level1name=N'LifeInsYear', @level2type=N'COLUMN',@level2name=N'MultiKind'</v>
      </c>
      <c r="R3" s="32" t="str">
        <f t="shared" si="4"/>
        <v>set @OldWording = N'*=沒有型別***多型別對應dbo.LifeInsMultiKind' set @NewWording = REPLACE(@OldWording,'***',char(13)+char(10)) EXEC sys.sp_addextendedproperty @name=N'Rule', @value=@NewWording , @level0type=N'SCHEMA',@level0name=N'dbo', @level1type=N'TABLE',@level1name=N'LifeInsYear', @level2type=N'COLUMN',@level2name=N'MultiKind'</v>
      </c>
      <c r="S3" s="36" t="str">
        <f t="shared" si="5"/>
        <v>set @OldWording = N'' set @NewWording = REPLACE(@OldWording,'***',char(13)+char(10)) EXEC sys.sp_addextendedproperty @name=N'Memo', @value=@NewWording , @level0type=N'SCHEMA',@level0name=N'dbo', @level1type=N'TABLE',@level1name=N'LifeInsYear', @level2type=N'COLUMN',@level2name=N'MultiKind'</v>
      </c>
    </row>
    <row r="4" spans="1:19">
      <c r="B4" s="11" t="s">
        <v>14</v>
      </c>
      <c r="C4" s="12" t="s">
        <v>86</v>
      </c>
      <c r="D4" s="12" t="s">
        <v>34</v>
      </c>
      <c r="F4" s="4"/>
      <c r="G4" s="12" t="s">
        <v>87</v>
      </c>
      <c r="H4" s="13"/>
      <c r="I4" s="13"/>
      <c r="N4" s="36" t="str">
        <f t="shared" si="0"/>
        <v>EXEC sp_dropextendedproperty @name = N'MS_Description', @level0type=N'SCHEMA',@level0name=N'dbo', @level1type=N'TABLE',@level1name=N'LifeInsYear', @level2type=N'COLUMN',@level2name=N'PlanYear'</v>
      </c>
      <c r="O4" s="36" t="str">
        <f t="shared" si="1"/>
        <v>EXEC sp_dropextendedproperty @name = N'Rule', @level0type=N'SCHEMA',@level0name=N'dbo', @level1type=N'TABLE',@level1name=N'LifeInsYear', @level2type=N'COLUMN',@level2name=N'PlanYear'</v>
      </c>
      <c r="P4" s="36" t="str">
        <f t="shared" si="2"/>
        <v>EXEC sp_dropextendedproperty @name = N'Memo', @level0type=N'SCHEMA',@level0name=N'dbo', @level1type=N'TABLE',@level1name=N'LifeInsYear', @level2type=N'COLUMN',@level2name=N'PlanYear'</v>
      </c>
      <c r="Q4" s="36" t="str">
        <f t="shared" si="3"/>
        <v>set @OldWording = N'險種年期' set @NewWording = REPLACE(@OldWording,'***',char(13)+char(10)) EXEC sys.sp_addextendedproperty @name=N'MS_Description', @value=@NewWording , @level0type=N'SCHEMA',@level0name=N'dbo', @level1type=N'TABLE',@level1name=N'LifeInsYear', @level2type=N'COLUMN',@level2name=N'PlanYear'</v>
      </c>
      <c r="R4" s="32" t="str">
        <f t="shared" si="4"/>
        <v>set @OldWording = N'' set @NewWording = REPLACE(@OldWording,'***',char(13)+char(10)) EXEC sys.sp_addextendedproperty @name=N'Rule', @value=@NewWording , @level0type=N'SCHEMA',@level0name=N'dbo', @level1type=N'TABLE',@level1name=N'LifeInsYear', @level2type=N'COLUMN',@level2name=N'PlanYear'</v>
      </c>
      <c r="S4" s="36" t="str">
        <f t="shared" si="5"/>
        <v>set @OldWording = N'' set @NewWording = REPLACE(@OldWording,'***',char(13)+char(10)) EXEC sys.sp_addextendedproperty @name=N'Memo', @value=@NewWording , @level0type=N'SCHEMA',@level0name=N'dbo', @level1type=N'TABLE',@level1name=N'LifeInsYear', @level2type=N'COLUMN',@level2name=N'PlanYear'</v>
      </c>
    </row>
    <row r="5" spans="1:19">
      <c r="C5" s="12" t="s">
        <v>89</v>
      </c>
      <c r="D5" s="10" t="s">
        <v>35</v>
      </c>
      <c r="G5" s="10" t="s">
        <v>88</v>
      </c>
      <c r="N5" s="36" t="str">
        <f t="shared" si="0"/>
        <v>EXEC sp_dropextendedproperty @name = N'MS_Description', @level0type=N'SCHEMA',@level0name=N'dbo', @level1type=N'TABLE',@level1name=N'LifeInsYear', @level2type=N'COLUMN',@level2name=N'DispPlanYear'</v>
      </c>
      <c r="O5" s="36" t="str">
        <f t="shared" si="1"/>
        <v>EXEC sp_dropextendedproperty @name = N'Rule', @level0type=N'SCHEMA',@level0name=N'dbo', @level1type=N'TABLE',@level1name=N'LifeInsYear', @level2type=N'COLUMN',@level2name=N'DispPlanYear'</v>
      </c>
      <c r="P5" s="36" t="str">
        <f t="shared" si="2"/>
        <v>EXEC sp_dropextendedproperty @name = N'Memo', @level0type=N'SCHEMA',@level0name=N'dbo', @level1type=N'TABLE',@level1name=N'LifeInsYear', @level2type=N'COLUMN',@level2name=N'DispPlanYear'</v>
      </c>
      <c r="Q5" s="36" t="str">
        <f t="shared" si="3"/>
        <v>set @OldWording = N'顯示險種年期' set @NewWording = REPLACE(@OldWording,'***',char(13)+char(10)) EXEC sys.sp_addextendedproperty @name=N'MS_Description', @value=@NewWording , @level0type=N'SCHEMA',@level0name=N'dbo', @level1type=N'TABLE',@level1name=N'LifeInsYear', @level2type=N'COLUMN',@level2name=N'DispPlanYear'</v>
      </c>
      <c r="R5" s="32" t="str">
        <f t="shared" si="4"/>
        <v>set @OldWording = N'' set @NewWording = REPLACE(@OldWording,'***',char(13)+char(10)) EXEC sys.sp_addextendedproperty @name=N'Rule', @value=@NewWording , @level0type=N'SCHEMA',@level0name=N'dbo', @level1type=N'TABLE',@level1name=N'LifeInsYear', @level2type=N'COLUMN',@level2name=N'DispPlanYear'</v>
      </c>
      <c r="S5" s="36" t="str">
        <f t="shared" si="5"/>
        <v>set @OldWording = N'' set @NewWording = REPLACE(@OldWording,'***',char(13)+char(10)) EXEC sys.sp_addextendedproperty @name=N'Memo', @value=@NewWording , @level0type=N'SCHEMA',@level0name=N'dbo', @level1type=N'TABLE',@level1name=N'LifeInsYear', @level2type=N'COLUMN',@level2name=N'DispPlanYear'</v>
      </c>
    </row>
    <row r="6" spans="1:19">
      <c r="C6" s="12" t="s">
        <v>458</v>
      </c>
      <c r="D6" s="10" t="s">
        <v>21</v>
      </c>
      <c r="G6" s="10" t="s">
        <v>38</v>
      </c>
      <c r="H6" s="24"/>
      <c r="I6" s="24" t="s">
        <v>277</v>
      </c>
      <c r="N6" s="36" t="str">
        <f t="shared" si="0"/>
        <v>EXEC sp_dropextendedproperty @name = N'MS_Description', @level0type=N'SCHEMA',@level0name=N'dbo', @level1type=N'TABLE',@level1name=N'LifeInsYear', @level2type=N'COLUMN',@level2name=N'IsSinglePay'</v>
      </c>
      <c r="O6" s="36" t="str">
        <f t="shared" si="1"/>
        <v>EXEC sp_dropextendedproperty @name = N'Rule', @level0type=N'SCHEMA',@level0name=N'dbo', @level1type=N'TABLE',@level1name=N'LifeInsYear', @level2type=N'COLUMN',@level2name=N'IsSinglePay'</v>
      </c>
      <c r="P6" s="36" t="str">
        <f t="shared" si="2"/>
        <v>EXEC sp_dropextendedproperty @name = N'Memo', @level0type=N'SCHEMA',@level0name=N'dbo', @level1type=N'TABLE',@level1name=N'LifeInsYear', @level2type=N'COLUMN',@level2name=N'IsSinglePay'</v>
      </c>
      <c r="Q6" s="36" t="str">
        <f t="shared" si="3"/>
        <v>set @OldWording = N'是否為躉繳' set @NewWording = REPLACE(@OldWording,'***',char(13)+char(10)) EXEC sys.sp_addextendedproperty @name=N'MS_Description', @value=@NewWording , @level0type=N'SCHEMA',@level0name=N'dbo', @level1type=N'TABLE',@level1name=N'LifeInsYear', @level2type=N'COLUMN',@level2name=N'IsSinglePay'</v>
      </c>
      <c r="R6" s="32" t="str">
        <f t="shared" si="4"/>
        <v>set @OldWording = N'' set @NewWording = REPLACE(@OldWording,'***',char(13)+char(10)) EXEC sys.sp_addextendedproperty @name=N'Rule', @value=@NewWording , @level0type=N'SCHEMA',@level0name=N'dbo', @level1type=N'TABLE',@level1name=N'LifeInsYear', @level2type=N'COLUMN',@level2name=N'IsSinglePay'</v>
      </c>
      <c r="S6" s="36" t="str">
        <f t="shared" si="5"/>
        <v>set @OldWording = N'PPL.000.001' set @NewWording = REPLACE(@OldWording,'***',char(13)+char(10)) EXEC sys.sp_addextendedproperty @name=N'Memo', @value=@NewWording , @level0type=N'SCHEMA',@level0name=N'dbo', @level1type=N'TABLE',@level1name=N'LifeInsYear', @level2type=N'COLUMN',@level2name=N'IsSinglePay'</v>
      </c>
    </row>
    <row r="7" spans="1:19" ht="27.6">
      <c r="C7" s="10" t="s">
        <v>589</v>
      </c>
      <c r="D7" s="10" t="s">
        <v>21</v>
      </c>
      <c r="G7" s="10" t="s">
        <v>592</v>
      </c>
      <c r="H7" s="24" t="s">
        <v>3173</v>
      </c>
      <c r="I7" s="24" t="s">
        <v>273</v>
      </c>
      <c r="N7" s="36" t="str">
        <f t="shared" si="0"/>
        <v>EXEC sp_dropextendedproperty @name = N'MS_Description', @level0type=N'SCHEMA',@level0name=N'dbo', @level1type=N'TABLE',@level1name=N'LifeInsYear', @level2type=N'COLUMN',@level2name=N'IsPayByAge'</v>
      </c>
      <c r="O7" s="36" t="str">
        <f t="shared" si="1"/>
        <v>EXEC sp_dropextendedproperty @name = N'Rule', @level0type=N'SCHEMA',@level0name=N'dbo', @level1type=N'TABLE',@level1name=N'LifeInsYear', @level2type=N'COLUMN',@level2name=N'IsPayByAge'</v>
      </c>
      <c r="P7" s="36" t="str">
        <f t="shared" si="2"/>
        <v>EXEC sp_dropextendedproperty @name = N'Memo', @level0type=N'SCHEMA',@level0name=N'dbo', @level1type=N'TABLE',@level1name=N'LifeInsYear', @level2type=N'COLUMN',@level2name=N'IsPayByAge'</v>
      </c>
      <c r="Q7" s="36" t="str">
        <f t="shared" si="3"/>
        <v>set @OldWording = N'是否繳費依年齡' set @NewWording = REPLACE(@OldWording,'***',char(13)+char(10)) EXEC sys.sp_addextendedproperty @name=N'MS_Description', @value=@NewWording , @level0type=N'SCHEMA',@level0name=N'dbo', @level1type=N'TABLE',@level1name=N'LifeInsYear', @level2type=N'COLUMN',@level2name=N'IsPayByAge'</v>
      </c>
      <c r="R7" s="32" t="str">
        <f t="shared" si="4"/>
        <v>set @OldWording = N'IsPayByAge=Y，實際繳費年期=險種年期-保險年齡，歲滿期類型***IsPayByAge=N，實際繳費年期=險種年期' set @NewWording = REPLACE(@OldWording,'***',char(13)+char(10)) EXEC sys.sp_addextendedproperty @name=N'Rule', @value=@NewWording , @level0type=N'SCHEMA',@level0name=N'dbo', @level1type=N'TABLE',@level1name=N'LifeInsYear', @level2type=N'COLUMN',@level2name=N'IsPayByAge'</v>
      </c>
      <c r="S7" s="36" t="str">
        <f t="shared" si="5"/>
        <v>set @OldWording = N'PPL.000.001' set @NewWording = REPLACE(@OldWording,'***',char(13)+char(10)) EXEC sys.sp_addextendedproperty @name=N'Memo', @value=@NewWording , @level0type=N'SCHEMA',@level0name=N'dbo', @level1type=N'TABLE',@level1name=N'LifeInsYear', @level2type=N'COLUMN',@level2name=N'IsPayByAge'</v>
      </c>
    </row>
    <row r="8" spans="1:19" ht="27.6">
      <c r="C8" s="10" t="s">
        <v>590</v>
      </c>
      <c r="D8" s="10" t="s">
        <v>21</v>
      </c>
      <c r="G8" s="10" t="s">
        <v>591</v>
      </c>
      <c r="H8" s="24" t="s">
        <v>593</v>
      </c>
      <c r="I8" s="24" t="s">
        <v>277</v>
      </c>
      <c r="N8" s="36" t="str">
        <f t="shared" si="0"/>
        <v>EXEC sp_dropextendedproperty @name = N'MS_Description', @level0type=N'SCHEMA',@level0name=N'dbo', @level1type=N'TABLE',@level1name=N'LifeInsYear', @level2type=N'COLUMN',@level2name=N'IsCovByAge'</v>
      </c>
      <c r="O8" s="36" t="str">
        <f t="shared" si="1"/>
        <v>EXEC sp_dropextendedproperty @name = N'Rule', @level0type=N'SCHEMA',@level0name=N'dbo', @level1type=N'TABLE',@level1name=N'LifeInsYear', @level2type=N'COLUMN',@level2name=N'IsCovByAge'</v>
      </c>
      <c r="P8" s="36" t="str">
        <f t="shared" si="2"/>
        <v>EXEC sp_dropextendedproperty @name = N'Memo', @level0type=N'SCHEMA',@level0name=N'dbo', @level1type=N'TABLE',@level1name=N'LifeInsYear', @level2type=N'COLUMN',@level2name=N'IsCovByAge'</v>
      </c>
      <c r="Q8" s="36" t="str">
        <f t="shared" si="3"/>
        <v>set @OldWording = N'是否保障依年齡' set @NewWording = REPLACE(@OldWording,'***',char(13)+char(10)) EXEC sys.sp_addextendedproperty @name=N'MS_Description', @value=@NewWording , @level0type=N'SCHEMA',@level0name=N'dbo', @level1type=N'TABLE',@level1name=N'LifeInsYear', @level2type=N'COLUMN',@level2name=N'IsCovByAge'</v>
      </c>
      <c r="R8" s="32" t="str">
        <f t="shared" si="4"/>
        <v>set @OldWording = N'IsCovByAge=Y，計算最高年度=保障最高年度-保險年齡+1***IsCovByAge=N，計算最高年度=保障最高年度' set @NewWording = REPLACE(@OldWording,'***',char(13)+char(10)) EXEC sys.sp_addextendedproperty @name=N'Rule', @value=@NewWording , @level0type=N'SCHEMA',@level0name=N'dbo', @level1type=N'TABLE',@level1name=N'LifeInsYear', @level2type=N'COLUMN',@level2name=N'IsCovByAge'</v>
      </c>
      <c r="S8" s="36" t="str">
        <f t="shared" si="5"/>
        <v>set @OldWording = N'PPL.000.001' set @NewWording = REPLACE(@OldWording,'***',char(13)+char(10)) EXEC sys.sp_addextendedproperty @name=N'Memo', @value=@NewWording , @level0type=N'SCHEMA',@level0name=N'dbo', @level1type=N'TABLE',@level1name=N'LifeInsYear', @level2type=N'COLUMN',@level2name=N'IsCovByAge'</v>
      </c>
    </row>
    <row r="9" spans="1:19">
      <c r="B9" s="11"/>
      <c r="C9" s="29" t="s">
        <v>3732</v>
      </c>
      <c r="D9" s="30" t="s">
        <v>10</v>
      </c>
      <c r="E9" s="11"/>
      <c r="F9" s="29"/>
      <c r="G9" s="22" t="s">
        <v>435</v>
      </c>
      <c r="H9" s="27"/>
      <c r="I9" s="27"/>
      <c r="N9" s="36"/>
      <c r="O9" s="36"/>
      <c r="P9" s="36"/>
      <c r="Q9" s="36"/>
      <c r="R9" s="32"/>
      <c r="S9" s="36"/>
    </row>
    <row r="10" spans="1:19">
      <c r="B10" s="11"/>
      <c r="C10" s="29" t="s">
        <v>3733</v>
      </c>
      <c r="D10" s="30" t="s">
        <v>10</v>
      </c>
      <c r="E10" s="11"/>
      <c r="F10" s="29"/>
      <c r="G10" s="22" t="s">
        <v>436</v>
      </c>
      <c r="H10" s="27"/>
      <c r="I10" s="27"/>
      <c r="N10" s="36"/>
      <c r="O10" s="36"/>
      <c r="P10" s="36"/>
      <c r="Q10" s="36"/>
      <c r="R10" s="32"/>
      <c r="S10" s="36"/>
    </row>
    <row r="11" spans="1:19">
      <c r="B11" s="11"/>
      <c r="C11" s="29" t="s">
        <v>3734</v>
      </c>
      <c r="D11" s="30" t="s">
        <v>10</v>
      </c>
      <c r="E11" s="11"/>
      <c r="F11" s="22"/>
      <c r="G11" s="22" t="s">
        <v>540</v>
      </c>
      <c r="H11" s="27"/>
      <c r="I11" s="27"/>
      <c r="N11" s="36"/>
      <c r="O11" s="36"/>
      <c r="P11" s="36"/>
      <c r="Q11" s="36"/>
      <c r="R11" s="32"/>
      <c r="S11" s="36"/>
    </row>
    <row r="12" spans="1:19">
      <c r="B12" s="11"/>
      <c r="C12" s="29" t="s">
        <v>3731</v>
      </c>
      <c r="D12" s="29" t="s">
        <v>21</v>
      </c>
      <c r="E12" s="11"/>
      <c r="F12" s="22"/>
      <c r="G12" s="22" t="s">
        <v>437</v>
      </c>
      <c r="H12" s="27"/>
      <c r="I12" s="27" t="s">
        <v>264</v>
      </c>
      <c r="N12" s="36"/>
      <c r="O12" s="36"/>
      <c r="P12" s="36"/>
      <c r="Q12" s="36"/>
      <c r="R12" s="32"/>
      <c r="S12" s="36"/>
    </row>
    <row r="13" spans="1:19">
      <c r="B13" s="11"/>
      <c r="C13" s="29" t="s">
        <v>3736</v>
      </c>
      <c r="D13" s="30" t="s">
        <v>10</v>
      </c>
      <c r="E13" s="28" t="s">
        <v>16</v>
      </c>
      <c r="F13" s="29"/>
      <c r="G13" s="22" t="s">
        <v>438</v>
      </c>
      <c r="H13" s="27" t="s">
        <v>72</v>
      </c>
      <c r="I13" s="27"/>
      <c r="N13" s="36"/>
      <c r="O13" s="36"/>
      <c r="P13" s="36"/>
      <c r="Q13" s="36"/>
      <c r="R13" s="32"/>
      <c r="S13" s="36"/>
    </row>
    <row r="14" spans="1:19">
      <c r="B14" s="11"/>
      <c r="C14" s="29" t="s">
        <v>3737</v>
      </c>
      <c r="D14" s="30" t="s">
        <v>10</v>
      </c>
      <c r="E14" s="28" t="s">
        <v>16</v>
      </c>
      <c r="F14" s="29"/>
      <c r="G14" s="22" t="s">
        <v>439</v>
      </c>
      <c r="H14" s="27" t="s">
        <v>72</v>
      </c>
      <c r="I14" s="27"/>
      <c r="N14" s="36"/>
      <c r="O14" s="36"/>
      <c r="P14" s="36"/>
      <c r="Q14" s="36"/>
      <c r="R14" s="32"/>
      <c r="S14" s="36"/>
    </row>
    <row r="15" spans="1:19">
      <c r="B15" s="11"/>
      <c r="C15" s="29" t="s">
        <v>3738</v>
      </c>
      <c r="D15" s="30" t="s">
        <v>10</v>
      </c>
      <c r="E15" s="28" t="s">
        <v>16</v>
      </c>
      <c r="F15" s="22"/>
      <c r="G15" s="22" t="s">
        <v>541</v>
      </c>
      <c r="H15" s="27" t="s">
        <v>72</v>
      </c>
      <c r="I15" s="27"/>
      <c r="N15" s="36"/>
      <c r="O15" s="36"/>
      <c r="P15" s="36"/>
      <c r="Q15" s="36"/>
      <c r="R15" s="32"/>
      <c r="S15" s="36"/>
    </row>
    <row r="16" spans="1:19">
      <c r="B16" s="11"/>
      <c r="C16" s="29" t="s">
        <v>3735</v>
      </c>
      <c r="D16" s="29" t="s">
        <v>21</v>
      </c>
      <c r="E16" s="28" t="s">
        <v>16</v>
      </c>
      <c r="F16" s="29"/>
      <c r="G16" s="22" t="s">
        <v>421</v>
      </c>
      <c r="H16" s="27" t="s">
        <v>72</v>
      </c>
      <c r="I16" s="27" t="s">
        <v>264</v>
      </c>
      <c r="N16" s="36"/>
      <c r="O16" s="36"/>
      <c r="P16" s="36"/>
      <c r="Q16" s="36"/>
      <c r="R16" s="32"/>
      <c r="S16" s="36"/>
    </row>
    <row r="17" spans="2:19">
      <c r="B17" s="11"/>
      <c r="C17" s="29" t="s">
        <v>3740</v>
      </c>
      <c r="D17" s="30" t="s">
        <v>10</v>
      </c>
      <c r="E17" s="28" t="s">
        <v>16</v>
      </c>
      <c r="F17" s="29"/>
      <c r="G17" s="22" t="s">
        <v>440</v>
      </c>
      <c r="H17" s="27" t="s">
        <v>73</v>
      </c>
      <c r="I17" s="27"/>
      <c r="N17" s="36"/>
      <c r="O17" s="36"/>
      <c r="P17" s="36"/>
      <c r="Q17" s="36"/>
      <c r="R17" s="32"/>
      <c r="S17" s="36"/>
    </row>
    <row r="18" spans="2:19">
      <c r="B18" s="11"/>
      <c r="C18" s="29" t="s">
        <v>3741</v>
      </c>
      <c r="D18" s="30" t="s">
        <v>10</v>
      </c>
      <c r="E18" s="28" t="s">
        <v>16</v>
      </c>
      <c r="F18" s="29"/>
      <c r="G18" s="22" t="s">
        <v>441</v>
      </c>
      <c r="H18" s="27" t="s">
        <v>73</v>
      </c>
      <c r="I18" s="27"/>
      <c r="N18" s="36"/>
      <c r="O18" s="36"/>
      <c r="P18" s="36"/>
      <c r="Q18" s="36"/>
      <c r="R18" s="32"/>
      <c r="S18" s="36"/>
    </row>
    <row r="19" spans="2:19">
      <c r="B19" s="11"/>
      <c r="C19" s="29" t="s">
        <v>3742</v>
      </c>
      <c r="D19" s="30" t="s">
        <v>10</v>
      </c>
      <c r="E19" s="28" t="s">
        <v>16</v>
      </c>
      <c r="F19" s="29"/>
      <c r="G19" s="22" t="s">
        <v>542</v>
      </c>
      <c r="H19" s="27" t="s">
        <v>73</v>
      </c>
      <c r="I19" s="27"/>
      <c r="N19" s="36"/>
      <c r="O19" s="36"/>
      <c r="P19" s="36"/>
      <c r="Q19" s="36"/>
      <c r="R19" s="32"/>
      <c r="S19" s="36"/>
    </row>
    <row r="20" spans="2:19">
      <c r="B20" s="11"/>
      <c r="C20" s="29" t="s">
        <v>3739</v>
      </c>
      <c r="D20" s="29" t="s">
        <v>21</v>
      </c>
      <c r="E20" s="28" t="s">
        <v>16</v>
      </c>
      <c r="F20" s="29"/>
      <c r="G20" s="22" t="s">
        <v>442</v>
      </c>
      <c r="H20" s="27" t="s">
        <v>73</v>
      </c>
      <c r="I20" s="27" t="s">
        <v>264</v>
      </c>
      <c r="N20" s="36"/>
      <c r="O20" s="36"/>
      <c r="P20" s="36"/>
      <c r="Q20" s="36"/>
      <c r="R20" s="32"/>
      <c r="S20" s="36"/>
    </row>
    <row r="21" spans="2:19">
      <c r="B21" s="11"/>
      <c r="C21" s="12" t="s">
        <v>0</v>
      </c>
      <c r="D21" s="12" t="s">
        <v>11</v>
      </c>
      <c r="E21" s="11" t="s">
        <v>16</v>
      </c>
      <c r="F21" s="4" t="s">
        <v>20</v>
      </c>
      <c r="G21" s="12" t="s">
        <v>30</v>
      </c>
      <c r="H21" s="13"/>
      <c r="I21" s="13"/>
      <c r="N21" s="36" t="str">
        <f>"EXEC sp_dropextendedproperty @name = N'MS_Description', @level0type=N'SCHEMA',@level0name=N'"&amp;$L$1&amp;"', @level1type=N'TABLE',@level1name=N'"&amp;$M$1&amp;"', @level2type=N'COLUMN',@level2name=N'"&amp;$C21&amp;"'"</f>
        <v>EXEC sp_dropextendedproperty @name = N'MS_Description', @level0type=N'SCHEMA',@level0name=N'dbo', @level1type=N'TABLE',@level1name=N'LifeInsYear', @level2type=N'COLUMN',@level2name=N'CreateTime'</v>
      </c>
      <c r="O21" s="36" t="str">
        <f>"EXEC sp_dropextendedproperty @name = N'Rule', @level0type=N'SCHEMA',@level0name=N'"&amp;$L$1&amp;"', @level1type=N'TABLE',@level1name=N'"&amp;$M$1&amp;"', @level2type=N'COLUMN',@level2name=N'"&amp;$C21&amp;"'"</f>
        <v>EXEC sp_dropextendedproperty @name = N'Rule', @level0type=N'SCHEMA',@level0name=N'dbo', @level1type=N'TABLE',@level1name=N'LifeInsYear', @level2type=N'COLUMN',@level2name=N'CreateTime'</v>
      </c>
      <c r="P21" s="36" t="str">
        <f>"EXEC sp_dropextendedproperty @name = N'Memo', @level0type=N'SCHEMA',@level0name=N'"&amp;$L$1&amp;"', @level1type=N'TABLE',@level1name=N'"&amp;$M$1&amp;"', @level2type=N'COLUMN',@level2name=N'"&amp;$C21&amp;"'"</f>
        <v>EXEC sp_dropextendedproperty @name = N'Memo', @level0type=N'SCHEMA',@level0name=N'dbo', @level1type=N'TABLE',@level1name=N'LifeInsYear', @level2type=N'COLUMN',@level2name=N'CreateTime'</v>
      </c>
      <c r="Q21" s="36" t="str">
        <f>"set @OldWording = N'"&amp;SUBSTITUTE($G21,CHAR(10),"")&amp;"'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@level2type=N'COLUMN',@level2name=N'"&amp;$C21&amp;"'"</f>
        <v>set @OldWording = N'建立時間' set @NewWording = REPLACE(@OldWording,'***',char(13)+char(10)) EXEC sys.sp_addextendedproperty @name=N'MS_Description', @value=@NewWording , @level0type=N'SCHEMA',@level0name=N'dbo', @level1type=N'TABLE',@level1name=N'LifeInsYear', @level2type=N'COLUMN',@level2name=N'CreateTime'</v>
      </c>
      <c r="R21" s="32" t="str">
        <f>"set @OldWording = N'"&amp;SUBSTITUTE($H21,CHAR(10),"")&amp;"'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@level2type=N'COLUMN',@level2name=N'"&amp;$C21&amp;"'"</f>
        <v>set @OldWording = N'' set @NewWording = REPLACE(@OldWording,'***',char(13)+char(10)) EXEC sys.sp_addextendedproperty @name=N'Rule', @value=@NewWording , @level0type=N'SCHEMA',@level0name=N'dbo', @level1type=N'TABLE',@level1name=N'LifeInsYear', @level2type=N'COLUMN',@level2name=N'CreateTime'</v>
      </c>
      <c r="S21" s="36" t="str">
        <f>"set @OldWording = N'"&amp;SUBSTITUTE($I21,CHAR(10),"")&amp;"' set @NewWording = REPLACE(@OldWording,'***',char(13)+char(10)) "&amp;"EXEC sys.sp_addextendedproperty @name=N'Memo', @value=@NewWording , @level0type=N'SCHEMA',@level0name=N'"&amp;$L$1&amp;"', @level1type=N'TABLE',@level1name=N'"&amp;$M$1&amp;"', @level2type=N'COLUMN',@level2name=N'"&amp;$C21&amp;"'"</f>
        <v>set @OldWording = N'' set @NewWording = REPLACE(@OldWording,'***',char(13)+char(10)) EXEC sys.sp_addextendedproperty @name=N'Memo', @value=@NewWording , @level0type=N'SCHEMA',@level0name=N'dbo', @level1type=N'TABLE',@level1name=N'LifeInsYear', @level2type=N'COLUMN',@level2name=N'CreateTime'</v>
      </c>
    </row>
    <row r="22" spans="2:19">
      <c r="B22" s="11"/>
      <c r="C22" s="12" t="s">
        <v>1</v>
      </c>
      <c r="D22" s="12" t="s">
        <v>37</v>
      </c>
      <c r="E22" s="11"/>
      <c r="F22" s="4"/>
      <c r="G22" s="12" t="s">
        <v>31</v>
      </c>
      <c r="H22" s="13"/>
      <c r="I22" s="13"/>
      <c r="N22" s="36" t="str">
        <f>"EXEC sp_dropextendedproperty @name = N'MS_Description', @level0type=N'SCHEMA',@level0name=N'"&amp;$L$1&amp;"', @level1type=N'TABLE',@level1name=N'"&amp;$M$1&amp;"', @level2type=N'COLUMN',@level2name=N'"&amp;$C22&amp;"'"</f>
        <v>EXEC sp_dropextendedproperty @name = N'MS_Description', @level0type=N'SCHEMA',@level0name=N'dbo', @level1type=N'TABLE',@level1name=N'LifeInsYear', @level2type=N'COLUMN',@level2name=N'Creator'</v>
      </c>
      <c r="O22" s="36" t="str">
        <f>"EXEC sp_dropextendedproperty @name = N'Rule', @level0type=N'SCHEMA',@level0name=N'"&amp;$L$1&amp;"', @level1type=N'TABLE',@level1name=N'"&amp;$M$1&amp;"', @level2type=N'COLUMN',@level2name=N'"&amp;$C22&amp;"'"</f>
        <v>EXEC sp_dropextendedproperty @name = N'Rule', @level0type=N'SCHEMA',@level0name=N'dbo', @level1type=N'TABLE',@level1name=N'LifeInsYear', @level2type=N'COLUMN',@level2name=N'Creator'</v>
      </c>
      <c r="P22" s="36" t="str">
        <f>"EXEC sp_dropextendedproperty @name = N'Memo', @level0type=N'SCHEMA',@level0name=N'"&amp;$L$1&amp;"', @level1type=N'TABLE',@level1name=N'"&amp;$M$1&amp;"', @level2type=N'COLUMN',@level2name=N'"&amp;$C22&amp;"'"</f>
        <v>EXEC sp_dropextendedproperty @name = N'Memo', @level0type=N'SCHEMA',@level0name=N'dbo', @level1type=N'TABLE',@level1name=N'LifeInsYear', @level2type=N'COLUMN',@level2name=N'Creator'</v>
      </c>
      <c r="Q22" s="36" t="str">
        <f>"set @OldWording = N'"&amp;SUBSTITUTE($G22,CHAR(10),"")&amp;"'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@level2type=N'COLUMN',@level2name=N'"&amp;$C22&amp;"'"</f>
        <v>set @OldWording = N'建立人員' set @NewWording = REPLACE(@OldWording,'***',char(13)+char(10)) EXEC sys.sp_addextendedproperty @name=N'MS_Description', @value=@NewWording , @level0type=N'SCHEMA',@level0name=N'dbo', @level1type=N'TABLE',@level1name=N'LifeInsYear', @level2type=N'COLUMN',@level2name=N'Creator'</v>
      </c>
      <c r="R22" s="32" t="str">
        <f>"set @OldWording = N'"&amp;SUBSTITUTE($H22,CHAR(10),"")&amp;"'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@level2type=N'COLUMN',@level2name=N'"&amp;$C22&amp;"'"</f>
        <v>set @OldWording = N'' set @NewWording = REPLACE(@OldWording,'***',char(13)+char(10)) EXEC sys.sp_addextendedproperty @name=N'Rule', @value=@NewWording , @level0type=N'SCHEMA',@level0name=N'dbo', @level1type=N'TABLE',@level1name=N'LifeInsYear', @level2type=N'COLUMN',@level2name=N'Creator'</v>
      </c>
      <c r="S22" s="36" t="str">
        <f>"set @OldWording = N'"&amp;SUBSTITUTE($I22,CHAR(10),"")&amp;"' set @NewWording = REPLACE(@OldWording,'***',char(13)+char(10)) "&amp;"EXEC sys.sp_addextendedproperty @name=N'Memo', @value=@NewWording , @level0type=N'SCHEMA',@level0name=N'"&amp;$L$1&amp;"', @level1type=N'TABLE',@level1name=N'"&amp;$M$1&amp;"', @level2type=N'COLUMN',@level2name=N'"&amp;$C22&amp;"'"</f>
        <v>set @OldWording = N'' set @NewWording = REPLACE(@OldWording,'***',char(13)+char(10)) EXEC sys.sp_addextendedproperty @name=N'Memo', @value=@NewWording , @level0type=N'SCHEMA',@level0name=N'dbo', @level1type=N'TABLE',@level1name=N'LifeInsYear', @level2type=N'COLUMN',@level2name=N'Creator'</v>
      </c>
    </row>
    <row r="23" spans="2:19">
      <c r="B23" s="11"/>
      <c r="C23" s="12" t="s">
        <v>19</v>
      </c>
      <c r="D23" s="12" t="s">
        <v>11</v>
      </c>
      <c r="E23" s="11" t="s">
        <v>16</v>
      </c>
      <c r="F23" s="4" t="s">
        <v>20</v>
      </c>
      <c r="G23" s="12" t="s">
        <v>32</v>
      </c>
      <c r="H23" s="13"/>
      <c r="I23" s="13"/>
      <c r="N23" s="36" t="str">
        <f>"EXEC sp_dropextendedproperty @name = N'MS_Description', @level0type=N'SCHEMA',@level0name=N'"&amp;$L$1&amp;"', @level1type=N'TABLE',@level1name=N'"&amp;$M$1&amp;"', @level2type=N'COLUMN',@level2name=N'"&amp;$C23&amp;"'"</f>
        <v>EXEC sp_dropextendedproperty @name = N'MS_Description', @level0type=N'SCHEMA',@level0name=N'dbo', @level1type=N'TABLE',@level1name=N'LifeInsYear', @level2type=N'COLUMN',@level2name=N'ModifyTime'</v>
      </c>
      <c r="O23" s="36" t="str">
        <f>"EXEC sp_dropextendedproperty @name = N'Rule', @level0type=N'SCHEMA',@level0name=N'"&amp;$L$1&amp;"', @level1type=N'TABLE',@level1name=N'"&amp;$M$1&amp;"', @level2type=N'COLUMN',@level2name=N'"&amp;$C23&amp;"'"</f>
        <v>EXEC sp_dropextendedproperty @name = N'Rule', @level0type=N'SCHEMA',@level0name=N'dbo', @level1type=N'TABLE',@level1name=N'LifeInsYear', @level2type=N'COLUMN',@level2name=N'ModifyTime'</v>
      </c>
      <c r="P23" s="36" t="str">
        <f>"EXEC sp_dropextendedproperty @name = N'Memo', @level0type=N'SCHEMA',@level0name=N'"&amp;$L$1&amp;"', @level1type=N'TABLE',@level1name=N'"&amp;$M$1&amp;"', @level2type=N'COLUMN',@level2name=N'"&amp;$C23&amp;"'"</f>
        <v>EXEC sp_dropextendedproperty @name = N'Memo', @level0type=N'SCHEMA',@level0name=N'dbo', @level1type=N'TABLE',@level1name=N'LifeInsYear', @level2type=N'COLUMN',@level2name=N'ModifyTime'</v>
      </c>
      <c r="Q23" s="36" t="str">
        <f>"set @OldWording = N'"&amp;SUBSTITUTE($G23,CHAR(10),"")&amp;"'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@level2type=N'COLUMN',@level2name=N'"&amp;$C23&amp;"'"</f>
        <v>set @OldWording = N'修改時間' set @NewWording = REPLACE(@OldWording,'***',char(13)+char(10)) EXEC sys.sp_addextendedproperty @name=N'MS_Description', @value=@NewWording , @level0type=N'SCHEMA',@level0name=N'dbo', @level1type=N'TABLE',@level1name=N'LifeInsYear', @level2type=N'COLUMN',@level2name=N'ModifyTime'</v>
      </c>
      <c r="R23" s="32" t="str">
        <f>"set @OldWording = N'"&amp;SUBSTITUTE($H23,CHAR(10),"")&amp;"'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@level2type=N'COLUMN',@level2name=N'"&amp;$C23&amp;"'"</f>
        <v>set @OldWording = N'' set @NewWording = REPLACE(@OldWording,'***',char(13)+char(10)) EXEC sys.sp_addextendedproperty @name=N'Rule', @value=@NewWording , @level0type=N'SCHEMA',@level0name=N'dbo', @level1type=N'TABLE',@level1name=N'LifeInsYear', @level2type=N'COLUMN',@level2name=N'ModifyTime'</v>
      </c>
      <c r="S23" s="36" t="str">
        <f>"set @OldWording = N'"&amp;SUBSTITUTE($I23,CHAR(10),"")&amp;"' set @NewWording = REPLACE(@OldWording,'***',char(13)+char(10)) "&amp;"EXEC sys.sp_addextendedproperty @name=N'Memo', @value=@NewWording , @level0type=N'SCHEMA',@level0name=N'"&amp;$L$1&amp;"', @level1type=N'TABLE',@level1name=N'"&amp;$M$1&amp;"', @level2type=N'COLUMN',@level2name=N'"&amp;$C23&amp;"'"</f>
        <v>set @OldWording = N'' set @NewWording = REPLACE(@OldWording,'***',char(13)+char(10)) EXEC sys.sp_addextendedproperty @name=N'Memo', @value=@NewWording , @level0type=N'SCHEMA',@level0name=N'dbo', @level1type=N'TABLE',@level1name=N'LifeInsYear', @level2type=N'COLUMN',@level2name=N'ModifyTime'</v>
      </c>
    </row>
    <row r="24" spans="2:19">
      <c r="B24" s="11"/>
      <c r="C24" s="12" t="s">
        <v>2</v>
      </c>
      <c r="D24" s="12" t="s">
        <v>37</v>
      </c>
      <c r="E24" s="11"/>
      <c r="F24" s="4"/>
      <c r="G24" s="12" t="s">
        <v>33</v>
      </c>
      <c r="H24" s="13"/>
      <c r="I24" s="13"/>
      <c r="N24" s="36" t="str">
        <f>"EXEC sp_dropextendedproperty @name = N'MS_Description', @level0type=N'SCHEMA',@level0name=N'"&amp;$L$1&amp;"', @level1type=N'TABLE',@level1name=N'"&amp;$M$1&amp;"', @level2type=N'COLUMN',@level2name=N'"&amp;$C24&amp;"'"</f>
        <v>EXEC sp_dropextendedproperty @name = N'MS_Description', @level0type=N'SCHEMA',@level0name=N'dbo', @level1type=N'TABLE',@level1name=N'LifeInsYear', @level2type=N'COLUMN',@level2name=N'Modifier'</v>
      </c>
      <c r="O24" s="36" t="str">
        <f>"EXEC sp_dropextendedproperty @name = N'Rule', @level0type=N'SCHEMA',@level0name=N'"&amp;$L$1&amp;"', @level1type=N'TABLE',@level1name=N'"&amp;$M$1&amp;"', @level2type=N'COLUMN',@level2name=N'"&amp;$C24&amp;"'"</f>
        <v>EXEC sp_dropextendedproperty @name = N'Rule', @level0type=N'SCHEMA',@level0name=N'dbo', @level1type=N'TABLE',@level1name=N'LifeInsYear', @level2type=N'COLUMN',@level2name=N'Modifier'</v>
      </c>
      <c r="P24" s="36" t="str">
        <f>"EXEC sp_dropextendedproperty @name = N'Memo', @level0type=N'SCHEMA',@level0name=N'"&amp;$L$1&amp;"', @level1type=N'TABLE',@level1name=N'"&amp;$M$1&amp;"', @level2type=N'COLUMN',@level2name=N'"&amp;$C24&amp;"'"</f>
        <v>EXEC sp_dropextendedproperty @name = N'Memo', @level0type=N'SCHEMA',@level0name=N'dbo', @level1type=N'TABLE',@level1name=N'LifeInsYear', @level2type=N'COLUMN',@level2name=N'Modifier'</v>
      </c>
      <c r="Q24" s="36" t="str">
        <f>"set @OldWording = N'"&amp;SUBSTITUTE($G24,CHAR(10),"")&amp;"'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@level2type=N'COLUMN',@level2name=N'"&amp;$C24&amp;"'"</f>
        <v>set @OldWording = N'修改人員' set @NewWording = REPLACE(@OldWording,'***',char(13)+char(10)) EXEC sys.sp_addextendedproperty @name=N'MS_Description', @value=@NewWording , @level0type=N'SCHEMA',@level0name=N'dbo', @level1type=N'TABLE',@level1name=N'LifeInsYear', @level2type=N'COLUMN',@level2name=N'Modifier'</v>
      </c>
      <c r="R24" s="32" t="str">
        <f>"set @OldWording = N'"&amp;SUBSTITUTE($H24,CHAR(10),"")&amp;"'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@level2type=N'COLUMN',@level2name=N'"&amp;$C24&amp;"'"</f>
        <v>set @OldWording = N'' set @NewWording = REPLACE(@OldWording,'***',char(13)+char(10)) EXEC sys.sp_addextendedproperty @name=N'Rule', @value=@NewWording , @level0type=N'SCHEMA',@level0name=N'dbo', @level1type=N'TABLE',@level1name=N'LifeInsYear', @level2type=N'COLUMN',@level2name=N'Modifier'</v>
      </c>
      <c r="S24" s="36" t="str">
        <f>"set @OldWording = N'"&amp;SUBSTITUTE($I24,CHAR(10),"")&amp;"' set @NewWording = REPLACE(@OldWording,'***',char(13)+char(10)) "&amp;"EXEC sys.sp_addextendedproperty @name=N'Memo', @value=@NewWording , @level0type=N'SCHEMA',@level0name=N'"&amp;$L$1&amp;"', @level1type=N'TABLE',@level1name=N'"&amp;$M$1&amp;"', @level2type=N'COLUMN',@level2name=N'"&amp;$C24&amp;"'"</f>
        <v>set @OldWording = N'' set @NewWording = REPLACE(@OldWording,'***',char(13)+char(10)) EXEC sys.sp_addextendedproperty @name=N'Memo', @value=@NewWording , @level0type=N'SCHEMA',@level0name=N'dbo', @level1type=N'TABLE',@level1name=N'LifeInsYear', @level2type=N'COLUMN',@level2name=N'Modifier'</v>
      </c>
    </row>
    <row r="25" spans="2:19">
      <c r="B25" s="11"/>
      <c r="C25" s="12"/>
      <c r="D25" s="12"/>
      <c r="E25" s="11"/>
      <c r="F25" s="4"/>
      <c r="G25" s="12"/>
      <c r="H25" s="13"/>
      <c r="I25" s="13"/>
    </row>
    <row r="26" spans="2:19">
      <c r="B26" s="11"/>
      <c r="C26" s="12"/>
      <c r="D26" s="12"/>
      <c r="E26" s="11"/>
      <c r="F26" s="4"/>
      <c r="G26" s="12"/>
      <c r="H26" s="13"/>
      <c r="I26" s="13"/>
    </row>
    <row r="27" spans="2:19">
      <c r="B27" s="11"/>
      <c r="C27" s="12"/>
      <c r="D27" s="12"/>
      <c r="E27" s="11"/>
      <c r="F27" s="4"/>
      <c r="G27" s="12"/>
      <c r="H27" s="13"/>
      <c r="I27" s="13"/>
    </row>
    <row r="28" spans="2:19">
      <c r="B28" s="11"/>
      <c r="C28" s="12"/>
      <c r="D28" s="12"/>
      <c r="E28" s="11"/>
      <c r="F28" s="4"/>
      <c r="G28" s="12"/>
      <c r="H28" s="13"/>
      <c r="I28" s="13"/>
    </row>
    <row r="29" spans="2:19">
      <c r="B29" s="11"/>
      <c r="C29" s="12"/>
      <c r="D29" s="12"/>
      <c r="E29" s="11"/>
      <c r="F29" s="4"/>
      <c r="G29" s="12"/>
      <c r="H29" s="13"/>
      <c r="I29" s="13"/>
    </row>
    <row r="30" spans="2:19">
      <c r="B30" s="11"/>
      <c r="C30" s="12"/>
      <c r="D30" s="12"/>
      <c r="E30" s="11"/>
      <c r="F30" s="4"/>
      <c r="G30" s="12"/>
      <c r="H30" s="13"/>
      <c r="I30" s="13"/>
    </row>
    <row r="31" spans="2:19">
      <c r="B31" s="11"/>
      <c r="C31" s="12"/>
      <c r="D31" s="12"/>
      <c r="E31" s="11"/>
      <c r="F31" s="4"/>
      <c r="G31" s="12"/>
      <c r="H31" s="13"/>
      <c r="I31" s="13"/>
    </row>
    <row r="32" spans="2:19">
      <c r="B32" s="11"/>
      <c r="C32" s="12"/>
      <c r="D32" s="12"/>
      <c r="E32" s="11"/>
      <c r="F32" s="4"/>
      <c r="G32" s="12"/>
      <c r="H32" s="13"/>
      <c r="I32" s="13"/>
    </row>
    <row r="33" spans="2:9">
      <c r="B33" s="11"/>
      <c r="C33" s="12"/>
      <c r="D33" s="12"/>
      <c r="E33" s="11"/>
      <c r="F33" s="4"/>
      <c r="G33" s="12"/>
      <c r="H33" s="13"/>
      <c r="I33" s="13"/>
    </row>
    <row r="34" spans="2:9">
      <c r="B34" s="11"/>
      <c r="C34" s="12"/>
      <c r="D34" s="12"/>
      <c r="E34" s="11"/>
      <c r="F34" s="4"/>
      <c r="G34" s="12"/>
      <c r="H34" s="13"/>
      <c r="I34" s="13"/>
    </row>
    <row r="35" spans="2:9">
      <c r="B35" s="11"/>
      <c r="C35" s="12"/>
      <c r="D35" s="12"/>
      <c r="E35" s="11"/>
      <c r="F35" s="4"/>
      <c r="G35" s="12"/>
      <c r="H35" s="13"/>
      <c r="I35" s="13"/>
    </row>
    <row r="36" spans="2:9">
      <c r="B36" s="11"/>
      <c r="C36" s="12"/>
      <c r="D36" s="12"/>
      <c r="E36" s="11"/>
      <c r="F36" s="4"/>
      <c r="G36" s="12"/>
      <c r="H36" s="13"/>
      <c r="I36" s="13"/>
    </row>
    <row r="37" spans="2:9">
      <c r="B37" s="11"/>
      <c r="C37" s="12"/>
      <c r="D37" s="12"/>
      <c r="E37" s="11"/>
      <c r="F37" s="4"/>
      <c r="G37" s="12"/>
      <c r="H37" s="13"/>
      <c r="I37" s="13"/>
    </row>
    <row r="38" spans="2:9">
      <c r="B38" s="11"/>
      <c r="C38" s="12"/>
      <c r="D38" s="12"/>
      <c r="E38" s="11"/>
      <c r="F38" s="4"/>
      <c r="G38" s="12"/>
      <c r="H38" s="13"/>
      <c r="I38" s="13"/>
    </row>
    <row r="39" spans="2:9">
      <c r="B39" s="11"/>
      <c r="C39" s="12"/>
      <c r="D39" s="12"/>
      <c r="E39" s="11"/>
      <c r="F39" s="4"/>
      <c r="G39" s="12"/>
      <c r="H39" s="13"/>
      <c r="I39" s="13"/>
    </row>
    <row r="40" spans="2:9">
      <c r="B40" s="11"/>
      <c r="C40" s="12"/>
      <c r="D40" s="12"/>
      <c r="E40" s="11"/>
      <c r="F40" s="4"/>
      <c r="G40" s="12"/>
      <c r="H40" s="13"/>
      <c r="I40" s="13"/>
    </row>
    <row r="41" spans="2:9">
      <c r="B41" s="11"/>
      <c r="C41" s="12"/>
      <c r="D41" s="12"/>
      <c r="E41" s="11"/>
      <c r="F41" s="4"/>
      <c r="G41" s="12"/>
      <c r="H41" s="13"/>
      <c r="I41" s="13"/>
    </row>
    <row r="42" spans="2:9">
      <c r="B42" s="11"/>
      <c r="C42" s="12"/>
      <c r="D42" s="12"/>
      <c r="E42" s="11"/>
      <c r="F42" s="4"/>
      <c r="G42" s="12"/>
      <c r="H42" s="13"/>
      <c r="I42" s="13"/>
    </row>
    <row r="43" spans="2:9">
      <c r="B43" s="11"/>
      <c r="C43" s="12"/>
      <c r="D43" s="12"/>
      <c r="E43" s="11"/>
      <c r="F43" s="4"/>
      <c r="G43" s="12"/>
      <c r="H43" s="13"/>
      <c r="I43" s="13"/>
    </row>
    <row r="44" spans="2:9">
      <c r="B44" s="11"/>
      <c r="C44" s="12"/>
      <c r="D44" s="12"/>
      <c r="E44" s="11"/>
      <c r="F44" s="4"/>
      <c r="G44" s="12"/>
      <c r="H44" s="13"/>
      <c r="I44" s="13"/>
    </row>
    <row r="45" spans="2:9">
      <c r="B45" s="11"/>
      <c r="C45" s="12"/>
      <c r="D45" s="12"/>
      <c r="E45" s="11"/>
      <c r="F45" s="4"/>
      <c r="G45" s="12"/>
      <c r="H45" s="13"/>
      <c r="I45" s="13"/>
    </row>
    <row r="46" spans="2:9">
      <c r="B46" s="11"/>
      <c r="C46" s="12"/>
      <c r="D46" s="12"/>
      <c r="E46" s="11"/>
      <c r="F46" s="4"/>
      <c r="G46" s="12"/>
      <c r="H46" s="13"/>
      <c r="I46" s="13"/>
    </row>
    <row r="47" spans="2:9">
      <c r="B47" s="11"/>
      <c r="C47" s="12"/>
      <c r="D47" s="12"/>
      <c r="E47" s="11"/>
      <c r="F47" s="4"/>
      <c r="G47" s="12"/>
      <c r="H47" s="13"/>
      <c r="I47" s="13"/>
    </row>
    <row r="48" spans="2:9">
      <c r="B48" s="11"/>
      <c r="C48" s="12"/>
      <c r="D48" s="12"/>
      <c r="E48" s="11"/>
      <c r="F48" s="4"/>
      <c r="G48" s="12"/>
      <c r="H48" s="13"/>
      <c r="I48" s="13"/>
    </row>
    <row r="49" spans="2:9">
      <c r="B49" s="11"/>
      <c r="C49" s="12"/>
      <c r="D49" s="12"/>
      <c r="E49" s="11"/>
      <c r="F49" s="4"/>
      <c r="G49" s="12"/>
      <c r="H49" s="13"/>
      <c r="I49" s="13"/>
    </row>
    <row r="50" spans="2:9">
      <c r="B50" s="11"/>
      <c r="C50" s="12"/>
      <c r="D50" s="12"/>
      <c r="E50" s="11"/>
      <c r="F50" s="4"/>
      <c r="G50" s="12"/>
      <c r="H50" s="13"/>
      <c r="I50" s="13"/>
    </row>
    <row r="51" spans="2:9">
      <c r="B51" s="11"/>
      <c r="C51" s="12"/>
      <c r="D51" s="12"/>
      <c r="E51" s="11"/>
      <c r="F51" s="4"/>
      <c r="G51" s="12"/>
      <c r="H51" s="13"/>
      <c r="I51" s="13"/>
    </row>
    <row r="52" spans="2:9">
      <c r="B52" s="11"/>
      <c r="C52" s="12"/>
      <c r="D52" s="12"/>
      <c r="E52" s="11"/>
      <c r="F52" s="4"/>
      <c r="G52" s="12"/>
      <c r="H52" s="13"/>
      <c r="I52" s="13"/>
    </row>
    <row r="53" spans="2:9">
      <c r="B53" s="11"/>
      <c r="C53" s="12"/>
      <c r="D53" s="12"/>
      <c r="E53" s="11"/>
      <c r="F53" s="4"/>
      <c r="G53" s="12"/>
      <c r="H53" s="13"/>
      <c r="I53" s="13"/>
    </row>
    <row r="54" spans="2:9">
      <c r="B54" s="11"/>
      <c r="C54" s="12"/>
      <c r="D54" s="12"/>
      <c r="E54" s="11"/>
      <c r="F54" s="4"/>
      <c r="G54" s="12"/>
      <c r="H54" s="13"/>
      <c r="I54" s="13"/>
    </row>
    <row r="55" spans="2:9">
      <c r="B55" s="11"/>
      <c r="C55" s="12"/>
      <c r="D55" s="12"/>
      <c r="E55" s="11"/>
      <c r="F55" s="4"/>
      <c r="G55" s="12"/>
      <c r="H55" s="13"/>
      <c r="I55" s="13"/>
    </row>
    <row r="56" spans="2:9">
      <c r="B56" s="11"/>
      <c r="C56" s="12"/>
      <c r="D56" s="12"/>
      <c r="E56" s="11"/>
      <c r="F56" s="4"/>
      <c r="G56" s="12"/>
      <c r="H56" s="13"/>
      <c r="I56" s="13"/>
    </row>
    <row r="57" spans="2:9">
      <c r="B57" s="11"/>
      <c r="C57" s="12"/>
      <c r="D57" s="12"/>
      <c r="E57" s="11"/>
      <c r="F57" s="4"/>
      <c r="G57" s="12"/>
      <c r="H57" s="13"/>
      <c r="I57" s="13"/>
    </row>
    <row r="58" spans="2:9">
      <c r="B58" s="11"/>
      <c r="C58" s="12"/>
      <c r="D58" s="12"/>
      <c r="E58" s="11"/>
      <c r="F58" s="4"/>
      <c r="G58" s="12"/>
      <c r="H58" s="13"/>
      <c r="I58" s="13"/>
    </row>
    <row r="59" spans="2:9">
      <c r="B59" s="11"/>
      <c r="C59" s="12"/>
      <c r="D59" s="12"/>
      <c r="E59" s="11"/>
      <c r="F59" s="4"/>
      <c r="G59" s="12"/>
      <c r="H59" s="13"/>
      <c r="I59" s="13"/>
    </row>
    <row r="60" spans="2:9">
      <c r="B60" s="11"/>
      <c r="C60" s="12"/>
      <c r="D60" s="12"/>
      <c r="E60" s="11"/>
      <c r="F60" s="4"/>
      <c r="G60" s="12"/>
      <c r="H60" s="13"/>
      <c r="I60" s="13"/>
    </row>
    <row r="61" spans="2:9">
      <c r="B61" s="11"/>
      <c r="C61" s="12"/>
      <c r="D61" s="12"/>
      <c r="E61" s="11"/>
      <c r="F61" s="4"/>
      <c r="G61" s="12"/>
      <c r="H61" s="13"/>
      <c r="I61" s="13"/>
    </row>
    <row r="62" spans="2:9">
      <c r="B62" s="11"/>
      <c r="C62" s="12"/>
      <c r="D62" s="12"/>
      <c r="E62" s="11"/>
      <c r="F62" s="4"/>
      <c r="G62" s="12"/>
      <c r="H62" s="13"/>
      <c r="I62" s="13"/>
    </row>
    <row r="63" spans="2:9">
      <c r="B63" s="11"/>
      <c r="C63" s="12"/>
      <c r="D63" s="12"/>
      <c r="E63" s="11"/>
      <c r="F63" s="4"/>
      <c r="G63" s="12"/>
      <c r="H63" s="13"/>
      <c r="I63" s="13"/>
    </row>
    <row r="64" spans="2:9">
      <c r="B64" s="11"/>
      <c r="C64" s="12"/>
      <c r="D64" s="12"/>
      <c r="E64" s="11"/>
      <c r="F64" s="4"/>
      <c r="G64" s="12"/>
      <c r="H64" s="13"/>
      <c r="I64" s="13"/>
    </row>
    <row r="65" spans="2:9">
      <c r="B65" s="11"/>
      <c r="C65" s="12"/>
      <c r="D65" s="12"/>
      <c r="E65" s="11"/>
      <c r="F65" s="4"/>
      <c r="G65" s="12"/>
      <c r="H65" s="13"/>
      <c r="I65" s="13"/>
    </row>
    <row r="66" spans="2:9">
      <c r="B66" s="11"/>
      <c r="C66" s="12"/>
      <c r="D66" s="12"/>
      <c r="E66" s="11"/>
      <c r="F66" s="4"/>
      <c r="G66" s="12"/>
      <c r="H66" s="13"/>
      <c r="I66" s="13"/>
    </row>
    <row r="67" spans="2:9">
      <c r="B67" s="11"/>
      <c r="C67" s="12"/>
      <c r="D67" s="12"/>
      <c r="E67" s="11"/>
      <c r="F67" s="4"/>
      <c r="G67" s="12"/>
      <c r="H67" s="13"/>
      <c r="I67" s="13"/>
    </row>
    <row r="68" spans="2:9">
      <c r="B68" s="11"/>
      <c r="C68" s="12"/>
      <c r="D68" s="12"/>
      <c r="E68" s="11"/>
      <c r="F68" s="4"/>
      <c r="G68" s="12"/>
      <c r="H68" s="13"/>
      <c r="I68" s="13"/>
    </row>
    <row r="69" spans="2:9">
      <c r="B69" s="11"/>
      <c r="C69" s="12"/>
      <c r="D69" s="12"/>
      <c r="E69" s="11"/>
      <c r="F69" s="4"/>
      <c r="G69" s="12"/>
      <c r="H69" s="13"/>
      <c r="I69" s="13"/>
    </row>
    <row r="70" spans="2:9">
      <c r="B70" s="11"/>
      <c r="C70" s="12"/>
      <c r="D70" s="12"/>
      <c r="E70" s="11"/>
      <c r="F70" s="4"/>
      <c r="G70" s="12"/>
      <c r="H70" s="13"/>
      <c r="I70" s="13"/>
    </row>
    <row r="71" spans="2:9">
      <c r="B71" s="11"/>
      <c r="C71" s="12"/>
      <c r="D71" s="12"/>
      <c r="E71" s="11"/>
      <c r="F71" s="4"/>
      <c r="G71" s="12"/>
      <c r="H71" s="13"/>
      <c r="I71" s="13"/>
    </row>
    <row r="72" spans="2:9">
      <c r="B72" s="11"/>
      <c r="C72" s="12"/>
      <c r="D72" s="12"/>
      <c r="E72" s="11"/>
      <c r="F72" s="4"/>
      <c r="G72" s="12"/>
      <c r="H72" s="13"/>
      <c r="I72" s="13"/>
    </row>
    <row r="73" spans="2:9">
      <c r="B73" s="11"/>
      <c r="C73" s="12"/>
      <c r="D73" s="12"/>
      <c r="E73" s="11"/>
      <c r="F73" s="4"/>
      <c r="G73" s="12"/>
      <c r="H73" s="13"/>
      <c r="I73" s="13"/>
    </row>
    <row r="74" spans="2:9">
      <c r="B74" s="11"/>
      <c r="C74" s="12"/>
      <c r="D74" s="12"/>
      <c r="E74" s="11"/>
      <c r="F74" s="4"/>
      <c r="G74" s="12"/>
      <c r="H74" s="13"/>
      <c r="I74" s="13"/>
    </row>
    <row r="75" spans="2:9">
      <c r="B75" s="11"/>
      <c r="C75" s="12"/>
      <c r="D75" s="12"/>
      <c r="E75" s="11"/>
      <c r="F75" s="4"/>
      <c r="G75" s="12"/>
      <c r="H75" s="13"/>
      <c r="I75" s="13"/>
    </row>
    <row r="76" spans="2:9">
      <c r="B76" s="11"/>
      <c r="C76" s="12"/>
      <c r="D76" s="12"/>
      <c r="E76" s="11"/>
      <c r="F76" s="4"/>
      <c r="G76" s="12"/>
      <c r="H76" s="13"/>
      <c r="I76" s="13"/>
    </row>
    <row r="77" spans="2:9">
      <c r="B77" s="11"/>
      <c r="C77" s="12"/>
      <c r="D77" s="12"/>
      <c r="E77" s="11"/>
      <c r="F77" s="4"/>
      <c r="G77" s="12"/>
      <c r="H77" s="13"/>
      <c r="I77" s="13"/>
    </row>
    <row r="78" spans="2:9">
      <c r="B78" s="11"/>
      <c r="C78" s="12"/>
      <c r="D78" s="12"/>
      <c r="E78" s="11"/>
      <c r="F78" s="4"/>
      <c r="G78" s="12"/>
      <c r="H78" s="13"/>
      <c r="I78" s="13"/>
    </row>
    <row r="79" spans="2:9">
      <c r="B79" s="11"/>
      <c r="C79" s="12"/>
      <c r="D79" s="12"/>
      <c r="E79" s="11"/>
      <c r="F79" s="4"/>
      <c r="G79" s="12"/>
      <c r="H79" s="13"/>
      <c r="I79" s="13"/>
    </row>
    <row r="80" spans="2:9">
      <c r="B80" s="11"/>
      <c r="C80" s="12"/>
      <c r="D80" s="12"/>
      <c r="E80" s="11"/>
      <c r="F80" s="4"/>
      <c r="G80" s="12"/>
      <c r="H80" s="13"/>
      <c r="I80" s="13"/>
    </row>
    <row r="81" spans="2:9">
      <c r="B81" s="11"/>
      <c r="C81" s="12"/>
      <c r="D81" s="12"/>
      <c r="E81" s="11"/>
      <c r="F81" s="4"/>
      <c r="G81" s="12"/>
      <c r="H81" s="13"/>
      <c r="I81" s="13"/>
    </row>
    <row r="82" spans="2:9">
      <c r="B82" s="11"/>
      <c r="C82" s="12"/>
      <c r="D82" s="12"/>
      <c r="E82" s="11"/>
      <c r="F82" s="4"/>
      <c r="G82" s="12"/>
      <c r="H82" s="13"/>
      <c r="I82" s="13"/>
    </row>
    <row r="83" spans="2:9">
      <c r="B83" s="11"/>
      <c r="C83" s="12"/>
      <c r="D83" s="12"/>
      <c r="E83" s="11"/>
      <c r="F83" s="4"/>
      <c r="G83" s="12"/>
      <c r="H83" s="13"/>
      <c r="I83" s="13"/>
    </row>
    <row r="84" spans="2:9">
      <c r="B84" s="11"/>
      <c r="C84" s="12"/>
      <c r="D84" s="12"/>
      <c r="E84" s="11"/>
      <c r="F84" s="4"/>
      <c r="G84" s="12"/>
      <c r="H84" s="13"/>
      <c r="I84" s="13"/>
    </row>
    <row r="85" spans="2:9">
      <c r="B85" s="11"/>
      <c r="C85" s="12"/>
      <c r="D85" s="12"/>
      <c r="E85" s="11"/>
      <c r="F85" s="4"/>
      <c r="G85" s="12"/>
      <c r="H85" s="13"/>
      <c r="I85" s="13"/>
    </row>
    <row r="86" spans="2:9">
      <c r="B86" s="11"/>
      <c r="C86" s="12"/>
      <c r="D86" s="12"/>
      <c r="E86" s="11"/>
      <c r="F86" s="4"/>
      <c r="G86" s="12"/>
      <c r="H86" s="13"/>
      <c r="I86" s="13"/>
    </row>
    <row r="87" spans="2:9">
      <c r="B87" s="11"/>
      <c r="C87" s="12"/>
      <c r="D87" s="12"/>
      <c r="E87" s="11"/>
      <c r="F87" s="4"/>
      <c r="G87" s="12"/>
      <c r="H87" s="13"/>
      <c r="I87" s="13"/>
    </row>
    <row r="88" spans="2:9">
      <c r="B88" s="11"/>
      <c r="C88" s="12"/>
      <c r="D88" s="12"/>
      <c r="E88" s="11"/>
      <c r="F88" s="4"/>
      <c r="G88" s="12"/>
      <c r="H88" s="13"/>
      <c r="I88" s="13"/>
    </row>
    <row r="89" spans="2:9">
      <c r="B89" s="11"/>
      <c r="C89" s="12"/>
      <c r="D89" s="12"/>
      <c r="E89" s="11"/>
      <c r="F89" s="4"/>
      <c r="G89" s="12"/>
      <c r="H89" s="13"/>
      <c r="I89" s="13"/>
    </row>
    <row r="90" spans="2:9">
      <c r="B90" s="11"/>
      <c r="C90" s="12"/>
      <c r="D90" s="12"/>
      <c r="E90" s="11"/>
      <c r="F90" s="4"/>
      <c r="G90" s="12"/>
      <c r="H90" s="13"/>
      <c r="I90" s="13"/>
    </row>
    <row r="91" spans="2:9">
      <c r="B91" s="11"/>
      <c r="C91" s="12"/>
      <c r="D91" s="12"/>
      <c r="E91" s="11"/>
      <c r="F91" s="4"/>
      <c r="G91" s="12"/>
      <c r="H91" s="13"/>
      <c r="I91" s="13"/>
    </row>
    <row r="92" spans="2:9">
      <c r="B92" s="11"/>
      <c r="C92" s="12"/>
      <c r="D92" s="12"/>
      <c r="E92" s="11"/>
      <c r="F92" s="4"/>
      <c r="G92" s="12"/>
      <c r="H92" s="13"/>
      <c r="I92" s="13"/>
    </row>
    <row r="93" spans="2:9">
      <c r="B93" s="11"/>
      <c r="C93" s="12"/>
      <c r="D93" s="12"/>
      <c r="E93" s="11"/>
      <c r="F93" s="4"/>
      <c r="G93" s="12"/>
      <c r="H93" s="13"/>
      <c r="I93" s="13"/>
    </row>
    <row r="94" spans="2:9">
      <c r="B94" s="11"/>
      <c r="C94" s="12"/>
      <c r="D94" s="12"/>
      <c r="E94" s="11"/>
      <c r="F94" s="4"/>
      <c r="G94" s="12"/>
      <c r="H94" s="13"/>
      <c r="I94" s="13"/>
    </row>
    <row r="95" spans="2:9">
      <c r="B95" s="11"/>
      <c r="C95" s="12"/>
      <c r="D95" s="12"/>
      <c r="E95" s="11"/>
      <c r="F95" s="4"/>
      <c r="G95" s="12"/>
      <c r="H95" s="13"/>
      <c r="I95" s="13"/>
    </row>
    <row r="96" spans="2:9">
      <c r="B96" s="11"/>
      <c r="C96" s="12"/>
      <c r="D96" s="12"/>
      <c r="E96" s="11"/>
      <c r="F96" s="4"/>
      <c r="G96" s="12"/>
      <c r="H96" s="13"/>
      <c r="I96" s="13"/>
    </row>
    <row r="97" spans="2:9">
      <c r="B97" s="11"/>
      <c r="C97" s="12"/>
      <c r="D97" s="12"/>
      <c r="E97" s="11"/>
      <c r="F97" s="4"/>
      <c r="G97" s="12"/>
      <c r="H97" s="13"/>
      <c r="I97" s="13"/>
    </row>
    <row r="98" spans="2:9">
      <c r="B98" s="11"/>
      <c r="C98" s="12"/>
      <c r="D98" s="12"/>
      <c r="E98" s="11"/>
      <c r="F98" s="4"/>
      <c r="G98" s="12"/>
      <c r="H98" s="13"/>
      <c r="I98" s="13"/>
    </row>
    <row r="99" spans="2:9">
      <c r="B99" s="11"/>
      <c r="C99" s="12"/>
      <c r="D99" s="12"/>
      <c r="E99" s="11"/>
      <c r="F99" s="4"/>
      <c r="G99" s="12"/>
      <c r="H99" s="13"/>
      <c r="I99" s="13"/>
    </row>
    <row r="100" spans="2:9">
      <c r="B100" s="11"/>
      <c r="C100" s="12"/>
      <c r="D100" s="12"/>
      <c r="E100" s="11"/>
      <c r="F100" s="4"/>
      <c r="G100" s="12"/>
      <c r="H100" s="13"/>
      <c r="I100" s="13"/>
    </row>
    <row r="101" spans="2:9">
      <c r="B101" s="11"/>
      <c r="C101" s="12"/>
      <c r="D101" s="12"/>
      <c r="E101" s="11"/>
      <c r="F101" s="4"/>
      <c r="G101" s="12"/>
      <c r="H101" s="13"/>
      <c r="I101" s="13"/>
    </row>
    <row r="102" spans="2:9">
      <c r="B102" s="11"/>
      <c r="C102" s="12"/>
      <c r="D102" s="12"/>
      <c r="E102" s="11"/>
      <c r="F102" s="4"/>
      <c r="G102" s="12"/>
      <c r="H102" s="13"/>
      <c r="I102" s="13"/>
    </row>
    <row r="103" spans="2:9">
      <c r="B103" s="11"/>
      <c r="C103" s="12"/>
      <c r="D103" s="12"/>
      <c r="E103" s="11"/>
      <c r="G103" s="12"/>
      <c r="H103" s="13"/>
      <c r="I103" s="13"/>
    </row>
  </sheetData>
  <phoneticPr fontId="3" type="noConversion"/>
  <hyperlinks>
    <hyperlink ref="A1" location="目錄!A1" display="回到目錄"/>
  </hyperlinks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6"/>
  <dimension ref="A1:X140"/>
  <sheetViews>
    <sheetView workbookViewId="0">
      <pane xSplit="2" ySplit="1" topLeftCell="C11" activePane="bottomRight" state="frozen"/>
      <selection pane="topRight" activeCell="C1" sqref="C1"/>
      <selection pane="bottomLeft" activeCell="A2" sqref="A2"/>
      <selection pane="bottomRight"/>
    </sheetView>
  </sheetViews>
  <sheetFormatPr defaultRowHeight="13.8"/>
  <cols>
    <col min="1" max="1" width="7.453125" style="1" bestFit="1" customWidth="1"/>
    <col min="2" max="2" width="8.54296875" style="1" bestFit="1" customWidth="1"/>
    <col min="3" max="3" width="7.90625" style="1" bestFit="1" customWidth="1"/>
    <col min="4" max="4" width="8.08984375" style="1" bestFit="1" customWidth="1"/>
    <col min="5" max="5" width="11.54296875" style="1" bestFit="1" customWidth="1"/>
    <col min="6" max="6" width="9.90625" style="1" bestFit="1" customWidth="1"/>
    <col min="7" max="7" width="10" style="1" bestFit="1" customWidth="1"/>
    <col min="8" max="8" width="10.08984375" style="1" bestFit="1" customWidth="1"/>
    <col min="9" max="9" width="13.26953125" style="1" bestFit="1" customWidth="1"/>
    <col min="10" max="10" width="13.54296875" style="1" bestFit="1" customWidth="1"/>
    <col min="11" max="11" width="17.08984375" style="1" bestFit="1" customWidth="1"/>
    <col min="12" max="12" width="17.453125" style="1" bestFit="1" customWidth="1"/>
    <col min="13" max="13" width="13.08984375" style="1" bestFit="1" customWidth="1"/>
    <col min="14" max="14" width="13.36328125" style="1" bestFit="1" customWidth="1"/>
    <col min="15" max="15" width="16.90625" style="1" bestFit="1" customWidth="1"/>
    <col min="16" max="16" width="17.26953125" style="1" bestFit="1" customWidth="1"/>
    <col min="17" max="17" width="11.26953125" style="1" bestFit="1" customWidth="1"/>
    <col min="18" max="18" width="11.54296875" style="1" bestFit="1" customWidth="1"/>
    <col min="19" max="19" width="14.6328125" style="1" bestFit="1" customWidth="1"/>
    <col min="20" max="20" width="15.54296875" style="1" bestFit="1" customWidth="1"/>
    <col min="21" max="21" width="10" style="1" bestFit="1" customWidth="1"/>
    <col min="22" max="22" width="7" style="1" customWidth="1"/>
    <col min="23" max="23" width="10.36328125" style="1" bestFit="1" customWidth="1"/>
    <col min="24" max="24" width="7.81640625" style="1" customWidth="1"/>
    <col min="25" max="16384" width="8.7265625" style="1"/>
  </cols>
  <sheetData>
    <row r="1" spans="1:24">
      <c r="A1" s="63" t="s">
        <v>36</v>
      </c>
      <c r="B1" s="80" t="s">
        <v>171</v>
      </c>
      <c r="C1" s="80" t="s">
        <v>3728</v>
      </c>
      <c r="D1" s="80" t="s">
        <v>528</v>
      </c>
      <c r="E1" s="80" t="s">
        <v>531</v>
      </c>
      <c r="F1" s="80" t="s">
        <v>532</v>
      </c>
      <c r="G1" s="80" t="s">
        <v>3171</v>
      </c>
      <c r="H1" s="80" t="s">
        <v>3172</v>
      </c>
      <c r="I1" s="80" t="s">
        <v>3732</v>
      </c>
      <c r="J1" s="80" t="s">
        <v>3733</v>
      </c>
      <c r="K1" s="80" t="s">
        <v>3734</v>
      </c>
      <c r="L1" s="80" t="s">
        <v>3731</v>
      </c>
      <c r="M1" s="80" t="s">
        <v>3736</v>
      </c>
      <c r="N1" s="80" t="s">
        <v>3737</v>
      </c>
      <c r="O1" s="80" t="s">
        <v>3738</v>
      </c>
      <c r="P1" s="80" t="s">
        <v>3735</v>
      </c>
      <c r="Q1" s="80" t="s">
        <v>3740</v>
      </c>
      <c r="R1" s="80" t="s">
        <v>3741</v>
      </c>
      <c r="S1" s="80" t="s">
        <v>3742</v>
      </c>
      <c r="T1" s="80" t="s">
        <v>3739</v>
      </c>
      <c r="U1" s="80" t="s">
        <v>0</v>
      </c>
      <c r="V1" s="80" t="s">
        <v>1</v>
      </c>
      <c r="W1" s="80" t="s">
        <v>19</v>
      </c>
      <c r="X1" s="80" t="s">
        <v>2</v>
      </c>
    </row>
    <row r="2" spans="1:24">
      <c r="B2" s="1" t="s">
        <v>503</v>
      </c>
      <c r="C2" s="1" t="s">
        <v>526</v>
      </c>
      <c r="D2" s="1">
        <v>6</v>
      </c>
      <c r="E2" s="1" t="s">
        <v>533</v>
      </c>
      <c r="F2" s="1" t="s">
        <v>534</v>
      </c>
      <c r="G2" s="1" t="s">
        <v>534</v>
      </c>
      <c r="H2" s="1" t="s">
        <v>539</v>
      </c>
      <c r="I2" s="1">
        <v>0</v>
      </c>
      <c r="J2" s="1">
        <v>70</v>
      </c>
      <c r="K2" s="1">
        <v>110</v>
      </c>
      <c r="L2" s="1" t="s">
        <v>534</v>
      </c>
      <c r="M2" s="1" t="s">
        <v>546</v>
      </c>
      <c r="N2" s="1" t="s">
        <v>546</v>
      </c>
      <c r="O2" s="1" t="s">
        <v>546</v>
      </c>
      <c r="P2" s="1" t="s">
        <v>546</v>
      </c>
      <c r="Q2" s="1" t="s">
        <v>546</v>
      </c>
      <c r="R2" s="1" t="s">
        <v>546</v>
      </c>
      <c r="S2" s="1" t="s">
        <v>546</v>
      </c>
      <c r="T2" s="1" t="s">
        <v>546</v>
      </c>
      <c r="V2" s="1" t="s">
        <v>522</v>
      </c>
      <c r="X2" s="1" t="s">
        <v>522</v>
      </c>
    </row>
    <row r="3" spans="1:24">
      <c r="B3" s="1" t="s">
        <v>503</v>
      </c>
      <c r="C3" s="1" t="s">
        <v>526</v>
      </c>
      <c r="D3" s="1">
        <v>10</v>
      </c>
      <c r="E3" s="1" t="s">
        <v>535</v>
      </c>
      <c r="F3" s="1" t="s">
        <v>534</v>
      </c>
      <c r="G3" s="1" t="s">
        <v>534</v>
      </c>
      <c r="H3" s="1" t="s">
        <v>539</v>
      </c>
      <c r="I3" s="1">
        <v>0</v>
      </c>
      <c r="J3" s="1">
        <v>65</v>
      </c>
      <c r="K3" s="1">
        <v>110</v>
      </c>
      <c r="L3" s="1" t="s">
        <v>534</v>
      </c>
      <c r="M3" s="1" t="s">
        <v>546</v>
      </c>
      <c r="N3" s="1" t="s">
        <v>546</v>
      </c>
      <c r="O3" s="1" t="s">
        <v>546</v>
      </c>
      <c r="P3" s="1" t="s">
        <v>546</v>
      </c>
      <c r="Q3" s="1" t="s">
        <v>546</v>
      </c>
      <c r="R3" s="1" t="s">
        <v>546</v>
      </c>
      <c r="S3" s="1" t="s">
        <v>546</v>
      </c>
      <c r="T3" s="1" t="s">
        <v>546</v>
      </c>
      <c r="V3" s="1" t="s">
        <v>522</v>
      </c>
      <c r="X3" s="1" t="s">
        <v>522</v>
      </c>
    </row>
    <row r="4" spans="1:24">
      <c r="B4" s="1" t="s">
        <v>503</v>
      </c>
      <c r="C4" s="1" t="s">
        <v>526</v>
      </c>
      <c r="D4" s="1">
        <v>20</v>
      </c>
      <c r="E4" s="1" t="s">
        <v>536</v>
      </c>
      <c r="F4" s="1" t="s">
        <v>534</v>
      </c>
      <c r="G4" s="1" t="s">
        <v>534</v>
      </c>
      <c r="H4" s="1" t="s">
        <v>539</v>
      </c>
      <c r="I4" s="1">
        <v>0</v>
      </c>
      <c r="J4" s="1">
        <v>55</v>
      </c>
      <c r="K4" s="1">
        <v>110</v>
      </c>
      <c r="L4" s="1" t="s">
        <v>534</v>
      </c>
      <c r="M4" s="1" t="s">
        <v>546</v>
      </c>
      <c r="N4" s="1" t="s">
        <v>546</v>
      </c>
      <c r="O4" s="1" t="s">
        <v>546</v>
      </c>
      <c r="P4" s="1" t="s">
        <v>546</v>
      </c>
      <c r="Q4" s="1" t="s">
        <v>546</v>
      </c>
      <c r="R4" s="1" t="s">
        <v>546</v>
      </c>
      <c r="S4" s="1" t="s">
        <v>546</v>
      </c>
      <c r="T4" s="1" t="s">
        <v>546</v>
      </c>
      <c r="V4" s="1" t="s">
        <v>522</v>
      </c>
      <c r="X4" s="1" t="s">
        <v>522</v>
      </c>
    </row>
    <row r="5" spans="1:24">
      <c r="B5" s="1" t="s">
        <v>504</v>
      </c>
      <c r="C5" s="1" t="s">
        <v>526</v>
      </c>
      <c r="D5" s="1">
        <v>10</v>
      </c>
      <c r="E5" s="1" t="s">
        <v>535</v>
      </c>
      <c r="F5" s="1" t="s">
        <v>534</v>
      </c>
      <c r="G5" s="1" t="s">
        <v>534</v>
      </c>
      <c r="H5" s="1" t="s">
        <v>534</v>
      </c>
      <c r="I5" s="1">
        <v>30</v>
      </c>
      <c r="J5" s="1">
        <v>70</v>
      </c>
      <c r="K5" s="1">
        <v>10</v>
      </c>
      <c r="L5" s="1" t="s">
        <v>534</v>
      </c>
      <c r="M5" s="1" t="s">
        <v>546</v>
      </c>
      <c r="N5" s="1" t="s">
        <v>546</v>
      </c>
      <c r="O5" s="1" t="s">
        <v>546</v>
      </c>
      <c r="P5" s="1" t="s">
        <v>546</v>
      </c>
      <c r="Q5" s="1" t="s">
        <v>546</v>
      </c>
      <c r="R5" s="1" t="s">
        <v>546</v>
      </c>
      <c r="S5" s="1" t="s">
        <v>546</v>
      </c>
      <c r="T5" s="1" t="s">
        <v>546</v>
      </c>
      <c r="V5" s="1" t="s">
        <v>522</v>
      </c>
      <c r="X5" s="1" t="s">
        <v>522</v>
      </c>
    </row>
    <row r="6" spans="1:24">
      <c r="B6" s="1" t="s">
        <v>504</v>
      </c>
      <c r="C6" s="1" t="s">
        <v>526</v>
      </c>
      <c r="D6" s="1">
        <v>20</v>
      </c>
      <c r="E6" s="1" t="s">
        <v>536</v>
      </c>
      <c r="F6" s="1" t="s">
        <v>534</v>
      </c>
      <c r="G6" s="1" t="s">
        <v>534</v>
      </c>
      <c r="H6" s="1" t="s">
        <v>534</v>
      </c>
      <c r="I6" s="1">
        <v>20</v>
      </c>
      <c r="J6" s="1">
        <v>60</v>
      </c>
      <c r="K6" s="1">
        <v>20</v>
      </c>
      <c r="L6" s="1" t="s">
        <v>534</v>
      </c>
      <c r="M6" s="1" t="s">
        <v>546</v>
      </c>
      <c r="N6" s="1" t="s">
        <v>546</v>
      </c>
      <c r="O6" s="1" t="s">
        <v>546</v>
      </c>
      <c r="P6" s="1" t="s">
        <v>546</v>
      </c>
      <c r="Q6" s="1" t="s">
        <v>546</v>
      </c>
      <c r="R6" s="1" t="s">
        <v>546</v>
      </c>
      <c r="S6" s="1" t="s">
        <v>546</v>
      </c>
      <c r="T6" s="1" t="s">
        <v>546</v>
      </c>
      <c r="V6" s="1" t="s">
        <v>522</v>
      </c>
      <c r="X6" s="1" t="s">
        <v>522</v>
      </c>
    </row>
    <row r="7" spans="1:24">
      <c r="B7" s="1" t="s">
        <v>504</v>
      </c>
      <c r="C7" s="1" t="s">
        <v>526</v>
      </c>
      <c r="D7" s="1">
        <v>30</v>
      </c>
      <c r="E7" s="1" t="s">
        <v>545</v>
      </c>
      <c r="F7" s="1" t="s">
        <v>534</v>
      </c>
      <c r="G7" s="1" t="s">
        <v>534</v>
      </c>
      <c r="H7" s="1" t="s">
        <v>534</v>
      </c>
      <c r="I7" s="1">
        <v>15</v>
      </c>
      <c r="J7" s="1">
        <v>50</v>
      </c>
      <c r="K7" s="1">
        <v>30</v>
      </c>
      <c r="L7" s="1" t="s">
        <v>539</v>
      </c>
      <c r="M7" s="1" t="s">
        <v>546</v>
      </c>
      <c r="N7" s="1" t="s">
        <v>546</v>
      </c>
      <c r="O7" s="1" t="s">
        <v>546</v>
      </c>
      <c r="P7" s="1" t="s">
        <v>546</v>
      </c>
      <c r="Q7" s="1" t="s">
        <v>546</v>
      </c>
      <c r="R7" s="1" t="s">
        <v>546</v>
      </c>
      <c r="S7" s="1" t="s">
        <v>546</v>
      </c>
      <c r="T7" s="1" t="s">
        <v>546</v>
      </c>
      <c r="V7" s="1" t="s">
        <v>522</v>
      </c>
      <c r="X7" s="1" t="s">
        <v>522</v>
      </c>
    </row>
    <row r="8" spans="1:24">
      <c r="B8" s="1" t="s">
        <v>557</v>
      </c>
      <c r="C8" s="1" t="s">
        <v>558</v>
      </c>
      <c r="D8" s="1">
        <v>1</v>
      </c>
      <c r="E8" s="1" t="s">
        <v>559</v>
      </c>
      <c r="F8" s="1" t="s">
        <v>534</v>
      </c>
      <c r="G8" s="1" t="s">
        <v>534</v>
      </c>
      <c r="H8" s="1" t="s">
        <v>560</v>
      </c>
      <c r="I8" s="1">
        <v>15</v>
      </c>
      <c r="J8" s="1">
        <v>60</v>
      </c>
      <c r="K8" s="1">
        <v>64</v>
      </c>
      <c r="L8" s="1" t="s">
        <v>561</v>
      </c>
      <c r="M8" s="1">
        <v>15</v>
      </c>
      <c r="N8" s="1">
        <v>60</v>
      </c>
      <c r="O8" s="1">
        <v>64</v>
      </c>
      <c r="P8" s="1" t="s">
        <v>79</v>
      </c>
      <c r="Q8" s="1" t="s">
        <v>546</v>
      </c>
      <c r="R8" s="1" t="s">
        <v>546</v>
      </c>
      <c r="S8" s="1" t="s">
        <v>546</v>
      </c>
      <c r="T8" s="1" t="s">
        <v>546</v>
      </c>
      <c r="V8" s="1" t="s">
        <v>522</v>
      </c>
      <c r="X8" s="1" t="s">
        <v>522</v>
      </c>
    </row>
    <row r="9" spans="1:24">
      <c r="B9" s="1" t="s">
        <v>562</v>
      </c>
      <c r="C9" s="1" t="s">
        <v>558</v>
      </c>
      <c r="D9" s="1">
        <v>1</v>
      </c>
      <c r="E9" s="1" t="s">
        <v>559</v>
      </c>
      <c r="F9" s="1" t="s">
        <v>534</v>
      </c>
      <c r="G9" s="1" t="s">
        <v>534</v>
      </c>
      <c r="H9" s="1" t="s">
        <v>560</v>
      </c>
      <c r="I9" s="1">
        <v>0</v>
      </c>
      <c r="J9" s="1">
        <v>60</v>
      </c>
      <c r="K9" s="1">
        <v>74</v>
      </c>
      <c r="L9" s="1" t="s">
        <v>561</v>
      </c>
      <c r="M9" s="1">
        <v>0</v>
      </c>
      <c r="N9" s="1">
        <v>60</v>
      </c>
      <c r="O9" s="1">
        <v>74</v>
      </c>
      <c r="P9" s="1" t="s">
        <v>79</v>
      </c>
      <c r="Q9" s="1">
        <v>0</v>
      </c>
      <c r="R9" s="1">
        <v>60</v>
      </c>
      <c r="S9" s="1">
        <v>23</v>
      </c>
      <c r="T9" s="1" t="s">
        <v>79</v>
      </c>
      <c r="V9" s="1" t="s">
        <v>522</v>
      </c>
      <c r="X9" s="1" t="s">
        <v>522</v>
      </c>
    </row>
    <row r="10" spans="1:24">
      <c r="B10" s="1" t="s">
        <v>505</v>
      </c>
      <c r="C10" s="1" t="s">
        <v>558</v>
      </c>
      <c r="D10" s="1">
        <v>1</v>
      </c>
      <c r="E10" s="1" t="s">
        <v>559</v>
      </c>
      <c r="F10" s="1" t="s">
        <v>534</v>
      </c>
      <c r="G10" s="1" t="s">
        <v>534</v>
      </c>
      <c r="H10" s="1" t="s">
        <v>560</v>
      </c>
      <c r="I10" s="1">
        <v>0</v>
      </c>
      <c r="J10" s="1">
        <v>65</v>
      </c>
      <c r="K10" s="1">
        <v>84</v>
      </c>
      <c r="L10" s="1" t="s">
        <v>561</v>
      </c>
      <c r="M10" s="1">
        <v>0</v>
      </c>
      <c r="N10" s="1">
        <v>65</v>
      </c>
      <c r="O10" s="1">
        <v>84</v>
      </c>
      <c r="P10" s="1" t="s">
        <v>561</v>
      </c>
      <c r="Q10" s="1">
        <v>0</v>
      </c>
      <c r="R10" s="1">
        <v>20</v>
      </c>
      <c r="S10" s="1">
        <v>23</v>
      </c>
      <c r="T10" s="1" t="s">
        <v>3174</v>
      </c>
      <c r="V10" s="1" t="s">
        <v>522</v>
      </c>
      <c r="X10" s="1" t="s">
        <v>522</v>
      </c>
    </row>
    <row r="11" spans="1:24">
      <c r="B11" s="1" t="s">
        <v>506</v>
      </c>
      <c r="C11" s="1" t="s">
        <v>558</v>
      </c>
      <c r="D11" s="1">
        <v>1</v>
      </c>
      <c r="E11" s="1" t="s">
        <v>559</v>
      </c>
      <c r="F11" s="1" t="s">
        <v>534</v>
      </c>
      <c r="G11" s="1" t="s">
        <v>534</v>
      </c>
      <c r="H11" s="1" t="s">
        <v>560</v>
      </c>
      <c r="I11" s="1">
        <v>0</v>
      </c>
      <c r="J11" s="1">
        <v>65</v>
      </c>
      <c r="K11" s="1">
        <v>81</v>
      </c>
      <c r="L11" s="1" t="s">
        <v>561</v>
      </c>
      <c r="M11" s="1">
        <v>0</v>
      </c>
      <c r="N11" s="1">
        <v>65</v>
      </c>
      <c r="O11" s="1">
        <v>81</v>
      </c>
      <c r="P11" s="1" t="s">
        <v>561</v>
      </c>
      <c r="Q11" s="1">
        <v>0</v>
      </c>
      <c r="R11" s="1">
        <v>20</v>
      </c>
      <c r="S11" s="1">
        <v>23</v>
      </c>
      <c r="T11" s="1" t="s">
        <v>3174</v>
      </c>
      <c r="V11" s="1" t="s">
        <v>522</v>
      </c>
      <c r="X11" s="1" t="s">
        <v>522</v>
      </c>
    </row>
    <row r="12" spans="1:24">
      <c r="B12" s="1" t="s">
        <v>174</v>
      </c>
      <c r="C12" s="1" t="s">
        <v>558</v>
      </c>
      <c r="D12" s="1">
        <v>1</v>
      </c>
      <c r="E12" s="1" t="s">
        <v>559</v>
      </c>
      <c r="F12" s="1" t="s">
        <v>534</v>
      </c>
      <c r="G12" s="1" t="s">
        <v>534</v>
      </c>
      <c r="H12" s="1" t="s">
        <v>560</v>
      </c>
      <c r="I12" s="1">
        <v>0</v>
      </c>
      <c r="J12" s="1">
        <v>65</v>
      </c>
      <c r="K12" s="1">
        <v>81</v>
      </c>
      <c r="L12" s="1" t="s">
        <v>561</v>
      </c>
      <c r="M12" s="1">
        <v>0</v>
      </c>
      <c r="N12" s="1">
        <v>65</v>
      </c>
      <c r="O12" s="1">
        <v>81</v>
      </c>
      <c r="P12" s="1" t="s">
        <v>561</v>
      </c>
      <c r="Q12" s="1">
        <v>0</v>
      </c>
      <c r="R12" s="1">
        <v>20</v>
      </c>
      <c r="S12" s="1">
        <v>23</v>
      </c>
      <c r="T12" s="1" t="s">
        <v>3174</v>
      </c>
      <c r="V12" s="1" t="s">
        <v>522</v>
      </c>
      <c r="X12" s="1" t="s">
        <v>522</v>
      </c>
    </row>
    <row r="13" spans="1:24">
      <c r="B13" s="1" t="s">
        <v>176</v>
      </c>
      <c r="C13" s="1" t="s">
        <v>558</v>
      </c>
      <c r="D13" s="1">
        <v>10</v>
      </c>
      <c r="E13" s="1" t="s">
        <v>3175</v>
      </c>
      <c r="F13" s="1" t="s">
        <v>534</v>
      </c>
      <c r="G13" s="1" t="s">
        <v>534</v>
      </c>
      <c r="H13" s="1" t="s">
        <v>560</v>
      </c>
      <c r="I13" s="1">
        <v>0</v>
      </c>
      <c r="J13" s="1">
        <v>65</v>
      </c>
      <c r="K13" s="1">
        <v>110</v>
      </c>
      <c r="L13" s="1" t="s">
        <v>561</v>
      </c>
      <c r="M13" s="1" t="s">
        <v>546</v>
      </c>
      <c r="N13" s="1" t="s">
        <v>546</v>
      </c>
      <c r="O13" s="1" t="s">
        <v>546</v>
      </c>
      <c r="P13" s="1" t="s">
        <v>546</v>
      </c>
      <c r="Q13" s="1" t="s">
        <v>546</v>
      </c>
      <c r="R13" s="1" t="s">
        <v>546</v>
      </c>
      <c r="S13" s="1" t="s">
        <v>546</v>
      </c>
      <c r="T13" s="1" t="s">
        <v>546</v>
      </c>
      <c r="V13" s="1" t="s">
        <v>522</v>
      </c>
      <c r="X13" s="1" t="s">
        <v>522</v>
      </c>
    </row>
    <row r="14" spans="1:24">
      <c r="B14" s="1" t="s">
        <v>176</v>
      </c>
      <c r="C14" s="1" t="s">
        <v>558</v>
      </c>
      <c r="D14" s="1">
        <v>15</v>
      </c>
      <c r="E14" s="1" t="s">
        <v>3176</v>
      </c>
      <c r="F14" s="1" t="s">
        <v>534</v>
      </c>
      <c r="G14" s="1" t="s">
        <v>534</v>
      </c>
      <c r="H14" s="1" t="s">
        <v>560</v>
      </c>
      <c r="I14" s="1">
        <v>0</v>
      </c>
      <c r="J14" s="1">
        <v>60</v>
      </c>
      <c r="K14" s="1">
        <v>110</v>
      </c>
      <c r="L14" s="1" t="s">
        <v>561</v>
      </c>
      <c r="M14" s="1" t="s">
        <v>546</v>
      </c>
      <c r="N14" s="1" t="s">
        <v>546</v>
      </c>
      <c r="O14" s="1" t="s">
        <v>546</v>
      </c>
      <c r="P14" s="1" t="s">
        <v>546</v>
      </c>
      <c r="Q14" s="1" t="s">
        <v>546</v>
      </c>
      <c r="R14" s="1" t="s">
        <v>546</v>
      </c>
      <c r="S14" s="1" t="s">
        <v>546</v>
      </c>
      <c r="T14" s="1" t="s">
        <v>546</v>
      </c>
      <c r="V14" s="1" t="s">
        <v>522</v>
      </c>
      <c r="X14" s="1" t="s">
        <v>522</v>
      </c>
    </row>
    <row r="15" spans="1:24">
      <c r="B15" s="1" t="s">
        <v>176</v>
      </c>
      <c r="C15" s="1" t="s">
        <v>558</v>
      </c>
      <c r="D15" s="1">
        <v>20</v>
      </c>
      <c r="E15" s="1" t="s">
        <v>3177</v>
      </c>
      <c r="F15" s="1" t="s">
        <v>534</v>
      </c>
      <c r="G15" s="1" t="s">
        <v>534</v>
      </c>
      <c r="H15" s="1" t="s">
        <v>560</v>
      </c>
      <c r="I15" s="1">
        <v>0</v>
      </c>
      <c r="J15" s="1">
        <v>55</v>
      </c>
      <c r="K15" s="1">
        <v>110</v>
      </c>
      <c r="L15" s="1" t="s">
        <v>561</v>
      </c>
      <c r="M15" s="1" t="s">
        <v>546</v>
      </c>
      <c r="N15" s="1" t="s">
        <v>546</v>
      </c>
      <c r="O15" s="1" t="s">
        <v>546</v>
      </c>
      <c r="P15" s="1" t="s">
        <v>546</v>
      </c>
      <c r="Q15" s="1" t="s">
        <v>546</v>
      </c>
      <c r="R15" s="1" t="s">
        <v>546</v>
      </c>
      <c r="S15" s="1" t="s">
        <v>546</v>
      </c>
      <c r="T15" s="1" t="s">
        <v>546</v>
      </c>
      <c r="V15" s="1" t="s">
        <v>522</v>
      </c>
      <c r="X15" s="1" t="s">
        <v>522</v>
      </c>
    </row>
    <row r="16" spans="1:24">
      <c r="B16" s="1" t="s">
        <v>177</v>
      </c>
      <c r="C16" s="1" t="s">
        <v>558</v>
      </c>
      <c r="D16" s="1">
        <v>10</v>
      </c>
      <c r="E16" s="1" t="s">
        <v>3175</v>
      </c>
      <c r="F16" s="1" t="s">
        <v>534</v>
      </c>
      <c r="G16" s="1" t="s">
        <v>534</v>
      </c>
      <c r="H16" s="1" t="s">
        <v>560</v>
      </c>
      <c r="I16" s="1">
        <v>0</v>
      </c>
      <c r="J16" s="1">
        <v>65</v>
      </c>
      <c r="K16" s="1">
        <v>110</v>
      </c>
      <c r="L16" s="1" t="s">
        <v>561</v>
      </c>
      <c r="M16" s="1">
        <v>0</v>
      </c>
      <c r="N16" s="1">
        <v>65</v>
      </c>
      <c r="O16" s="1">
        <v>110</v>
      </c>
      <c r="P16" s="1" t="s">
        <v>561</v>
      </c>
      <c r="Q16" s="1">
        <v>0</v>
      </c>
      <c r="R16" s="1">
        <v>65</v>
      </c>
      <c r="S16" s="1">
        <v>110</v>
      </c>
      <c r="T16" s="1" t="s">
        <v>561</v>
      </c>
      <c r="V16" s="1" t="s">
        <v>522</v>
      </c>
      <c r="X16" s="1" t="s">
        <v>522</v>
      </c>
    </row>
    <row r="17" spans="2:24">
      <c r="B17" s="1" t="s">
        <v>177</v>
      </c>
      <c r="C17" s="1" t="s">
        <v>558</v>
      </c>
      <c r="D17" s="1">
        <v>15</v>
      </c>
      <c r="E17" s="1" t="s">
        <v>3176</v>
      </c>
      <c r="F17" s="1" t="s">
        <v>534</v>
      </c>
      <c r="G17" s="1" t="s">
        <v>534</v>
      </c>
      <c r="H17" s="1" t="s">
        <v>560</v>
      </c>
      <c r="I17" s="1">
        <v>0</v>
      </c>
      <c r="J17" s="1">
        <v>65</v>
      </c>
      <c r="K17" s="1">
        <v>110</v>
      </c>
      <c r="L17" s="1" t="s">
        <v>561</v>
      </c>
      <c r="M17" s="1">
        <v>0</v>
      </c>
      <c r="N17" s="1">
        <v>65</v>
      </c>
      <c r="O17" s="1">
        <v>110</v>
      </c>
      <c r="P17" s="1" t="s">
        <v>561</v>
      </c>
      <c r="Q17" s="1">
        <v>0</v>
      </c>
      <c r="R17" s="1">
        <v>65</v>
      </c>
      <c r="S17" s="1">
        <v>110</v>
      </c>
      <c r="T17" s="1" t="s">
        <v>561</v>
      </c>
      <c r="V17" s="1" t="s">
        <v>522</v>
      </c>
      <c r="X17" s="1" t="s">
        <v>522</v>
      </c>
    </row>
    <row r="18" spans="2:24">
      <c r="B18" s="1" t="s">
        <v>177</v>
      </c>
      <c r="C18" s="1" t="s">
        <v>558</v>
      </c>
      <c r="D18" s="1">
        <v>20</v>
      </c>
      <c r="E18" s="1" t="s">
        <v>3177</v>
      </c>
      <c r="F18" s="1" t="s">
        <v>534</v>
      </c>
      <c r="G18" s="1" t="s">
        <v>534</v>
      </c>
      <c r="H18" s="1" t="s">
        <v>560</v>
      </c>
      <c r="I18" s="1">
        <v>0</v>
      </c>
      <c r="J18" s="1">
        <v>60</v>
      </c>
      <c r="K18" s="1">
        <v>110</v>
      </c>
      <c r="L18" s="1" t="s">
        <v>561</v>
      </c>
      <c r="M18" s="1">
        <v>0</v>
      </c>
      <c r="N18" s="1">
        <v>60</v>
      </c>
      <c r="O18" s="1">
        <v>110</v>
      </c>
      <c r="P18" s="1" t="s">
        <v>561</v>
      </c>
      <c r="Q18" s="1">
        <v>0</v>
      </c>
      <c r="R18" s="1">
        <v>60</v>
      </c>
      <c r="S18" s="1">
        <v>110</v>
      </c>
      <c r="T18" s="1" t="s">
        <v>561</v>
      </c>
      <c r="V18" s="1" t="s">
        <v>522</v>
      </c>
      <c r="X18" s="1" t="s">
        <v>522</v>
      </c>
    </row>
    <row r="19" spans="2:24">
      <c r="B19" s="1" t="s">
        <v>507</v>
      </c>
      <c r="C19" s="1" t="s">
        <v>558</v>
      </c>
      <c r="D19" s="1">
        <v>1</v>
      </c>
      <c r="E19" s="1" t="s">
        <v>559</v>
      </c>
      <c r="F19" s="1" t="s">
        <v>534</v>
      </c>
      <c r="G19" s="1" t="s">
        <v>534</v>
      </c>
      <c r="H19" s="1" t="s">
        <v>560</v>
      </c>
      <c r="I19" s="1">
        <v>0</v>
      </c>
      <c r="J19" s="1">
        <v>70</v>
      </c>
      <c r="K19" s="1">
        <v>85</v>
      </c>
      <c r="L19" s="1" t="s">
        <v>561</v>
      </c>
      <c r="M19" s="1">
        <v>14</v>
      </c>
      <c r="N19" s="1">
        <v>70</v>
      </c>
      <c r="O19" s="1">
        <v>85</v>
      </c>
      <c r="P19" s="1" t="s">
        <v>3178</v>
      </c>
      <c r="Q19" s="1">
        <v>0</v>
      </c>
      <c r="R19" s="1">
        <v>23</v>
      </c>
      <c r="S19" s="1">
        <v>23</v>
      </c>
      <c r="T19" s="1" t="s">
        <v>3174</v>
      </c>
      <c r="V19" s="1" t="s">
        <v>522</v>
      </c>
      <c r="X19" s="1" t="s">
        <v>522</v>
      </c>
    </row>
    <row r="20" spans="2:24">
      <c r="B20" s="1" t="s">
        <v>508</v>
      </c>
      <c r="C20" s="1" t="s">
        <v>558</v>
      </c>
      <c r="D20" s="1">
        <v>1</v>
      </c>
      <c r="E20" s="1" t="s">
        <v>559</v>
      </c>
      <c r="F20" s="1" t="s">
        <v>534</v>
      </c>
      <c r="G20" s="1" t="s">
        <v>534</v>
      </c>
      <c r="H20" s="1" t="s">
        <v>560</v>
      </c>
      <c r="I20" s="1">
        <v>0</v>
      </c>
      <c r="J20" s="1">
        <v>65</v>
      </c>
      <c r="K20" s="1">
        <v>75</v>
      </c>
      <c r="L20" s="1" t="s">
        <v>561</v>
      </c>
      <c r="M20" s="1">
        <v>0</v>
      </c>
      <c r="N20" s="1">
        <v>65</v>
      </c>
      <c r="O20" s="1">
        <v>75</v>
      </c>
      <c r="P20" s="1" t="s">
        <v>561</v>
      </c>
      <c r="Q20" s="1">
        <v>0</v>
      </c>
      <c r="R20" s="1">
        <v>20</v>
      </c>
      <c r="S20" s="1">
        <v>23</v>
      </c>
      <c r="T20" s="1" t="s">
        <v>3179</v>
      </c>
      <c r="V20" s="1" t="s">
        <v>522</v>
      </c>
      <c r="X20" s="1" t="s">
        <v>522</v>
      </c>
    </row>
    <row r="21" spans="2:24">
      <c r="B21" s="1" t="s">
        <v>509</v>
      </c>
      <c r="C21" s="1" t="s">
        <v>558</v>
      </c>
      <c r="D21" s="1">
        <v>1</v>
      </c>
      <c r="E21" s="1" t="s">
        <v>559</v>
      </c>
      <c r="F21" s="1" t="s">
        <v>534</v>
      </c>
      <c r="G21" s="1" t="s">
        <v>534</v>
      </c>
      <c r="H21" s="1" t="s">
        <v>560</v>
      </c>
      <c r="I21" s="1">
        <v>0</v>
      </c>
      <c r="J21" s="1">
        <v>65</v>
      </c>
      <c r="K21" s="1">
        <v>75</v>
      </c>
      <c r="L21" s="1" t="s">
        <v>561</v>
      </c>
      <c r="M21" s="1">
        <v>0</v>
      </c>
      <c r="N21" s="1">
        <v>65</v>
      </c>
      <c r="O21" s="1">
        <v>75</v>
      </c>
      <c r="P21" s="1" t="s">
        <v>561</v>
      </c>
      <c r="Q21" s="1">
        <v>0</v>
      </c>
      <c r="R21" s="1">
        <v>20</v>
      </c>
      <c r="S21" s="1">
        <v>23</v>
      </c>
      <c r="T21" s="1" t="s">
        <v>3179</v>
      </c>
      <c r="V21" s="1" t="s">
        <v>522</v>
      </c>
      <c r="X21" s="1" t="s">
        <v>522</v>
      </c>
    </row>
    <row r="22" spans="2:24">
      <c r="B22" s="1" t="s">
        <v>510</v>
      </c>
      <c r="C22" s="1" t="s">
        <v>558</v>
      </c>
      <c r="D22" s="1">
        <v>10</v>
      </c>
      <c r="E22" s="1" t="s">
        <v>3175</v>
      </c>
      <c r="F22" s="1" t="s">
        <v>534</v>
      </c>
      <c r="G22" s="1" t="s">
        <v>534</v>
      </c>
      <c r="H22" s="1" t="s">
        <v>560</v>
      </c>
      <c r="I22" s="1">
        <v>0</v>
      </c>
      <c r="J22" s="1">
        <v>55</v>
      </c>
      <c r="K22" s="1">
        <v>110</v>
      </c>
      <c r="L22" s="1" t="s">
        <v>3174</v>
      </c>
      <c r="M22" s="1" t="s">
        <v>546</v>
      </c>
      <c r="N22" s="1" t="s">
        <v>546</v>
      </c>
      <c r="O22" s="1" t="s">
        <v>546</v>
      </c>
      <c r="P22" s="1" t="s">
        <v>546</v>
      </c>
      <c r="Q22" s="1" t="s">
        <v>546</v>
      </c>
      <c r="R22" s="1" t="s">
        <v>546</v>
      </c>
      <c r="S22" s="1" t="s">
        <v>546</v>
      </c>
      <c r="T22" s="1" t="s">
        <v>546</v>
      </c>
      <c r="V22" s="1" t="s">
        <v>522</v>
      </c>
      <c r="X22" s="1" t="s">
        <v>522</v>
      </c>
    </row>
    <row r="23" spans="2:24">
      <c r="B23" s="1" t="s">
        <v>510</v>
      </c>
      <c r="C23" s="1" t="s">
        <v>558</v>
      </c>
      <c r="D23" s="1">
        <v>20</v>
      </c>
      <c r="E23" s="1" t="s">
        <v>3177</v>
      </c>
      <c r="F23" s="1" t="s">
        <v>534</v>
      </c>
      <c r="G23" s="1" t="s">
        <v>534</v>
      </c>
      <c r="H23" s="1" t="s">
        <v>560</v>
      </c>
      <c r="I23" s="1">
        <v>0</v>
      </c>
      <c r="J23" s="1">
        <v>50</v>
      </c>
      <c r="K23" s="1">
        <v>110</v>
      </c>
      <c r="L23" s="1" t="s">
        <v>3174</v>
      </c>
      <c r="M23" s="1" t="s">
        <v>546</v>
      </c>
      <c r="N23" s="1" t="s">
        <v>546</v>
      </c>
      <c r="O23" s="1" t="s">
        <v>546</v>
      </c>
      <c r="P23" s="1" t="s">
        <v>546</v>
      </c>
      <c r="Q23" s="1" t="s">
        <v>546</v>
      </c>
      <c r="R23" s="1" t="s">
        <v>546</v>
      </c>
      <c r="S23" s="1" t="s">
        <v>546</v>
      </c>
      <c r="T23" s="1" t="s">
        <v>546</v>
      </c>
      <c r="V23" s="1" t="s">
        <v>522</v>
      </c>
      <c r="X23" s="1" t="s">
        <v>522</v>
      </c>
    </row>
    <row r="24" spans="2:24">
      <c r="B24" s="1" t="s">
        <v>527</v>
      </c>
      <c r="C24" s="1" t="s">
        <v>558</v>
      </c>
      <c r="D24" s="1">
        <v>10</v>
      </c>
      <c r="E24" s="1" t="s">
        <v>3175</v>
      </c>
      <c r="F24" s="1" t="s">
        <v>534</v>
      </c>
      <c r="G24" s="1" t="s">
        <v>534</v>
      </c>
      <c r="H24" s="1" t="s">
        <v>560</v>
      </c>
      <c r="I24" s="1">
        <v>0</v>
      </c>
      <c r="J24" s="1">
        <v>65</v>
      </c>
      <c r="K24" s="1">
        <v>110</v>
      </c>
      <c r="L24" s="1" t="s">
        <v>3174</v>
      </c>
      <c r="M24" s="1" t="s">
        <v>546</v>
      </c>
      <c r="N24" s="1" t="s">
        <v>546</v>
      </c>
      <c r="O24" s="1" t="s">
        <v>546</v>
      </c>
      <c r="P24" s="1" t="s">
        <v>546</v>
      </c>
      <c r="Q24" s="1" t="s">
        <v>546</v>
      </c>
      <c r="R24" s="1" t="s">
        <v>546</v>
      </c>
      <c r="S24" s="1" t="s">
        <v>546</v>
      </c>
      <c r="T24" s="1" t="s">
        <v>546</v>
      </c>
      <c r="V24" s="1" t="s">
        <v>522</v>
      </c>
      <c r="X24" s="1" t="s">
        <v>522</v>
      </c>
    </row>
    <row r="25" spans="2:24">
      <c r="B25" s="1" t="s">
        <v>527</v>
      </c>
      <c r="C25" s="1" t="s">
        <v>558</v>
      </c>
      <c r="D25" s="1">
        <v>20</v>
      </c>
      <c r="E25" s="1" t="s">
        <v>3177</v>
      </c>
      <c r="F25" s="1" t="s">
        <v>534</v>
      </c>
      <c r="G25" s="1" t="s">
        <v>534</v>
      </c>
      <c r="H25" s="1" t="s">
        <v>560</v>
      </c>
      <c r="I25" s="1">
        <v>0</v>
      </c>
      <c r="J25" s="1">
        <v>55</v>
      </c>
      <c r="K25" s="1">
        <v>110</v>
      </c>
      <c r="L25" s="1" t="s">
        <v>3174</v>
      </c>
      <c r="M25" s="1" t="s">
        <v>546</v>
      </c>
      <c r="N25" s="1" t="s">
        <v>546</v>
      </c>
      <c r="O25" s="1" t="s">
        <v>546</v>
      </c>
      <c r="P25" s="1" t="s">
        <v>546</v>
      </c>
      <c r="Q25" s="1" t="s">
        <v>546</v>
      </c>
      <c r="R25" s="1" t="s">
        <v>546</v>
      </c>
      <c r="S25" s="1" t="s">
        <v>546</v>
      </c>
      <c r="T25" s="1" t="s">
        <v>546</v>
      </c>
      <c r="V25" s="1" t="s">
        <v>522</v>
      </c>
      <c r="X25" s="1" t="s">
        <v>522</v>
      </c>
    </row>
    <row r="26" spans="2:24">
      <c r="B26" s="1" t="s">
        <v>527</v>
      </c>
      <c r="C26" s="1" t="s">
        <v>558</v>
      </c>
      <c r="D26" s="1">
        <v>30</v>
      </c>
      <c r="E26" s="1" t="s">
        <v>3180</v>
      </c>
      <c r="F26" s="1" t="s">
        <v>534</v>
      </c>
      <c r="G26" s="1" t="s">
        <v>534</v>
      </c>
      <c r="H26" s="1" t="s">
        <v>560</v>
      </c>
      <c r="I26" s="1">
        <v>0</v>
      </c>
      <c r="J26" s="1">
        <v>45</v>
      </c>
      <c r="K26" s="1">
        <v>110</v>
      </c>
      <c r="L26" s="1" t="s">
        <v>3174</v>
      </c>
      <c r="M26" s="1" t="s">
        <v>546</v>
      </c>
      <c r="N26" s="1" t="s">
        <v>546</v>
      </c>
      <c r="O26" s="1" t="s">
        <v>546</v>
      </c>
      <c r="P26" s="1" t="s">
        <v>546</v>
      </c>
      <c r="Q26" s="1" t="s">
        <v>546</v>
      </c>
      <c r="R26" s="1" t="s">
        <v>546</v>
      </c>
      <c r="S26" s="1" t="s">
        <v>546</v>
      </c>
      <c r="T26" s="1" t="s">
        <v>546</v>
      </c>
      <c r="V26" s="1" t="s">
        <v>522</v>
      </c>
      <c r="X26" s="1" t="s">
        <v>522</v>
      </c>
    </row>
    <row r="27" spans="2:24">
      <c r="B27" s="1" t="s">
        <v>511</v>
      </c>
      <c r="C27" s="1" t="s">
        <v>558</v>
      </c>
      <c r="D27" s="1">
        <v>10</v>
      </c>
      <c r="E27" s="1" t="s">
        <v>3175</v>
      </c>
      <c r="F27" s="1" t="s">
        <v>534</v>
      </c>
      <c r="G27" s="1" t="s">
        <v>534</v>
      </c>
      <c r="H27" s="1" t="s">
        <v>560</v>
      </c>
      <c r="I27" s="1">
        <v>0</v>
      </c>
      <c r="J27" s="1">
        <v>70</v>
      </c>
      <c r="K27" s="1">
        <v>110</v>
      </c>
      <c r="L27" s="1" t="s">
        <v>3174</v>
      </c>
      <c r="M27" s="1" t="s">
        <v>546</v>
      </c>
      <c r="N27" s="1" t="s">
        <v>546</v>
      </c>
      <c r="O27" s="1" t="s">
        <v>546</v>
      </c>
      <c r="P27" s="1" t="s">
        <v>546</v>
      </c>
      <c r="Q27" s="1" t="s">
        <v>546</v>
      </c>
      <c r="R27" s="1" t="s">
        <v>546</v>
      </c>
      <c r="S27" s="1" t="s">
        <v>546</v>
      </c>
      <c r="T27" s="1" t="s">
        <v>546</v>
      </c>
      <c r="V27" s="1" t="s">
        <v>522</v>
      </c>
      <c r="X27" s="1" t="s">
        <v>522</v>
      </c>
    </row>
    <row r="28" spans="2:24">
      <c r="B28" s="1" t="s">
        <v>511</v>
      </c>
      <c r="C28" s="1" t="s">
        <v>558</v>
      </c>
      <c r="D28" s="1">
        <v>20</v>
      </c>
      <c r="E28" s="1" t="s">
        <v>3177</v>
      </c>
      <c r="F28" s="1" t="s">
        <v>534</v>
      </c>
      <c r="G28" s="1" t="s">
        <v>534</v>
      </c>
      <c r="H28" s="1" t="s">
        <v>560</v>
      </c>
      <c r="I28" s="1">
        <v>0</v>
      </c>
      <c r="J28" s="1">
        <v>60</v>
      </c>
      <c r="K28" s="1">
        <v>110</v>
      </c>
      <c r="L28" s="1" t="s">
        <v>3174</v>
      </c>
      <c r="M28" s="1" t="s">
        <v>546</v>
      </c>
      <c r="N28" s="1" t="s">
        <v>546</v>
      </c>
      <c r="O28" s="1" t="s">
        <v>546</v>
      </c>
      <c r="P28" s="1" t="s">
        <v>546</v>
      </c>
      <c r="Q28" s="1" t="s">
        <v>546</v>
      </c>
      <c r="R28" s="1" t="s">
        <v>546</v>
      </c>
      <c r="S28" s="1" t="s">
        <v>546</v>
      </c>
      <c r="T28" s="1" t="s">
        <v>546</v>
      </c>
      <c r="V28" s="1" t="s">
        <v>522</v>
      </c>
      <c r="X28" s="1" t="s">
        <v>522</v>
      </c>
    </row>
    <row r="29" spans="2:24">
      <c r="B29" s="1" t="s">
        <v>511</v>
      </c>
      <c r="C29" s="1" t="s">
        <v>558</v>
      </c>
      <c r="D29" s="1">
        <v>30</v>
      </c>
      <c r="E29" s="1" t="s">
        <v>3180</v>
      </c>
      <c r="F29" s="1" t="s">
        <v>534</v>
      </c>
      <c r="G29" s="1" t="s">
        <v>534</v>
      </c>
      <c r="H29" s="1" t="s">
        <v>560</v>
      </c>
      <c r="I29" s="1">
        <v>0</v>
      </c>
      <c r="J29" s="1">
        <v>50</v>
      </c>
      <c r="K29" s="1">
        <v>110</v>
      </c>
      <c r="L29" s="1" t="s">
        <v>3174</v>
      </c>
      <c r="M29" s="1" t="s">
        <v>546</v>
      </c>
      <c r="N29" s="1" t="s">
        <v>546</v>
      </c>
      <c r="O29" s="1" t="s">
        <v>546</v>
      </c>
      <c r="P29" s="1" t="s">
        <v>546</v>
      </c>
      <c r="Q29" s="1" t="s">
        <v>546</v>
      </c>
      <c r="R29" s="1" t="s">
        <v>546</v>
      </c>
      <c r="S29" s="1" t="s">
        <v>546</v>
      </c>
      <c r="T29" s="1" t="s">
        <v>546</v>
      </c>
      <c r="V29" s="1" t="s">
        <v>522</v>
      </c>
      <c r="X29" s="1" t="s">
        <v>522</v>
      </c>
    </row>
    <row r="30" spans="2:24">
      <c r="B30" s="1" t="s">
        <v>512</v>
      </c>
      <c r="C30" s="1" t="s">
        <v>558</v>
      </c>
      <c r="D30" s="1">
        <v>1</v>
      </c>
      <c r="E30" s="1" t="s">
        <v>559</v>
      </c>
      <c r="F30" s="1" t="s">
        <v>534</v>
      </c>
      <c r="G30" s="1" t="s">
        <v>534</v>
      </c>
      <c r="H30" s="1" t="s">
        <v>560</v>
      </c>
      <c r="I30" s="1">
        <v>0</v>
      </c>
      <c r="J30" s="1">
        <v>65</v>
      </c>
      <c r="K30" s="1">
        <v>75</v>
      </c>
      <c r="L30" s="1" t="s">
        <v>3174</v>
      </c>
      <c r="M30" s="1">
        <v>14</v>
      </c>
      <c r="N30" s="1">
        <v>65</v>
      </c>
      <c r="O30" s="1">
        <v>75</v>
      </c>
      <c r="P30" s="1" t="s">
        <v>3181</v>
      </c>
      <c r="Q30" s="1">
        <v>0</v>
      </c>
      <c r="R30" s="1">
        <v>20</v>
      </c>
      <c r="S30" s="1">
        <v>23</v>
      </c>
      <c r="T30" s="1" t="s">
        <v>3174</v>
      </c>
      <c r="V30" s="1" t="s">
        <v>522</v>
      </c>
      <c r="X30" s="1" t="s">
        <v>522</v>
      </c>
    </row>
    <row r="31" spans="2:24">
      <c r="B31" s="1" t="s">
        <v>502</v>
      </c>
      <c r="C31" s="1" t="s">
        <v>558</v>
      </c>
      <c r="D31" s="1">
        <v>1</v>
      </c>
      <c r="E31" s="1" t="s">
        <v>559</v>
      </c>
      <c r="F31" s="1" t="s">
        <v>534</v>
      </c>
      <c r="G31" s="1" t="s">
        <v>534</v>
      </c>
      <c r="H31" s="1" t="s">
        <v>560</v>
      </c>
      <c r="I31" s="1">
        <v>0</v>
      </c>
      <c r="J31" s="1">
        <v>65</v>
      </c>
      <c r="K31" s="1">
        <v>75</v>
      </c>
      <c r="L31" s="1" t="s">
        <v>3174</v>
      </c>
      <c r="M31" s="1">
        <v>14</v>
      </c>
      <c r="N31" s="1">
        <v>65</v>
      </c>
      <c r="O31" s="1">
        <v>75</v>
      </c>
      <c r="P31" s="1" t="s">
        <v>3181</v>
      </c>
      <c r="Q31" s="1">
        <v>0</v>
      </c>
      <c r="R31" s="1">
        <v>20</v>
      </c>
      <c r="S31" s="1">
        <v>23</v>
      </c>
      <c r="T31" s="1" t="s">
        <v>3174</v>
      </c>
      <c r="V31" s="1" t="s">
        <v>522</v>
      </c>
      <c r="X31" s="1" t="s">
        <v>522</v>
      </c>
    </row>
    <row r="32" spans="2:24">
      <c r="B32" s="1" t="s">
        <v>513</v>
      </c>
      <c r="C32" s="1" t="s">
        <v>558</v>
      </c>
      <c r="D32" s="1">
        <v>1</v>
      </c>
      <c r="E32" s="1" t="s">
        <v>559</v>
      </c>
      <c r="F32" s="1" t="s">
        <v>534</v>
      </c>
      <c r="G32" s="1" t="s">
        <v>534</v>
      </c>
      <c r="H32" s="1" t="s">
        <v>560</v>
      </c>
      <c r="I32" s="1">
        <v>0</v>
      </c>
      <c r="J32" s="1">
        <v>70</v>
      </c>
      <c r="K32" s="1">
        <v>75</v>
      </c>
      <c r="L32" s="1" t="s">
        <v>3174</v>
      </c>
      <c r="M32" s="1">
        <v>14</v>
      </c>
      <c r="N32" s="1">
        <v>70</v>
      </c>
      <c r="O32" s="1">
        <v>75</v>
      </c>
      <c r="P32" s="1" t="s">
        <v>3181</v>
      </c>
      <c r="Q32" s="1">
        <v>0</v>
      </c>
      <c r="R32" s="1">
        <v>25</v>
      </c>
      <c r="S32" s="1">
        <v>25</v>
      </c>
      <c r="T32" s="1" t="s">
        <v>3174</v>
      </c>
      <c r="V32" s="1" t="s">
        <v>522</v>
      </c>
      <c r="X32" s="1" t="s">
        <v>522</v>
      </c>
    </row>
    <row r="33" spans="2:24">
      <c r="B33" s="1" t="s">
        <v>565</v>
      </c>
      <c r="C33" s="1" t="s">
        <v>558</v>
      </c>
      <c r="D33" s="1">
        <v>5</v>
      </c>
      <c r="E33" s="1" t="s">
        <v>567</v>
      </c>
      <c r="F33" s="1" t="s">
        <v>534</v>
      </c>
      <c r="G33" s="1" t="s">
        <v>534</v>
      </c>
      <c r="H33" s="1" t="s">
        <v>534</v>
      </c>
      <c r="I33" s="1">
        <v>15</v>
      </c>
      <c r="J33" s="1">
        <v>80</v>
      </c>
      <c r="K33" s="1">
        <v>5</v>
      </c>
      <c r="L33" s="1" t="s">
        <v>588</v>
      </c>
      <c r="M33" s="1" t="s">
        <v>546</v>
      </c>
      <c r="N33" s="1" t="s">
        <v>546</v>
      </c>
      <c r="O33" s="1" t="s">
        <v>546</v>
      </c>
      <c r="P33" s="1" t="s">
        <v>546</v>
      </c>
      <c r="Q33" s="1" t="s">
        <v>546</v>
      </c>
      <c r="R33" s="1" t="s">
        <v>546</v>
      </c>
      <c r="S33" s="1" t="s">
        <v>546</v>
      </c>
      <c r="T33" s="1" t="s">
        <v>546</v>
      </c>
      <c r="V33" s="1" t="s">
        <v>522</v>
      </c>
      <c r="X33" s="1" t="s">
        <v>522</v>
      </c>
    </row>
    <row r="34" spans="2:24">
      <c r="B34" s="1" t="s">
        <v>565</v>
      </c>
      <c r="C34" s="1" t="s">
        <v>558</v>
      </c>
      <c r="D34" s="1">
        <v>6</v>
      </c>
      <c r="E34" s="1" t="s">
        <v>533</v>
      </c>
      <c r="F34" s="1" t="s">
        <v>534</v>
      </c>
      <c r="G34" s="1" t="s">
        <v>534</v>
      </c>
      <c r="H34" s="1" t="s">
        <v>534</v>
      </c>
      <c r="I34" s="1">
        <v>15</v>
      </c>
      <c r="J34" s="1">
        <v>79</v>
      </c>
      <c r="K34" s="1">
        <v>6</v>
      </c>
      <c r="L34" s="1" t="s">
        <v>588</v>
      </c>
      <c r="M34" s="1" t="s">
        <v>546</v>
      </c>
      <c r="N34" s="1" t="s">
        <v>546</v>
      </c>
      <c r="O34" s="1" t="s">
        <v>546</v>
      </c>
      <c r="P34" s="1" t="s">
        <v>546</v>
      </c>
      <c r="Q34" s="1" t="s">
        <v>546</v>
      </c>
      <c r="R34" s="1" t="s">
        <v>546</v>
      </c>
      <c r="S34" s="1" t="s">
        <v>546</v>
      </c>
      <c r="T34" s="1" t="s">
        <v>546</v>
      </c>
      <c r="V34" s="1" t="s">
        <v>522</v>
      </c>
      <c r="X34" s="1" t="s">
        <v>522</v>
      </c>
    </row>
    <row r="35" spans="2:24">
      <c r="B35" s="1" t="s">
        <v>565</v>
      </c>
      <c r="C35" s="1" t="s">
        <v>558</v>
      </c>
      <c r="D35" s="1">
        <v>7</v>
      </c>
      <c r="E35" s="1" t="s">
        <v>568</v>
      </c>
      <c r="F35" s="1" t="s">
        <v>534</v>
      </c>
      <c r="G35" s="1" t="s">
        <v>534</v>
      </c>
      <c r="H35" s="1" t="s">
        <v>534</v>
      </c>
      <c r="I35" s="1">
        <v>15</v>
      </c>
      <c r="J35" s="1">
        <v>78</v>
      </c>
      <c r="K35" s="1">
        <v>7</v>
      </c>
      <c r="L35" s="1" t="s">
        <v>588</v>
      </c>
      <c r="M35" s="1" t="s">
        <v>546</v>
      </c>
      <c r="N35" s="1" t="s">
        <v>546</v>
      </c>
      <c r="O35" s="1" t="s">
        <v>546</v>
      </c>
      <c r="P35" s="1" t="s">
        <v>546</v>
      </c>
      <c r="Q35" s="1" t="s">
        <v>546</v>
      </c>
      <c r="R35" s="1" t="s">
        <v>546</v>
      </c>
      <c r="S35" s="1" t="s">
        <v>546</v>
      </c>
      <c r="T35" s="1" t="s">
        <v>546</v>
      </c>
      <c r="V35" s="1" t="s">
        <v>522</v>
      </c>
      <c r="X35" s="1" t="s">
        <v>522</v>
      </c>
    </row>
    <row r="36" spans="2:24">
      <c r="B36" s="1" t="s">
        <v>565</v>
      </c>
      <c r="C36" s="1" t="s">
        <v>558</v>
      </c>
      <c r="D36" s="1">
        <v>8</v>
      </c>
      <c r="E36" s="1" t="s">
        <v>544</v>
      </c>
      <c r="F36" s="1" t="s">
        <v>534</v>
      </c>
      <c r="G36" s="1" t="s">
        <v>534</v>
      </c>
      <c r="H36" s="1" t="s">
        <v>534</v>
      </c>
      <c r="I36" s="1">
        <v>15</v>
      </c>
      <c r="J36" s="1">
        <v>77</v>
      </c>
      <c r="K36" s="1">
        <v>8</v>
      </c>
      <c r="L36" s="1" t="s">
        <v>588</v>
      </c>
      <c r="M36" s="1" t="s">
        <v>546</v>
      </c>
      <c r="N36" s="1" t="s">
        <v>546</v>
      </c>
      <c r="O36" s="1" t="s">
        <v>546</v>
      </c>
      <c r="P36" s="1" t="s">
        <v>546</v>
      </c>
      <c r="Q36" s="1" t="s">
        <v>546</v>
      </c>
      <c r="R36" s="1" t="s">
        <v>546</v>
      </c>
      <c r="S36" s="1" t="s">
        <v>546</v>
      </c>
      <c r="T36" s="1" t="s">
        <v>546</v>
      </c>
      <c r="V36" s="1" t="s">
        <v>522</v>
      </c>
      <c r="X36" s="1" t="s">
        <v>522</v>
      </c>
    </row>
    <row r="37" spans="2:24">
      <c r="B37" s="1" t="s">
        <v>565</v>
      </c>
      <c r="C37" s="1" t="s">
        <v>558</v>
      </c>
      <c r="D37" s="1">
        <v>9</v>
      </c>
      <c r="E37" s="1" t="s">
        <v>569</v>
      </c>
      <c r="F37" s="1" t="s">
        <v>534</v>
      </c>
      <c r="G37" s="1" t="s">
        <v>534</v>
      </c>
      <c r="H37" s="1" t="s">
        <v>534</v>
      </c>
      <c r="I37" s="1">
        <v>15</v>
      </c>
      <c r="J37" s="1">
        <v>76</v>
      </c>
      <c r="K37" s="1">
        <v>9</v>
      </c>
      <c r="L37" s="1" t="s">
        <v>588</v>
      </c>
      <c r="M37" s="1" t="s">
        <v>546</v>
      </c>
      <c r="N37" s="1" t="s">
        <v>546</v>
      </c>
      <c r="O37" s="1" t="s">
        <v>546</v>
      </c>
      <c r="P37" s="1" t="s">
        <v>546</v>
      </c>
      <c r="Q37" s="1" t="s">
        <v>546</v>
      </c>
      <c r="R37" s="1" t="s">
        <v>546</v>
      </c>
      <c r="S37" s="1" t="s">
        <v>546</v>
      </c>
      <c r="T37" s="1" t="s">
        <v>546</v>
      </c>
      <c r="V37" s="1" t="s">
        <v>522</v>
      </c>
      <c r="X37" s="1" t="s">
        <v>522</v>
      </c>
    </row>
    <row r="38" spans="2:24">
      <c r="B38" s="1" t="s">
        <v>565</v>
      </c>
      <c r="C38" s="1" t="s">
        <v>558</v>
      </c>
      <c r="D38" s="1">
        <v>10</v>
      </c>
      <c r="E38" s="1" t="s">
        <v>535</v>
      </c>
      <c r="F38" s="1" t="s">
        <v>534</v>
      </c>
      <c r="G38" s="1" t="s">
        <v>534</v>
      </c>
      <c r="H38" s="1" t="s">
        <v>534</v>
      </c>
      <c r="I38" s="1">
        <v>15</v>
      </c>
      <c r="J38" s="1">
        <v>75</v>
      </c>
      <c r="K38" s="1">
        <v>10</v>
      </c>
      <c r="L38" s="1" t="s">
        <v>588</v>
      </c>
      <c r="M38" s="1" t="s">
        <v>546</v>
      </c>
      <c r="N38" s="1" t="s">
        <v>546</v>
      </c>
      <c r="O38" s="1" t="s">
        <v>546</v>
      </c>
      <c r="P38" s="1" t="s">
        <v>546</v>
      </c>
      <c r="Q38" s="1" t="s">
        <v>546</v>
      </c>
      <c r="R38" s="1" t="s">
        <v>546</v>
      </c>
      <c r="S38" s="1" t="s">
        <v>546</v>
      </c>
      <c r="T38" s="1" t="s">
        <v>546</v>
      </c>
      <c r="V38" s="1" t="s">
        <v>522</v>
      </c>
      <c r="X38" s="1" t="s">
        <v>522</v>
      </c>
    </row>
    <row r="39" spans="2:24">
      <c r="B39" s="1" t="s">
        <v>565</v>
      </c>
      <c r="C39" s="1" t="s">
        <v>558</v>
      </c>
      <c r="D39" s="1">
        <v>11</v>
      </c>
      <c r="E39" s="1" t="s">
        <v>570</v>
      </c>
      <c r="F39" s="1" t="s">
        <v>534</v>
      </c>
      <c r="G39" s="1" t="s">
        <v>534</v>
      </c>
      <c r="H39" s="1" t="s">
        <v>534</v>
      </c>
      <c r="I39" s="1">
        <v>15</v>
      </c>
      <c r="J39" s="1">
        <v>74</v>
      </c>
      <c r="K39" s="1">
        <v>11</v>
      </c>
      <c r="L39" s="1" t="s">
        <v>588</v>
      </c>
      <c r="M39" s="1" t="s">
        <v>546</v>
      </c>
      <c r="N39" s="1" t="s">
        <v>546</v>
      </c>
      <c r="O39" s="1" t="s">
        <v>546</v>
      </c>
      <c r="P39" s="1" t="s">
        <v>546</v>
      </c>
      <c r="Q39" s="1" t="s">
        <v>546</v>
      </c>
      <c r="R39" s="1" t="s">
        <v>546</v>
      </c>
      <c r="S39" s="1" t="s">
        <v>546</v>
      </c>
      <c r="T39" s="1" t="s">
        <v>546</v>
      </c>
      <c r="V39" s="1" t="s">
        <v>522</v>
      </c>
      <c r="X39" s="1" t="s">
        <v>522</v>
      </c>
    </row>
    <row r="40" spans="2:24">
      <c r="B40" s="1" t="s">
        <v>565</v>
      </c>
      <c r="C40" s="1" t="s">
        <v>558</v>
      </c>
      <c r="D40" s="1">
        <v>12</v>
      </c>
      <c r="E40" s="1" t="s">
        <v>571</v>
      </c>
      <c r="F40" s="1" t="s">
        <v>534</v>
      </c>
      <c r="G40" s="1" t="s">
        <v>534</v>
      </c>
      <c r="H40" s="1" t="s">
        <v>534</v>
      </c>
      <c r="I40" s="1">
        <v>15</v>
      </c>
      <c r="J40" s="1">
        <v>73</v>
      </c>
      <c r="K40" s="1">
        <v>12</v>
      </c>
      <c r="L40" s="1" t="s">
        <v>588</v>
      </c>
      <c r="M40" s="1" t="s">
        <v>546</v>
      </c>
      <c r="N40" s="1" t="s">
        <v>546</v>
      </c>
      <c r="O40" s="1" t="s">
        <v>546</v>
      </c>
      <c r="P40" s="1" t="s">
        <v>546</v>
      </c>
      <c r="Q40" s="1" t="s">
        <v>546</v>
      </c>
      <c r="R40" s="1" t="s">
        <v>546</v>
      </c>
      <c r="S40" s="1" t="s">
        <v>546</v>
      </c>
      <c r="T40" s="1" t="s">
        <v>546</v>
      </c>
      <c r="V40" s="1" t="s">
        <v>522</v>
      </c>
      <c r="X40" s="1" t="s">
        <v>522</v>
      </c>
    </row>
    <row r="41" spans="2:24">
      <c r="B41" s="1" t="s">
        <v>565</v>
      </c>
      <c r="C41" s="1" t="s">
        <v>558</v>
      </c>
      <c r="D41" s="1">
        <v>13</v>
      </c>
      <c r="E41" s="1" t="s">
        <v>572</v>
      </c>
      <c r="F41" s="1" t="s">
        <v>534</v>
      </c>
      <c r="G41" s="1" t="s">
        <v>534</v>
      </c>
      <c r="H41" s="1" t="s">
        <v>534</v>
      </c>
      <c r="I41" s="1">
        <v>15</v>
      </c>
      <c r="J41" s="1">
        <v>72</v>
      </c>
      <c r="K41" s="1">
        <v>13</v>
      </c>
      <c r="L41" s="1" t="s">
        <v>588</v>
      </c>
      <c r="M41" s="1" t="s">
        <v>546</v>
      </c>
      <c r="N41" s="1" t="s">
        <v>546</v>
      </c>
      <c r="O41" s="1" t="s">
        <v>546</v>
      </c>
      <c r="P41" s="1" t="s">
        <v>546</v>
      </c>
      <c r="Q41" s="1" t="s">
        <v>546</v>
      </c>
      <c r="R41" s="1" t="s">
        <v>546</v>
      </c>
      <c r="S41" s="1" t="s">
        <v>546</v>
      </c>
      <c r="T41" s="1" t="s">
        <v>546</v>
      </c>
      <c r="V41" s="1" t="s">
        <v>522</v>
      </c>
      <c r="X41" s="1" t="s">
        <v>522</v>
      </c>
    </row>
    <row r="42" spans="2:24">
      <c r="B42" s="1" t="s">
        <v>565</v>
      </c>
      <c r="C42" s="1" t="s">
        <v>558</v>
      </c>
      <c r="D42" s="1">
        <v>14</v>
      </c>
      <c r="E42" s="1" t="s">
        <v>573</v>
      </c>
      <c r="F42" s="1" t="s">
        <v>534</v>
      </c>
      <c r="G42" s="1" t="s">
        <v>534</v>
      </c>
      <c r="H42" s="1" t="s">
        <v>534</v>
      </c>
      <c r="I42" s="1">
        <v>15</v>
      </c>
      <c r="J42" s="1">
        <v>71</v>
      </c>
      <c r="K42" s="1">
        <v>14</v>
      </c>
      <c r="L42" s="1" t="s">
        <v>588</v>
      </c>
      <c r="M42" s="1" t="s">
        <v>546</v>
      </c>
      <c r="N42" s="1" t="s">
        <v>546</v>
      </c>
      <c r="O42" s="1" t="s">
        <v>546</v>
      </c>
      <c r="P42" s="1" t="s">
        <v>546</v>
      </c>
      <c r="Q42" s="1" t="s">
        <v>546</v>
      </c>
      <c r="R42" s="1" t="s">
        <v>546</v>
      </c>
      <c r="S42" s="1" t="s">
        <v>546</v>
      </c>
      <c r="T42" s="1" t="s">
        <v>546</v>
      </c>
      <c r="V42" s="1" t="s">
        <v>522</v>
      </c>
      <c r="X42" s="1" t="s">
        <v>522</v>
      </c>
    </row>
    <row r="43" spans="2:24">
      <c r="B43" s="1" t="s">
        <v>565</v>
      </c>
      <c r="C43" s="1" t="s">
        <v>558</v>
      </c>
      <c r="D43" s="1">
        <v>15</v>
      </c>
      <c r="E43" s="1" t="s">
        <v>574</v>
      </c>
      <c r="F43" s="1" t="s">
        <v>534</v>
      </c>
      <c r="G43" s="1" t="s">
        <v>534</v>
      </c>
      <c r="H43" s="1" t="s">
        <v>534</v>
      </c>
      <c r="I43" s="1">
        <v>15</v>
      </c>
      <c r="J43" s="1">
        <v>70</v>
      </c>
      <c r="K43" s="1">
        <v>15</v>
      </c>
      <c r="L43" s="1" t="s">
        <v>588</v>
      </c>
      <c r="M43" s="1" t="s">
        <v>546</v>
      </c>
      <c r="N43" s="1" t="s">
        <v>546</v>
      </c>
      <c r="O43" s="1" t="s">
        <v>546</v>
      </c>
      <c r="P43" s="1" t="s">
        <v>546</v>
      </c>
      <c r="Q43" s="1" t="s">
        <v>546</v>
      </c>
      <c r="R43" s="1" t="s">
        <v>546</v>
      </c>
      <c r="S43" s="1" t="s">
        <v>546</v>
      </c>
      <c r="T43" s="1" t="s">
        <v>546</v>
      </c>
      <c r="V43" s="1" t="s">
        <v>522</v>
      </c>
      <c r="X43" s="1" t="s">
        <v>522</v>
      </c>
    </row>
    <row r="44" spans="2:24">
      <c r="B44" s="1" t="s">
        <v>565</v>
      </c>
      <c r="C44" s="1" t="s">
        <v>558</v>
      </c>
      <c r="D44" s="1">
        <v>16</v>
      </c>
      <c r="E44" s="1" t="s">
        <v>575</v>
      </c>
      <c r="F44" s="1" t="s">
        <v>534</v>
      </c>
      <c r="G44" s="1" t="s">
        <v>534</v>
      </c>
      <c r="H44" s="1" t="s">
        <v>534</v>
      </c>
      <c r="I44" s="1">
        <v>15</v>
      </c>
      <c r="J44" s="1">
        <v>69</v>
      </c>
      <c r="K44" s="1">
        <v>16</v>
      </c>
      <c r="L44" s="1" t="s">
        <v>588</v>
      </c>
      <c r="M44" s="1" t="s">
        <v>546</v>
      </c>
      <c r="N44" s="1" t="s">
        <v>546</v>
      </c>
      <c r="O44" s="1" t="s">
        <v>546</v>
      </c>
      <c r="P44" s="1" t="s">
        <v>546</v>
      </c>
      <c r="Q44" s="1" t="s">
        <v>546</v>
      </c>
      <c r="R44" s="1" t="s">
        <v>546</v>
      </c>
      <c r="S44" s="1" t="s">
        <v>546</v>
      </c>
      <c r="T44" s="1" t="s">
        <v>546</v>
      </c>
      <c r="V44" s="1" t="s">
        <v>522</v>
      </c>
      <c r="X44" s="1" t="s">
        <v>522</v>
      </c>
    </row>
    <row r="45" spans="2:24">
      <c r="B45" s="1" t="s">
        <v>565</v>
      </c>
      <c r="C45" s="1" t="s">
        <v>558</v>
      </c>
      <c r="D45" s="1">
        <v>17</v>
      </c>
      <c r="E45" s="1" t="s">
        <v>576</v>
      </c>
      <c r="F45" s="1" t="s">
        <v>534</v>
      </c>
      <c r="G45" s="1" t="s">
        <v>534</v>
      </c>
      <c r="H45" s="1" t="s">
        <v>534</v>
      </c>
      <c r="I45" s="1">
        <v>15</v>
      </c>
      <c r="J45" s="1">
        <v>68</v>
      </c>
      <c r="K45" s="1">
        <v>17</v>
      </c>
      <c r="L45" s="1" t="s">
        <v>588</v>
      </c>
      <c r="M45" s="1" t="s">
        <v>546</v>
      </c>
      <c r="N45" s="1" t="s">
        <v>546</v>
      </c>
      <c r="O45" s="1" t="s">
        <v>546</v>
      </c>
      <c r="P45" s="1" t="s">
        <v>546</v>
      </c>
      <c r="Q45" s="1" t="s">
        <v>546</v>
      </c>
      <c r="R45" s="1" t="s">
        <v>546</v>
      </c>
      <c r="S45" s="1" t="s">
        <v>546</v>
      </c>
      <c r="T45" s="1" t="s">
        <v>546</v>
      </c>
      <c r="V45" s="1" t="s">
        <v>522</v>
      </c>
      <c r="X45" s="1" t="s">
        <v>522</v>
      </c>
    </row>
    <row r="46" spans="2:24">
      <c r="B46" s="1" t="s">
        <v>565</v>
      </c>
      <c r="C46" s="1" t="s">
        <v>558</v>
      </c>
      <c r="D46" s="1">
        <v>18</v>
      </c>
      <c r="E46" s="1" t="s">
        <v>577</v>
      </c>
      <c r="F46" s="1" t="s">
        <v>534</v>
      </c>
      <c r="G46" s="1" t="s">
        <v>534</v>
      </c>
      <c r="H46" s="1" t="s">
        <v>534</v>
      </c>
      <c r="I46" s="1">
        <v>15</v>
      </c>
      <c r="J46" s="1">
        <v>67</v>
      </c>
      <c r="K46" s="1">
        <v>18</v>
      </c>
      <c r="L46" s="1" t="s">
        <v>588</v>
      </c>
      <c r="M46" s="1" t="s">
        <v>546</v>
      </c>
      <c r="N46" s="1" t="s">
        <v>546</v>
      </c>
      <c r="O46" s="1" t="s">
        <v>546</v>
      </c>
      <c r="P46" s="1" t="s">
        <v>546</v>
      </c>
      <c r="Q46" s="1" t="s">
        <v>546</v>
      </c>
      <c r="R46" s="1" t="s">
        <v>546</v>
      </c>
      <c r="S46" s="1" t="s">
        <v>546</v>
      </c>
      <c r="T46" s="1" t="s">
        <v>546</v>
      </c>
      <c r="V46" s="1" t="s">
        <v>522</v>
      </c>
      <c r="X46" s="1" t="s">
        <v>522</v>
      </c>
    </row>
    <row r="47" spans="2:24">
      <c r="B47" s="1" t="s">
        <v>565</v>
      </c>
      <c r="C47" s="1" t="s">
        <v>558</v>
      </c>
      <c r="D47" s="1">
        <v>19</v>
      </c>
      <c r="E47" s="1" t="s">
        <v>578</v>
      </c>
      <c r="F47" s="1" t="s">
        <v>534</v>
      </c>
      <c r="G47" s="1" t="s">
        <v>534</v>
      </c>
      <c r="H47" s="1" t="s">
        <v>534</v>
      </c>
      <c r="I47" s="1">
        <v>15</v>
      </c>
      <c r="J47" s="1">
        <v>66</v>
      </c>
      <c r="K47" s="1">
        <v>19</v>
      </c>
      <c r="L47" s="1" t="s">
        <v>588</v>
      </c>
      <c r="M47" s="1" t="s">
        <v>546</v>
      </c>
      <c r="N47" s="1" t="s">
        <v>546</v>
      </c>
      <c r="O47" s="1" t="s">
        <v>546</v>
      </c>
      <c r="P47" s="1" t="s">
        <v>546</v>
      </c>
      <c r="Q47" s="1" t="s">
        <v>546</v>
      </c>
      <c r="R47" s="1" t="s">
        <v>546</v>
      </c>
      <c r="S47" s="1" t="s">
        <v>546</v>
      </c>
      <c r="T47" s="1" t="s">
        <v>546</v>
      </c>
      <c r="V47" s="1" t="s">
        <v>522</v>
      </c>
      <c r="X47" s="1" t="s">
        <v>522</v>
      </c>
    </row>
    <row r="48" spans="2:24">
      <c r="B48" s="1" t="s">
        <v>565</v>
      </c>
      <c r="C48" s="1" t="s">
        <v>558</v>
      </c>
      <c r="D48" s="1">
        <v>20</v>
      </c>
      <c r="E48" s="1" t="s">
        <v>536</v>
      </c>
      <c r="F48" s="1" t="s">
        <v>534</v>
      </c>
      <c r="G48" s="1" t="s">
        <v>534</v>
      </c>
      <c r="H48" s="1" t="s">
        <v>534</v>
      </c>
      <c r="I48" s="1">
        <v>15</v>
      </c>
      <c r="J48" s="1">
        <v>65</v>
      </c>
      <c r="K48" s="1">
        <v>20</v>
      </c>
      <c r="L48" s="1" t="s">
        <v>588</v>
      </c>
      <c r="M48" s="1" t="s">
        <v>546</v>
      </c>
      <c r="N48" s="1" t="s">
        <v>546</v>
      </c>
      <c r="O48" s="1" t="s">
        <v>546</v>
      </c>
      <c r="P48" s="1" t="s">
        <v>546</v>
      </c>
      <c r="Q48" s="1" t="s">
        <v>546</v>
      </c>
      <c r="R48" s="1" t="s">
        <v>546</v>
      </c>
      <c r="S48" s="1" t="s">
        <v>546</v>
      </c>
      <c r="T48" s="1" t="s">
        <v>546</v>
      </c>
      <c r="V48" s="1" t="s">
        <v>522</v>
      </c>
      <c r="X48" s="1" t="s">
        <v>522</v>
      </c>
    </row>
    <row r="49" spans="2:24">
      <c r="B49" s="1" t="s">
        <v>565</v>
      </c>
      <c r="C49" s="1" t="s">
        <v>558</v>
      </c>
      <c r="D49" s="1">
        <v>21</v>
      </c>
      <c r="E49" s="1" t="s">
        <v>579</v>
      </c>
      <c r="F49" s="1" t="s">
        <v>534</v>
      </c>
      <c r="G49" s="1" t="s">
        <v>534</v>
      </c>
      <c r="H49" s="1" t="s">
        <v>534</v>
      </c>
      <c r="I49" s="1">
        <v>15</v>
      </c>
      <c r="J49" s="1">
        <v>64</v>
      </c>
      <c r="K49" s="1">
        <v>21</v>
      </c>
      <c r="L49" s="1" t="s">
        <v>588</v>
      </c>
      <c r="M49" s="1" t="s">
        <v>546</v>
      </c>
      <c r="N49" s="1" t="s">
        <v>546</v>
      </c>
      <c r="O49" s="1" t="s">
        <v>546</v>
      </c>
      <c r="P49" s="1" t="s">
        <v>546</v>
      </c>
      <c r="Q49" s="1" t="s">
        <v>546</v>
      </c>
      <c r="R49" s="1" t="s">
        <v>546</v>
      </c>
      <c r="S49" s="1" t="s">
        <v>546</v>
      </c>
      <c r="T49" s="1" t="s">
        <v>546</v>
      </c>
      <c r="V49" s="1" t="s">
        <v>522</v>
      </c>
      <c r="X49" s="1" t="s">
        <v>522</v>
      </c>
    </row>
    <row r="50" spans="2:24">
      <c r="B50" s="1" t="s">
        <v>565</v>
      </c>
      <c r="C50" s="1" t="s">
        <v>558</v>
      </c>
      <c r="D50" s="1">
        <v>22</v>
      </c>
      <c r="E50" s="1" t="s">
        <v>580</v>
      </c>
      <c r="F50" s="1" t="s">
        <v>534</v>
      </c>
      <c r="G50" s="1" t="s">
        <v>534</v>
      </c>
      <c r="H50" s="1" t="s">
        <v>534</v>
      </c>
      <c r="I50" s="1">
        <v>15</v>
      </c>
      <c r="J50" s="1">
        <v>63</v>
      </c>
      <c r="K50" s="1">
        <v>22</v>
      </c>
      <c r="L50" s="1" t="s">
        <v>588</v>
      </c>
      <c r="M50" s="1" t="s">
        <v>546</v>
      </c>
      <c r="N50" s="1" t="s">
        <v>546</v>
      </c>
      <c r="O50" s="1" t="s">
        <v>546</v>
      </c>
      <c r="P50" s="1" t="s">
        <v>546</v>
      </c>
      <c r="Q50" s="1" t="s">
        <v>546</v>
      </c>
      <c r="R50" s="1" t="s">
        <v>546</v>
      </c>
      <c r="S50" s="1" t="s">
        <v>546</v>
      </c>
      <c r="T50" s="1" t="s">
        <v>546</v>
      </c>
      <c r="V50" s="1" t="s">
        <v>522</v>
      </c>
      <c r="X50" s="1" t="s">
        <v>522</v>
      </c>
    </row>
    <row r="51" spans="2:24">
      <c r="B51" s="1" t="s">
        <v>565</v>
      </c>
      <c r="C51" s="1" t="s">
        <v>558</v>
      </c>
      <c r="D51" s="1">
        <v>23</v>
      </c>
      <c r="E51" s="1" t="s">
        <v>581</v>
      </c>
      <c r="F51" s="1" t="s">
        <v>534</v>
      </c>
      <c r="G51" s="1" t="s">
        <v>534</v>
      </c>
      <c r="H51" s="1" t="s">
        <v>534</v>
      </c>
      <c r="I51" s="1">
        <v>15</v>
      </c>
      <c r="J51" s="1">
        <v>62</v>
      </c>
      <c r="K51" s="1">
        <v>23</v>
      </c>
      <c r="L51" s="1" t="s">
        <v>588</v>
      </c>
      <c r="M51" s="1" t="s">
        <v>546</v>
      </c>
      <c r="N51" s="1" t="s">
        <v>546</v>
      </c>
      <c r="O51" s="1" t="s">
        <v>546</v>
      </c>
      <c r="P51" s="1" t="s">
        <v>546</v>
      </c>
      <c r="Q51" s="1" t="s">
        <v>546</v>
      </c>
      <c r="R51" s="1" t="s">
        <v>546</v>
      </c>
      <c r="S51" s="1" t="s">
        <v>546</v>
      </c>
      <c r="T51" s="1" t="s">
        <v>546</v>
      </c>
      <c r="V51" s="1" t="s">
        <v>522</v>
      </c>
      <c r="X51" s="1" t="s">
        <v>522</v>
      </c>
    </row>
    <row r="52" spans="2:24">
      <c r="B52" s="1" t="s">
        <v>565</v>
      </c>
      <c r="C52" s="1" t="s">
        <v>558</v>
      </c>
      <c r="D52" s="1">
        <v>24</v>
      </c>
      <c r="E52" s="1" t="s">
        <v>582</v>
      </c>
      <c r="F52" s="1" t="s">
        <v>534</v>
      </c>
      <c r="G52" s="1" t="s">
        <v>534</v>
      </c>
      <c r="H52" s="1" t="s">
        <v>534</v>
      </c>
      <c r="I52" s="1">
        <v>15</v>
      </c>
      <c r="J52" s="1">
        <v>61</v>
      </c>
      <c r="K52" s="1">
        <v>24</v>
      </c>
      <c r="L52" s="1" t="s">
        <v>588</v>
      </c>
      <c r="M52" s="1" t="s">
        <v>546</v>
      </c>
      <c r="N52" s="1" t="s">
        <v>546</v>
      </c>
      <c r="O52" s="1" t="s">
        <v>546</v>
      </c>
      <c r="P52" s="1" t="s">
        <v>546</v>
      </c>
      <c r="Q52" s="1" t="s">
        <v>546</v>
      </c>
      <c r="R52" s="1" t="s">
        <v>546</v>
      </c>
      <c r="S52" s="1" t="s">
        <v>546</v>
      </c>
      <c r="T52" s="1" t="s">
        <v>546</v>
      </c>
      <c r="V52" s="1" t="s">
        <v>522</v>
      </c>
      <c r="X52" s="1" t="s">
        <v>522</v>
      </c>
    </row>
    <row r="53" spans="2:24">
      <c r="B53" s="1" t="s">
        <v>565</v>
      </c>
      <c r="C53" s="1" t="s">
        <v>558</v>
      </c>
      <c r="D53" s="1">
        <v>25</v>
      </c>
      <c r="E53" s="1" t="s">
        <v>583</v>
      </c>
      <c r="F53" s="1" t="s">
        <v>534</v>
      </c>
      <c r="G53" s="1" t="s">
        <v>534</v>
      </c>
      <c r="H53" s="1" t="s">
        <v>534</v>
      </c>
      <c r="I53" s="1">
        <v>15</v>
      </c>
      <c r="J53" s="1">
        <v>60</v>
      </c>
      <c r="K53" s="1">
        <v>25</v>
      </c>
      <c r="L53" s="1" t="s">
        <v>588</v>
      </c>
      <c r="M53" s="1" t="s">
        <v>546</v>
      </c>
      <c r="N53" s="1" t="s">
        <v>546</v>
      </c>
      <c r="O53" s="1" t="s">
        <v>546</v>
      </c>
      <c r="P53" s="1" t="s">
        <v>546</v>
      </c>
      <c r="Q53" s="1" t="s">
        <v>546</v>
      </c>
      <c r="R53" s="1" t="s">
        <v>546</v>
      </c>
      <c r="S53" s="1" t="s">
        <v>546</v>
      </c>
      <c r="T53" s="1" t="s">
        <v>546</v>
      </c>
      <c r="V53" s="1" t="s">
        <v>522</v>
      </c>
      <c r="X53" s="1" t="s">
        <v>522</v>
      </c>
    </row>
    <row r="54" spans="2:24">
      <c r="B54" s="1" t="s">
        <v>565</v>
      </c>
      <c r="C54" s="1" t="s">
        <v>558</v>
      </c>
      <c r="D54" s="1">
        <v>26</v>
      </c>
      <c r="E54" s="1" t="s">
        <v>584</v>
      </c>
      <c r="F54" s="1" t="s">
        <v>534</v>
      </c>
      <c r="G54" s="1" t="s">
        <v>534</v>
      </c>
      <c r="H54" s="1" t="s">
        <v>534</v>
      </c>
      <c r="I54" s="1">
        <v>15</v>
      </c>
      <c r="J54" s="1">
        <v>59</v>
      </c>
      <c r="K54" s="1">
        <v>26</v>
      </c>
      <c r="L54" s="1" t="s">
        <v>588</v>
      </c>
      <c r="M54" s="1" t="s">
        <v>546</v>
      </c>
      <c r="N54" s="1" t="s">
        <v>546</v>
      </c>
      <c r="O54" s="1" t="s">
        <v>546</v>
      </c>
      <c r="P54" s="1" t="s">
        <v>546</v>
      </c>
      <c r="Q54" s="1" t="s">
        <v>546</v>
      </c>
      <c r="R54" s="1" t="s">
        <v>546</v>
      </c>
      <c r="S54" s="1" t="s">
        <v>546</v>
      </c>
      <c r="T54" s="1" t="s">
        <v>546</v>
      </c>
      <c r="V54" s="1" t="s">
        <v>522</v>
      </c>
      <c r="X54" s="1" t="s">
        <v>522</v>
      </c>
    </row>
    <row r="55" spans="2:24">
      <c r="B55" s="1" t="s">
        <v>565</v>
      </c>
      <c r="C55" s="1" t="s">
        <v>558</v>
      </c>
      <c r="D55" s="1">
        <v>27</v>
      </c>
      <c r="E55" s="1" t="s">
        <v>585</v>
      </c>
      <c r="F55" s="1" t="s">
        <v>534</v>
      </c>
      <c r="G55" s="1" t="s">
        <v>534</v>
      </c>
      <c r="H55" s="1" t="s">
        <v>534</v>
      </c>
      <c r="I55" s="1">
        <v>15</v>
      </c>
      <c r="J55" s="1">
        <v>58</v>
      </c>
      <c r="K55" s="1">
        <v>27</v>
      </c>
      <c r="L55" s="1" t="s">
        <v>588</v>
      </c>
      <c r="M55" s="1" t="s">
        <v>546</v>
      </c>
      <c r="N55" s="1" t="s">
        <v>546</v>
      </c>
      <c r="O55" s="1" t="s">
        <v>546</v>
      </c>
      <c r="P55" s="1" t="s">
        <v>546</v>
      </c>
      <c r="Q55" s="1" t="s">
        <v>546</v>
      </c>
      <c r="R55" s="1" t="s">
        <v>546</v>
      </c>
      <c r="S55" s="1" t="s">
        <v>546</v>
      </c>
      <c r="T55" s="1" t="s">
        <v>546</v>
      </c>
      <c r="V55" s="1" t="s">
        <v>522</v>
      </c>
      <c r="X55" s="1" t="s">
        <v>522</v>
      </c>
    </row>
    <row r="56" spans="2:24">
      <c r="B56" s="1" t="s">
        <v>565</v>
      </c>
      <c r="C56" s="1" t="s">
        <v>558</v>
      </c>
      <c r="D56" s="1">
        <v>28</v>
      </c>
      <c r="E56" s="1" t="s">
        <v>586</v>
      </c>
      <c r="F56" s="1" t="s">
        <v>534</v>
      </c>
      <c r="G56" s="1" t="s">
        <v>534</v>
      </c>
      <c r="H56" s="1" t="s">
        <v>534</v>
      </c>
      <c r="I56" s="1">
        <v>15</v>
      </c>
      <c r="J56" s="1">
        <v>57</v>
      </c>
      <c r="K56" s="1">
        <v>28</v>
      </c>
      <c r="L56" s="1" t="s">
        <v>588</v>
      </c>
      <c r="M56" s="1" t="s">
        <v>546</v>
      </c>
      <c r="N56" s="1" t="s">
        <v>546</v>
      </c>
      <c r="O56" s="1" t="s">
        <v>546</v>
      </c>
      <c r="P56" s="1" t="s">
        <v>546</v>
      </c>
      <c r="Q56" s="1" t="s">
        <v>546</v>
      </c>
      <c r="R56" s="1" t="s">
        <v>546</v>
      </c>
      <c r="S56" s="1" t="s">
        <v>546</v>
      </c>
      <c r="T56" s="1" t="s">
        <v>546</v>
      </c>
      <c r="V56" s="1" t="s">
        <v>522</v>
      </c>
      <c r="X56" s="1" t="s">
        <v>522</v>
      </c>
    </row>
    <row r="57" spans="2:24">
      <c r="B57" s="1" t="s">
        <v>565</v>
      </c>
      <c r="C57" s="1" t="s">
        <v>558</v>
      </c>
      <c r="D57" s="1">
        <v>29</v>
      </c>
      <c r="E57" s="1" t="s">
        <v>587</v>
      </c>
      <c r="F57" s="1" t="s">
        <v>534</v>
      </c>
      <c r="G57" s="1" t="s">
        <v>534</v>
      </c>
      <c r="H57" s="1" t="s">
        <v>534</v>
      </c>
      <c r="I57" s="1">
        <v>15</v>
      </c>
      <c r="J57" s="1">
        <v>56</v>
      </c>
      <c r="K57" s="1">
        <v>29</v>
      </c>
      <c r="L57" s="1" t="s">
        <v>588</v>
      </c>
      <c r="M57" s="1" t="s">
        <v>546</v>
      </c>
      <c r="N57" s="1" t="s">
        <v>546</v>
      </c>
      <c r="O57" s="1" t="s">
        <v>546</v>
      </c>
      <c r="P57" s="1" t="s">
        <v>546</v>
      </c>
      <c r="Q57" s="1" t="s">
        <v>546</v>
      </c>
      <c r="R57" s="1" t="s">
        <v>546</v>
      </c>
      <c r="S57" s="1" t="s">
        <v>546</v>
      </c>
      <c r="T57" s="1" t="s">
        <v>546</v>
      </c>
      <c r="V57" s="1" t="s">
        <v>522</v>
      </c>
      <c r="X57" s="1" t="s">
        <v>522</v>
      </c>
    </row>
    <row r="58" spans="2:24">
      <c r="B58" s="1" t="s">
        <v>565</v>
      </c>
      <c r="C58" s="1" t="s">
        <v>558</v>
      </c>
      <c r="D58" s="1">
        <v>30</v>
      </c>
      <c r="E58" s="1" t="s">
        <v>545</v>
      </c>
      <c r="F58" s="1" t="s">
        <v>534</v>
      </c>
      <c r="G58" s="1" t="s">
        <v>534</v>
      </c>
      <c r="H58" s="1" t="s">
        <v>534</v>
      </c>
      <c r="I58" s="1">
        <v>15</v>
      </c>
      <c r="J58" s="1">
        <v>55</v>
      </c>
      <c r="K58" s="1">
        <v>30</v>
      </c>
      <c r="L58" s="1" t="s">
        <v>588</v>
      </c>
      <c r="M58" s="1" t="s">
        <v>546</v>
      </c>
      <c r="N58" s="1" t="s">
        <v>546</v>
      </c>
      <c r="O58" s="1" t="s">
        <v>546</v>
      </c>
      <c r="P58" s="1" t="s">
        <v>546</v>
      </c>
      <c r="Q58" s="1" t="s">
        <v>546</v>
      </c>
      <c r="R58" s="1" t="s">
        <v>546</v>
      </c>
      <c r="S58" s="1" t="s">
        <v>546</v>
      </c>
      <c r="T58" s="1" t="s">
        <v>546</v>
      </c>
      <c r="V58" s="1" t="s">
        <v>522</v>
      </c>
      <c r="X58" s="1" t="s">
        <v>522</v>
      </c>
    </row>
    <row r="59" spans="2:24">
      <c r="B59" s="1" t="s">
        <v>566</v>
      </c>
      <c r="C59" s="1" t="s">
        <v>558</v>
      </c>
      <c r="D59" s="1">
        <v>5</v>
      </c>
      <c r="E59" s="1" t="s">
        <v>567</v>
      </c>
      <c r="F59" s="1" t="s">
        <v>534</v>
      </c>
      <c r="G59" s="1" t="s">
        <v>534</v>
      </c>
      <c r="H59" s="1" t="s">
        <v>534</v>
      </c>
      <c r="I59" s="1">
        <v>15</v>
      </c>
      <c r="J59" s="1">
        <v>80</v>
      </c>
      <c r="K59" s="1">
        <v>5</v>
      </c>
      <c r="L59" s="1" t="s">
        <v>588</v>
      </c>
      <c r="M59" s="1" t="s">
        <v>546</v>
      </c>
      <c r="N59" s="1" t="s">
        <v>546</v>
      </c>
      <c r="O59" s="1" t="s">
        <v>546</v>
      </c>
      <c r="P59" s="1" t="s">
        <v>546</v>
      </c>
      <c r="Q59" s="1" t="s">
        <v>546</v>
      </c>
      <c r="R59" s="1" t="s">
        <v>546</v>
      </c>
      <c r="S59" s="1" t="s">
        <v>546</v>
      </c>
      <c r="T59" s="1" t="s">
        <v>546</v>
      </c>
      <c r="V59" s="1" t="s">
        <v>522</v>
      </c>
      <c r="X59" s="1" t="s">
        <v>522</v>
      </c>
    </row>
    <row r="60" spans="2:24">
      <c r="B60" s="1" t="s">
        <v>566</v>
      </c>
      <c r="C60" s="1" t="s">
        <v>558</v>
      </c>
      <c r="D60" s="1">
        <v>6</v>
      </c>
      <c r="E60" s="1" t="s">
        <v>533</v>
      </c>
      <c r="F60" s="1" t="s">
        <v>534</v>
      </c>
      <c r="G60" s="1" t="s">
        <v>534</v>
      </c>
      <c r="H60" s="1" t="s">
        <v>534</v>
      </c>
      <c r="I60" s="1">
        <v>15</v>
      </c>
      <c r="J60" s="1">
        <v>79</v>
      </c>
      <c r="K60" s="1">
        <v>6</v>
      </c>
      <c r="L60" s="1" t="s">
        <v>588</v>
      </c>
      <c r="M60" s="1" t="s">
        <v>546</v>
      </c>
      <c r="N60" s="1" t="s">
        <v>546</v>
      </c>
      <c r="O60" s="1" t="s">
        <v>546</v>
      </c>
      <c r="P60" s="1" t="s">
        <v>546</v>
      </c>
      <c r="Q60" s="1" t="s">
        <v>546</v>
      </c>
      <c r="R60" s="1" t="s">
        <v>546</v>
      </c>
      <c r="S60" s="1" t="s">
        <v>546</v>
      </c>
      <c r="T60" s="1" t="s">
        <v>546</v>
      </c>
      <c r="V60" s="1" t="s">
        <v>522</v>
      </c>
      <c r="X60" s="1" t="s">
        <v>522</v>
      </c>
    </row>
    <row r="61" spans="2:24">
      <c r="B61" s="1" t="s">
        <v>566</v>
      </c>
      <c r="C61" s="1" t="s">
        <v>558</v>
      </c>
      <c r="D61" s="1">
        <v>7</v>
      </c>
      <c r="E61" s="1" t="s">
        <v>568</v>
      </c>
      <c r="F61" s="1" t="s">
        <v>534</v>
      </c>
      <c r="G61" s="1" t="s">
        <v>534</v>
      </c>
      <c r="H61" s="1" t="s">
        <v>534</v>
      </c>
      <c r="I61" s="1">
        <v>15</v>
      </c>
      <c r="J61" s="1">
        <v>78</v>
      </c>
      <c r="K61" s="1">
        <v>7</v>
      </c>
      <c r="L61" s="1" t="s">
        <v>588</v>
      </c>
      <c r="M61" s="1" t="s">
        <v>546</v>
      </c>
      <c r="N61" s="1" t="s">
        <v>546</v>
      </c>
      <c r="O61" s="1" t="s">
        <v>546</v>
      </c>
      <c r="P61" s="1" t="s">
        <v>546</v>
      </c>
      <c r="Q61" s="1" t="s">
        <v>546</v>
      </c>
      <c r="R61" s="1" t="s">
        <v>546</v>
      </c>
      <c r="S61" s="1" t="s">
        <v>546</v>
      </c>
      <c r="T61" s="1" t="s">
        <v>546</v>
      </c>
      <c r="V61" s="1" t="s">
        <v>522</v>
      </c>
      <c r="X61" s="1" t="s">
        <v>522</v>
      </c>
    </row>
    <row r="62" spans="2:24">
      <c r="B62" s="1" t="s">
        <v>566</v>
      </c>
      <c r="C62" s="1" t="s">
        <v>558</v>
      </c>
      <c r="D62" s="1">
        <v>8</v>
      </c>
      <c r="E62" s="1" t="s">
        <v>544</v>
      </c>
      <c r="F62" s="1" t="s">
        <v>534</v>
      </c>
      <c r="G62" s="1" t="s">
        <v>534</v>
      </c>
      <c r="H62" s="1" t="s">
        <v>534</v>
      </c>
      <c r="I62" s="1">
        <v>15</v>
      </c>
      <c r="J62" s="1">
        <v>77</v>
      </c>
      <c r="K62" s="1">
        <v>8</v>
      </c>
      <c r="L62" s="1" t="s">
        <v>588</v>
      </c>
      <c r="M62" s="1" t="s">
        <v>546</v>
      </c>
      <c r="N62" s="1" t="s">
        <v>546</v>
      </c>
      <c r="O62" s="1" t="s">
        <v>546</v>
      </c>
      <c r="P62" s="1" t="s">
        <v>546</v>
      </c>
      <c r="Q62" s="1" t="s">
        <v>546</v>
      </c>
      <c r="R62" s="1" t="s">
        <v>546</v>
      </c>
      <c r="S62" s="1" t="s">
        <v>546</v>
      </c>
      <c r="T62" s="1" t="s">
        <v>546</v>
      </c>
      <c r="V62" s="1" t="s">
        <v>522</v>
      </c>
      <c r="X62" s="1" t="s">
        <v>522</v>
      </c>
    </row>
    <row r="63" spans="2:24">
      <c r="B63" s="1" t="s">
        <v>566</v>
      </c>
      <c r="C63" s="1" t="s">
        <v>558</v>
      </c>
      <c r="D63" s="1">
        <v>9</v>
      </c>
      <c r="E63" s="1" t="s">
        <v>569</v>
      </c>
      <c r="F63" s="1" t="s">
        <v>534</v>
      </c>
      <c r="G63" s="1" t="s">
        <v>534</v>
      </c>
      <c r="H63" s="1" t="s">
        <v>534</v>
      </c>
      <c r="I63" s="1">
        <v>15</v>
      </c>
      <c r="J63" s="1">
        <v>76</v>
      </c>
      <c r="K63" s="1">
        <v>9</v>
      </c>
      <c r="L63" s="1" t="s">
        <v>588</v>
      </c>
      <c r="M63" s="1" t="s">
        <v>546</v>
      </c>
      <c r="N63" s="1" t="s">
        <v>546</v>
      </c>
      <c r="O63" s="1" t="s">
        <v>546</v>
      </c>
      <c r="P63" s="1" t="s">
        <v>546</v>
      </c>
      <c r="Q63" s="1" t="s">
        <v>546</v>
      </c>
      <c r="R63" s="1" t="s">
        <v>546</v>
      </c>
      <c r="S63" s="1" t="s">
        <v>546</v>
      </c>
      <c r="T63" s="1" t="s">
        <v>546</v>
      </c>
      <c r="V63" s="1" t="s">
        <v>522</v>
      </c>
      <c r="X63" s="1" t="s">
        <v>522</v>
      </c>
    </row>
    <row r="64" spans="2:24">
      <c r="B64" s="1" t="s">
        <v>566</v>
      </c>
      <c r="C64" s="1" t="s">
        <v>558</v>
      </c>
      <c r="D64" s="1">
        <v>10</v>
      </c>
      <c r="E64" s="1" t="s">
        <v>535</v>
      </c>
      <c r="F64" s="1" t="s">
        <v>534</v>
      </c>
      <c r="G64" s="1" t="s">
        <v>534</v>
      </c>
      <c r="H64" s="1" t="s">
        <v>534</v>
      </c>
      <c r="I64" s="1">
        <v>15</v>
      </c>
      <c r="J64" s="1">
        <v>75</v>
      </c>
      <c r="K64" s="1">
        <v>10</v>
      </c>
      <c r="L64" s="1" t="s">
        <v>588</v>
      </c>
      <c r="M64" s="1" t="s">
        <v>546</v>
      </c>
      <c r="N64" s="1" t="s">
        <v>546</v>
      </c>
      <c r="O64" s="1" t="s">
        <v>546</v>
      </c>
      <c r="P64" s="1" t="s">
        <v>546</v>
      </c>
      <c r="Q64" s="1" t="s">
        <v>546</v>
      </c>
      <c r="R64" s="1" t="s">
        <v>546</v>
      </c>
      <c r="S64" s="1" t="s">
        <v>546</v>
      </c>
      <c r="T64" s="1" t="s">
        <v>546</v>
      </c>
      <c r="V64" s="1" t="s">
        <v>522</v>
      </c>
      <c r="X64" s="1" t="s">
        <v>522</v>
      </c>
    </row>
    <row r="65" spans="2:24">
      <c r="B65" s="1" t="s">
        <v>566</v>
      </c>
      <c r="C65" s="1" t="s">
        <v>558</v>
      </c>
      <c r="D65" s="1">
        <v>11</v>
      </c>
      <c r="E65" s="1" t="s">
        <v>570</v>
      </c>
      <c r="F65" s="1" t="s">
        <v>534</v>
      </c>
      <c r="G65" s="1" t="s">
        <v>534</v>
      </c>
      <c r="H65" s="1" t="s">
        <v>534</v>
      </c>
      <c r="I65" s="1">
        <v>15</v>
      </c>
      <c r="J65" s="1">
        <v>74</v>
      </c>
      <c r="K65" s="1">
        <v>11</v>
      </c>
      <c r="L65" s="1" t="s">
        <v>588</v>
      </c>
      <c r="M65" s="1" t="s">
        <v>546</v>
      </c>
      <c r="N65" s="1" t="s">
        <v>546</v>
      </c>
      <c r="O65" s="1" t="s">
        <v>546</v>
      </c>
      <c r="P65" s="1" t="s">
        <v>546</v>
      </c>
      <c r="Q65" s="1" t="s">
        <v>546</v>
      </c>
      <c r="R65" s="1" t="s">
        <v>546</v>
      </c>
      <c r="S65" s="1" t="s">
        <v>546</v>
      </c>
      <c r="T65" s="1" t="s">
        <v>546</v>
      </c>
      <c r="V65" s="1" t="s">
        <v>522</v>
      </c>
      <c r="X65" s="1" t="s">
        <v>522</v>
      </c>
    </row>
    <row r="66" spans="2:24">
      <c r="B66" s="1" t="s">
        <v>566</v>
      </c>
      <c r="C66" s="1" t="s">
        <v>558</v>
      </c>
      <c r="D66" s="1">
        <v>12</v>
      </c>
      <c r="E66" s="1" t="s">
        <v>571</v>
      </c>
      <c r="F66" s="1" t="s">
        <v>534</v>
      </c>
      <c r="G66" s="1" t="s">
        <v>534</v>
      </c>
      <c r="H66" s="1" t="s">
        <v>534</v>
      </c>
      <c r="I66" s="1">
        <v>15</v>
      </c>
      <c r="J66" s="1">
        <v>73</v>
      </c>
      <c r="K66" s="1">
        <v>12</v>
      </c>
      <c r="L66" s="1" t="s">
        <v>588</v>
      </c>
      <c r="M66" s="1" t="s">
        <v>546</v>
      </c>
      <c r="N66" s="1" t="s">
        <v>546</v>
      </c>
      <c r="O66" s="1" t="s">
        <v>546</v>
      </c>
      <c r="P66" s="1" t="s">
        <v>546</v>
      </c>
      <c r="Q66" s="1" t="s">
        <v>546</v>
      </c>
      <c r="R66" s="1" t="s">
        <v>546</v>
      </c>
      <c r="S66" s="1" t="s">
        <v>546</v>
      </c>
      <c r="T66" s="1" t="s">
        <v>546</v>
      </c>
      <c r="V66" s="1" t="s">
        <v>522</v>
      </c>
      <c r="X66" s="1" t="s">
        <v>522</v>
      </c>
    </row>
    <row r="67" spans="2:24">
      <c r="B67" s="1" t="s">
        <v>566</v>
      </c>
      <c r="C67" s="1" t="s">
        <v>558</v>
      </c>
      <c r="D67" s="1">
        <v>13</v>
      </c>
      <c r="E67" s="1" t="s">
        <v>572</v>
      </c>
      <c r="F67" s="1" t="s">
        <v>534</v>
      </c>
      <c r="G67" s="1" t="s">
        <v>534</v>
      </c>
      <c r="H67" s="1" t="s">
        <v>534</v>
      </c>
      <c r="I67" s="1">
        <v>15</v>
      </c>
      <c r="J67" s="1">
        <v>72</v>
      </c>
      <c r="K67" s="1">
        <v>13</v>
      </c>
      <c r="L67" s="1" t="s">
        <v>588</v>
      </c>
      <c r="M67" s="1" t="s">
        <v>546</v>
      </c>
      <c r="N67" s="1" t="s">
        <v>546</v>
      </c>
      <c r="O67" s="1" t="s">
        <v>546</v>
      </c>
      <c r="P67" s="1" t="s">
        <v>546</v>
      </c>
      <c r="Q67" s="1" t="s">
        <v>546</v>
      </c>
      <c r="R67" s="1" t="s">
        <v>546</v>
      </c>
      <c r="S67" s="1" t="s">
        <v>546</v>
      </c>
      <c r="T67" s="1" t="s">
        <v>546</v>
      </c>
      <c r="V67" s="1" t="s">
        <v>522</v>
      </c>
      <c r="X67" s="1" t="s">
        <v>522</v>
      </c>
    </row>
    <row r="68" spans="2:24">
      <c r="B68" s="1" t="s">
        <v>566</v>
      </c>
      <c r="C68" s="1" t="s">
        <v>558</v>
      </c>
      <c r="D68" s="1">
        <v>14</v>
      </c>
      <c r="E68" s="1" t="s">
        <v>573</v>
      </c>
      <c r="F68" s="1" t="s">
        <v>534</v>
      </c>
      <c r="G68" s="1" t="s">
        <v>534</v>
      </c>
      <c r="H68" s="1" t="s">
        <v>534</v>
      </c>
      <c r="I68" s="1">
        <v>15</v>
      </c>
      <c r="J68" s="1">
        <v>71</v>
      </c>
      <c r="K68" s="1">
        <v>14</v>
      </c>
      <c r="L68" s="1" t="s">
        <v>588</v>
      </c>
      <c r="M68" s="1" t="s">
        <v>546</v>
      </c>
      <c r="N68" s="1" t="s">
        <v>546</v>
      </c>
      <c r="O68" s="1" t="s">
        <v>546</v>
      </c>
      <c r="P68" s="1" t="s">
        <v>546</v>
      </c>
      <c r="Q68" s="1" t="s">
        <v>546</v>
      </c>
      <c r="R68" s="1" t="s">
        <v>546</v>
      </c>
      <c r="S68" s="1" t="s">
        <v>546</v>
      </c>
      <c r="T68" s="1" t="s">
        <v>546</v>
      </c>
      <c r="V68" s="1" t="s">
        <v>522</v>
      </c>
      <c r="X68" s="1" t="s">
        <v>522</v>
      </c>
    </row>
    <row r="69" spans="2:24">
      <c r="B69" s="1" t="s">
        <v>566</v>
      </c>
      <c r="C69" s="1" t="s">
        <v>558</v>
      </c>
      <c r="D69" s="1">
        <v>15</v>
      </c>
      <c r="E69" s="1" t="s">
        <v>574</v>
      </c>
      <c r="F69" s="1" t="s">
        <v>534</v>
      </c>
      <c r="G69" s="1" t="s">
        <v>534</v>
      </c>
      <c r="H69" s="1" t="s">
        <v>534</v>
      </c>
      <c r="I69" s="1">
        <v>15</v>
      </c>
      <c r="J69" s="1">
        <v>70</v>
      </c>
      <c r="K69" s="1">
        <v>15</v>
      </c>
      <c r="L69" s="1" t="s">
        <v>588</v>
      </c>
      <c r="M69" s="1" t="s">
        <v>546</v>
      </c>
      <c r="N69" s="1" t="s">
        <v>546</v>
      </c>
      <c r="O69" s="1" t="s">
        <v>546</v>
      </c>
      <c r="P69" s="1" t="s">
        <v>546</v>
      </c>
      <c r="Q69" s="1" t="s">
        <v>546</v>
      </c>
      <c r="R69" s="1" t="s">
        <v>546</v>
      </c>
      <c r="S69" s="1" t="s">
        <v>546</v>
      </c>
      <c r="T69" s="1" t="s">
        <v>546</v>
      </c>
      <c r="V69" s="1" t="s">
        <v>522</v>
      </c>
      <c r="X69" s="1" t="s">
        <v>522</v>
      </c>
    </row>
    <row r="70" spans="2:24">
      <c r="B70" s="1" t="s">
        <v>566</v>
      </c>
      <c r="C70" s="1" t="s">
        <v>558</v>
      </c>
      <c r="D70" s="1">
        <v>16</v>
      </c>
      <c r="E70" s="1" t="s">
        <v>575</v>
      </c>
      <c r="F70" s="1" t="s">
        <v>534</v>
      </c>
      <c r="G70" s="1" t="s">
        <v>534</v>
      </c>
      <c r="H70" s="1" t="s">
        <v>534</v>
      </c>
      <c r="I70" s="1">
        <v>15</v>
      </c>
      <c r="J70" s="1">
        <v>69</v>
      </c>
      <c r="K70" s="1">
        <v>16</v>
      </c>
      <c r="L70" s="1" t="s">
        <v>588</v>
      </c>
      <c r="M70" s="1" t="s">
        <v>546</v>
      </c>
      <c r="N70" s="1" t="s">
        <v>546</v>
      </c>
      <c r="O70" s="1" t="s">
        <v>546</v>
      </c>
      <c r="P70" s="1" t="s">
        <v>546</v>
      </c>
      <c r="Q70" s="1" t="s">
        <v>546</v>
      </c>
      <c r="R70" s="1" t="s">
        <v>546</v>
      </c>
      <c r="S70" s="1" t="s">
        <v>546</v>
      </c>
      <c r="T70" s="1" t="s">
        <v>546</v>
      </c>
      <c r="V70" s="1" t="s">
        <v>522</v>
      </c>
      <c r="X70" s="1" t="s">
        <v>522</v>
      </c>
    </row>
    <row r="71" spans="2:24">
      <c r="B71" s="1" t="s">
        <v>566</v>
      </c>
      <c r="C71" s="1" t="s">
        <v>558</v>
      </c>
      <c r="D71" s="1">
        <v>17</v>
      </c>
      <c r="E71" s="1" t="s">
        <v>576</v>
      </c>
      <c r="F71" s="1" t="s">
        <v>534</v>
      </c>
      <c r="G71" s="1" t="s">
        <v>534</v>
      </c>
      <c r="H71" s="1" t="s">
        <v>534</v>
      </c>
      <c r="I71" s="1">
        <v>15</v>
      </c>
      <c r="J71" s="1">
        <v>68</v>
      </c>
      <c r="K71" s="1">
        <v>17</v>
      </c>
      <c r="L71" s="1" t="s">
        <v>588</v>
      </c>
      <c r="M71" s="1" t="s">
        <v>546</v>
      </c>
      <c r="N71" s="1" t="s">
        <v>546</v>
      </c>
      <c r="O71" s="1" t="s">
        <v>546</v>
      </c>
      <c r="P71" s="1" t="s">
        <v>546</v>
      </c>
      <c r="Q71" s="1" t="s">
        <v>546</v>
      </c>
      <c r="R71" s="1" t="s">
        <v>546</v>
      </c>
      <c r="S71" s="1" t="s">
        <v>546</v>
      </c>
      <c r="T71" s="1" t="s">
        <v>546</v>
      </c>
      <c r="V71" s="1" t="s">
        <v>522</v>
      </c>
      <c r="X71" s="1" t="s">
        <v>522</v>
      </c>
    </row>
    <row r="72" spans="2:24">
      <c r="B72" s="1" t="s">
        <v>566</v>
      </c>
      <c r="C72" s="1" t="s">
        <v>558</v>
      </c>
      <c r="D72" s="1">
        <v>18</v>
      </c>
      <c r="E72" s="1" t="s">
        <v>577</v>
      </c>
      <c r="F72" s="1" t="s">
        <v>534</v>
      </c>
      <c r="G72" s="1" t="s">
        <v>534</v>
      </c>
      <c r="H72" s="1" t="s">
        <v>534</v>
      </c>
      <c r="I72" s="1">
        <v>15</v>
      </c>
      <c r="J72" s="1">
        <v>67</v>
      </c>
      <c r="K72" s="1">
        <v>18</v>
      </c>
      <c r="L72" s="1" t="s">
        <v>588</v>
      </c>
      <c r="M72" s="1" t="s">
        <v>546</v>
      </c>
      <c r="N72" s="1" t="s">
        <v>546</v>
      </c>
      <c r="O72" s="1" t="s">
        <v>546</v>
      </c>
      <c r="P72" s="1" t="s">
        <v>546</v>
      </c>
      <c r="Q72" s="1" t="s">
        <v>546</v>
      </c>
      <c r="R72" s="1" t="s">
        <v>546</v>
      </c>
      <c r="S72" s="1" t="s">
        <v>546</v>
      </c>
      <c r="T72" s="1" t="s">
        <v>546</v>
      </c>
      <c r="V72" s="1" t="s">
        <v>522</v>
      </c>
      <c r="X72" s="1" t="s">
        <v>522</v>
      </c>
    </row>
    <row r="73" spans="2:24">
      <c r="B73" s="1" t="s">
        <v>566</v>
      </c>
      <c r="C73" s="1" t="s">
        <v>558</v>
      </c>
      <c r="D73" s="1">
        <v>19</v>
      </c>
      <c r="E73" s="1" t="s">
        <v>578</v>
      </c>
      <c r="F73" s="1" t="s">
        <v>534</v>
      </c>
      <c r="G73" s="1" t="s">
        <v>534</v>
      </c>
      <c r="H73" s="1" t="s">
        <v>534</v>
      </c>
      <c r="I73" s="1">
        <v>15</v>
      </c>
      <c r="J73" s="1">
        <v>66</v>
      </c>
      <c r="K73" s="1">
        <v>19</v>
      </c>
      <c r="L73" s="1" t="s">
        <v>588</v>
      </c>
      <c r="M73" s="1" t="s">
        <v>546</v>
      </c>
      <c r="N73" s="1" t="s">
        <v>546</v>
      </c>
      <c r="O73" s="1" t="s">
        <v>546</v>
      </c>
      <c r="P73" s="1" t="s">
        <v>546</v>
      </c>
      <c r="Q73" s="1" t="s">
        <v>546</v>
      </c>
      <c r="R73" s="1" t="s">
        <v>546</v>
      </c>
      <c r="S73" s="1" t="s">
        <v>546</v>
      </c>
      <c r="T73" s="1" t="s">
        <v>546</v>
      </c>
      <c r="V73" s="1" t="s">
        <v>522</v>
      </c>
      <c r="X73" s="1" t="s">
        <v>522</v>
      </c>
    </row>
    <row r="74" spans="2:24">
      <c r="B74" s="1" t="s">
        <v>566</v>
      </c>
      <c r="C74" s="1" t="s">
        <v>558</v>
      </c>
      <c r="D74" s="1">
        <v>20</v>
      </c>
      <c r="E74" s="1" t="s">
        <v>536</v>
      </c>
      <c r="F74" s="1" t="s">
        <v>534</v>
      </c>
      <c r="G74" s="1" t="s">
        <v>534</v>
      </c>
      <c r="H74" s="1" t="s">
        <v>534</v>
      </c>
      <c r="I74" s="1">
        <v>15</v>
      </c>
      <c r="J74" s="1">
        <v>65</v>
      </c>
      <c r="K74" s="1">
        <v>20</v>
      </c>
      <c r="L74" s="1" t="s">
        <v>588</v>
      </c>
      <c r="M74" s="1" t="s">
        <v>546</v>
      </c>
      <c r="N74" s="1" t="s">
        <v>546</v>
      </c>
      <c r="O74" s="1" t="s">
        <v>546</v>
      </c>
      <c r="P74" s="1" t="s">
        <v>546</v>
      </c>
      <c r="Q74" s="1" t="s">
        <v>546</v>
      </c>
      <c r="R74" s="1" t="s">
        <v>546</v>
      </c>
      <c r="S74" s="1" t="s">
        <v>546</v>
      </c>
      <c r="T74" s="1" t="s">
        <v>546</v>
      </c>
      <c r="V74" s="1" t="s">
        <v>522</v>
      </c>
      <c r="X74" s="1" t="s">
        <v>522</v>
      </c>
    </row>
    <row r="75" spans="2:24">
      <c r="B75" s="1" t="s">
        <v>566</v>
      </c>
      <c r="C75" s="1" t="s">
        <v>558</v>
      </c>
      <c r="D75" s="1">
        <v>21</v>
      </c>
      <c r="E75" s="1" t="s">
        <v>579</v>
      </c>
      <c r="F75" s="1" t="s">
        <v>534</v>
      </c>
      <c r="G75" s="1" t="s">
        <v>534</v>
      </c>
      <c r="H75" s="1" t="s">
        <v>534</v>
      </c>
      <c r="I75" s="1">
        <v>15</v>
      </c>
      <c r="J75" s="1">
        <v>64</v>
      </c>
      <c r="K75" s="1">
        <v>21</v>
      </c>
      <c r="L75" s="1" t="s">
        <v>588</v>
      </c>
      <c r="M75" s="1" t="s">
        <v>546</v>
      </c>
      <c r="N75" s="1" t="s">
        <v>546</v>
      </c>
      <c r="O75" s="1" t="s">
        <v>546</v>
      </c>
      <c r="P75" s="1" t="s">
        <v>546</v>
      </c>
      <c r="Q75" s="1" t="s">
        <v>546</v>
      </c>
      <c r="R75" s="1" t="s">
        <v>546</v>
      </c>
      <c r="S75" s="1" t="s">
        <v>546</v>
      </c>
      <c r="T75" s="1" t="s">
        <v>546</v>
      </c>
      <c r="V75" s="1" t="s">
        <v>522</v>
      </c>
      <c r="X75" s="1" t="s">
        <v>522</v>
      </c>
    </row>
    <row r="76" spans="2:24">
      <c r="B76" s="1" t="s">
        <v>566</v>
      </c>
      <c r="C76" s="1" t="s">
        <v>558</v>
      </c>
      <c r="D76" s="1">
        <v>22</v>
      </c>
      <c r="E76" s="1" t="s">
        <v>580</v>
      </c>
      <c r="F76" s="1" t="s">
        <v>534</v>
      </c>
      <c r="G76" s="1" t="s">
        <v>534</v>
      </c>
      <c r="H76" s="1" t="s">
        <v>534</v>
      </c>
      <c r="I76" s="1">
        <v>15</v>
      </c>
      <c r="J76" s="1">
        <v>63</v>
      </c>
      <c r="K76" s="1">
        <v>22</v>
      </c>
      <c r="L76" s="1" t="s">
        <v>588</v>
      </c>
      <c r="M76" s="1" t="s">
        <v>546</v>
      </c>
      <c r="N76" s="1" t="s">
        <v>546</v>
      </c>
      <c r="O76" s="1" t="s">
        <v>546</v>
      </c>
      <c r="P76" s="1" t="s">
        <v>546</v>
      </c>
      <c r="Q76" s="1" t="s">
        <v>546</v>
      </c>
      <c r="R76" s="1" t="s">
        <v>546</v>
      </c>
      <c r="S76" s="1" t="s">
        <v>546</v>
      </c>
      <c r="T76" s="1" t="s">
        <v>546</v>
      </c>
      <c r="V76" s="1" t="s">
        <v>522</v>
      </c>
      <c r="X76" s="1" t="s">
        <v>522</v>
      </c>
    </row>
    <row r="77" spans="2:24">
      <c r="B77" s="1" t="s">
        <v>566</v>
      </c>
      <c r="C77" s="1" t="s">
        <v>558</v>
      </c>
      <c r="D77" s="1">
        <v>23</v>
      </c>
      <c r="E77" s="1" t="s">
        <v>581</v>
      </c>
      <c r="F77" s="1" t="s">
        <v>534</v>
      </c>
      <c r="G77" s="1" t="s">
        <v>534</v>
      </c>
      <c r="H77" s="1" t="s">
        <v>534</v>
      </c>
      <c r="I77" s="1">
        <v>15</v>
      </c>
      <c r="J77" s="1">
        <v>62</v>
      </c>
      <c r="K77" s="1">
        <v>23</v>
      </c>
      <c r="L77" s="1" t="s">
        <v>588</v>
      </c>
      <c r="M77" s="1" t="s">
        <v>546</v>
      </c>
      <c r="N77" s="1" t="s">
        <v>546</v>
      </c>
      <c r="O77" s="1" t="s">
        <v>546</v>
      </c>
      <c r="P77" s="1" t="s">
        <v>546</v>
      </c>
      <c r="Q77" s="1" t="s">
        <v>546</v>
      </c>
      <c r="R77" s="1" t="s">
        <v>546</v>
      </c>
      <c r="S77" s="1" t="s">
        <v>546</v>
      </c>
      <c r="T77" s="1" t="s">
        <v>546</v>
      </c>
      <c r="V77" s="1" t="s">
        <v>522</v>
      </c>
      <c r="X77" s="1" t="s">
        <v>522</v>
      </c>
    </row>
    <row r="78" spans="2:24">
      <c r="B78" s="1" t="s">
        <v>566</v>
      </c>
      <c r="C78" s="1" t="s">
        <v>558</v>
      </c>
      <c r="D78" s="1">
        <v>24</v>
      </c>
      <c r="E78" s="1" t="s">
        <v>582</v>
      </c>
      <c r="F78" s="1" t="s">
        <v>534</v>
      </c>
      <c r="G78" s="1" t="s">
        <v>534</v>
      </c>
      <c r="H78" s="1" t="s">
        <v>534</v>
      </c>
      <c r="I78" s="1">
        <v>15</v>
      </c>
      <c r="J78" s="1">
        <v>61</v>
      </c>
      <c r="K78" s="1">
        <v>24</v>
      </c>
      <c r="L78" s="1" t="s">
        <v>588</v>
      </c>
      <c r="M78" s="1" t="s">
        <v>546</v>
      </c>
      <c r="N78" s="1" t="s">
        <v>546</v>
      </c>
      <c r="O78" s="1" t="s">
        <v>546</v>
      </c>
      <c r="P78" s="1" t="s">
        <v>546</v>
      </c>
      <c r="Q78" s="1" t="s">
        <v>546</v>
      </c>
      <c r="R78" s="1" t="s">
        <v>546</v>
      </c>
      <c r="S78" s="1" t="s">
        <v>546</v>
      </c>
      <c r="T78" s="1" t="s">
        <v>546</v>
      </c>
      <c r="V78" s="1" t="s">
        <v>522</v>
      </c>
      <c r="X78" s="1" t="s">
        <v>522</v>
      </c>
    </row>
    <row r="79" spans="2:24">
      <c r="B79" s="1" t="s">
        <v>566</v>
      </c>
      <c r="C79" s="1" t="s">
        <v>558</v>
      </c>
      <c r="D79" s="1">
        <v>25</v>
      </c>
      <c r="E79" s="1" t="s">
        <v>583</v>
      </c>
      <c r="F79" s="1" t="s">
        <v>534</v>
      </c>
      <c r="G79" s="1" t="s">
        <v>534</v>
      </c>
      <c r="H79" s="1" t="s">
        <v>534</v>
      </c>
      <c r="I79" s="1">
        <v>15</v>
      </c>
      <c r="J79" s="1">
        <v>60</v>
      </c>
      <c r="K79" s="1">
        <v>25</v>
      </c>
      <c r="L79" s="1" t="s">
        <v>588</v>
      </c>
      <c r="M79" s="1" t="s">
        <v>546</v>
      </c>
      <c r="N79" s="1" t="s">
        <v>546</v>
      </c>
      <c r="O79" s="1" t="s">
        <v>546</v>
      </c>
      <c r="P79" s="1" t="s">
        <v>546</v>
      </c>
      <c r="Q79" s="1" t="s">
        <v>546</v>
      </c>
      <c r="R79" s="1" t="s">
        <v>546</v>
      </c>
      <c r="S79" s="1" t="s">
        <v>546</v>
      </c>
      <c r="T79" s="1" t="s">
        <v>546</v>
      </c>
      <c r="V79" s="1" t="s">
        <v>522</v>
      </c>
      <c r="X79" s="1" t="s">
        <v>522</v>
      </c>
    </row>
    <row r="80" spans="2:24">
      <c r="B80" s="1" t="s">
        <v>566</v>
      </c>
      <c r="C80" s="1" t="s">
        <v>558</v>
      </c>
      <c r="D80" s="1">
        <v>26</v>
      </c>
      <c r="E80" s="1" t="s">
        <v>584</v>
      </c>
      <c r="F80" s="1" t="s">
        <v>534</v>
      </c>
      <c r="G80" s="1" t="s">
        <v>534</v>
      </c>
      <c r="H80" s="1" t="s">
        <v>534</v>
      </c>
      <c r="I80" s="1">
        <v>15</v>
      </c>
      <c r="J80" s="1">
        <v>59</v>
      </c>
      <c r="K80" s="1">
        <v>26</v>
      </c>
      <c r="L80" s="1" t="s">
        <v>588</v>
      </c>
      <c r="M80" s="1" t="s">
        <v>546</v>
      </c>
      <c r="N80" s="1" t="s">
        <v>546</v>
      </c>
      <c r="O80" s="1" t="s">
        <v>546</v>
      </c>
      <c r="P80" s="1" t="s">
        <v>546</v>
      </c>
      <c r="Q80" s="1" t="s">
        <v>546</v>
      </c>
      <c r="R80" s="1" t="s">
        <v>546</v>
      </c>
      <c r="S80" s="1" t="s">
        <v>546</v>
      </c>
      <c r="T80" s="1" t="s">
        <v>546</v>
      </c>
      <c r="V80" s="1" t="s">
        <v>522</v>
      </c>
      <c r="X80" s="1" t="s">
        <v>522</v>
      </c>
    </row>
    <row r="81" spans="2:24">
      <c r="B81" s="1" t="s">
        <v>566</v>
      </c>
      <c r="C81" s="1" t="s">
        <v>558</v>
      </c>
      <c r="D81" s="1">
        <v>27</v>
      </c>
      <c r="E81" s="1" t="s">
        <v>585</v>
      </c>
      <c r="F81" s="1" t="s">
        <v>534</v>
      </c>
      <c r="G81" s="1" t="s">
        <v>534</v>
      </c>
      <c r="H81" s="1" t="s">
        <v>534</v>
      </c>
      <c r="I81" s="1">
        <v>15</v>
      </c>
      <c r="J81" s="1">
        <v>58</v>
      </c>
      <c r="K81" s="1">
        <v>27</v>
      </c>
      <c r="L81" s="1" t="s">
        <v>588</v>
      </c>
      <c r="M81" s="1" t="s">
        <v>546</v>
      </c>
      <c r="N81" s="1" t="s">
        <v>546</v>
      </c>
      <c r="O81" s="1" t="s">
        <v>546</v>
      </c>
      <c r="P81" s="1" t="s">
        <v>546</v>
      </c>
      <c r="Q81" s="1" t="s">
        <v>546</v>
      </c>
      <c r="R81" s="1" t="s">
        <v>546</v>
      </c>
      <c r="S81" s="1" t="s">
        <v>546</v>
      </c>
      <c r="T81" s="1" t="s">
        <v>546</v>
      </c>
      <c r="V81" s="1" t="s">
        <v>522</v>
      </c>
      <c r="X81" s="1" t="s">
        <v>522</v>
      </c>
    </row>
    <row r="82" spans="2:24">
      <c r="B82" s="1" t="s">
        <v>566</v>
      </c>
      <c r="C82" s="1" t="s">
        <v>558</v>
      </c>
      <c r="D82" s="1">
        <v>28</v>
      </c>
      <c r="E82" s="1" t="s">
        <v>586</v>
      </c>
      <c r="F82" s="1" t="s">
        <v>534</v>
      </c>
      <c r="G82" s="1" t="s">
        <v>534</v>
      </c>
      <c r="H82" s="1" t="s">
        <v>534</v>
      </c>
      <c r="I82" s="1">
        <v>15</v>
      </c>
      <c r="J82" s="1">
        <v>57</v>
      </c>
      <c r="K82" s="1">
        <v>28</v>
      </c>
      <c r="L82" s="1" t="s">
        <v>588</v>
      </c>
      <c r="M82" s="1" t="s">
        <v>546</v>
      </c>
      <c r="N82" s="1" t="s">
        <v>546</v>
      </c>
      <c r="O82" s="1" t="s">
        <v>546</v>
      </c>
      <c r="P82" s="1" t="s">
        <v>546</v>
      </c>
      <c r="Q82" s="1" t="s">
        <v>546</v>
      </c>
      <c r="R82" s="1" t="s">
        <v>546</v>
      </c>
      <c r="S82" s="1" t="s">
        <v>546</v>
      </c>
      <c r="T82" s="1" t="s">
        <v>546</v>
      </c>
      <c r="V82" s="1" t="s">
        <v>522</v>
      </c>
      <c r="X82" s="1" t="s">
        <v>522</v>
      </c>
    </row>
    <row r="83" spans="2:24">
      <c r="B83" s="1" t="s">
        <v>566</v>
      </c>
      <c r="C83" s="1" t="s">
        <v>558</v>
      </c>
      <c r="D83" s="1">
        <v>29</v>
      </c>
      <c r="E83" s="1" t="s">
        <v>587</v>
      </c>
      <c r="F83" s="1" t="s">
        <v>534</v>
      </c>
      <c r="G83" s="1" t="s">
        <v>534</v>
      </c>
      <c r="H83" s="1" t="s">
        <v>534</v>
      </c>
      <c r="I83" s="1">
        <v>15</v>
      </c>
      <c r="J83" s="1">
        <v>56</v>
      </c>
      <c r="K83" s="1">
        <v>29</v>
      </c>
      <c r="L83" s="1" t="s">
        <v>588</v>
      </c>
      <c r="M83" s="1" t="s">
        <v>546</v>
      </c>
      <c r="N83" s="1" t="s">
        <v>546</v>
      </c>
      <c r="O83" s="1" t="s">
        <v>546</v>
      </c>
      <c r="P83" s="1" t="s">
        <v>546</v>
      </c>
      <c r="Q83" s="1" t="s">
        <v>546</v>
      </c>
      <c r="R83" s="1" t="s">
        <v>546</v>
      </c>
      <c r="S83" s="1" t="s">
        <v>546</v>
      </c>
      <c r="T83" s="1" t="s">
        <v>546</v>
      </c>
      <c r="V83" s="1" t="s">
        <v>522</v>
      </c>
      <c r="X83" s="1" t="s">
        <v>522</v>
      </c>
    </row>
    <row r="84" spans="2:24">
      <c r="B84" s="1" t="s">
        <v>566</v>
      </c>
      <c r="C84" s="1" t="s">
        <v>558</v>
      </c>
      <c r="D84" s="1">
        <v>30</v>
      </c>
      <c r="E84" s="1" t="s">
        <v>545</v>
      </c>
      <c r="F84" s="1" t="s">
        <v>534</v>
      </c>
      <c r="G84" s="1" t="s">
        <v>534</v>
      </c>
      <c r="H84" s="1" t="s">
        <v>534</v>
      </c>
      <c r="I84" s="1">
        <v>15</v>
      </c>
      <c r="J84" s="1">
        <v>55</v>
      </c>
      <c r="K84" s="1">
        <v>30</v>
      </c>
      <c r="L84" s="1" t="s">
        <v>588</v>
      </c>
      <c r="M84" s="1" t="s">
        <v>546</v>
      </c>
      <c r="N84" s="1" t="s">
        <v>546</v>
      </c>
      <c r="O84" s="1" t="s">
        <v>546</v>
      </c>
      <c r="P84" s="1" t="s">
        <v>546</v>
      </c>
      <c r="Q84" s="1" t="s">
        <v>546</v>
      </c>
      <c r="R84" s="1" t="s">
        <v>546</v>
      </c>
      <c r="S84" s="1" t="s">
        <v>546</v>
      </c>
      <c r="T84" s="1" t="s">
        <v>546</v>
      </c>
      <c r="V84" s="1" t="s">
        <v>522</v>
      </c>
      <c r="X84" s="1" t="s">
        <v>522</v>
      </c>
    </row>
    <row r="85" spans="2:24">
      <c r="B85" s="1" t="s">
        <v>518</v>
      </c>
      <c r="C85" s="1" t="s">
        <v>558</v>
      </c>
      <c r="D85" s="1">
        <v>10</v>
      </c>
      <c r="E85" s="1" t="s">
        <v>3175</v>
      </c>
      <c r="F85" s="1" t="s">
        <v>534</v>
      </c>
      <c r="G85" s="1" t="s">
        <v>534</v>
      </c>
      <c r="H85" s="1" t="s">
        <v>3181</v>
      </c>
      <c r="I85" s="1">
        <v>0</v>
      </c>
      <c r="J85" s="1">
        <v>70</v>
      </c>
      <c r="K85" s="1">
        <v>110</v>
      </c>
      <c r="L85" s="1" t="s">
        <v>3182</v>
      </c>
      <c r="M85" s="1" t="s">
        <v>546</v>
      </c>
      <c r="N85" s="1" t="s">
        <v>546</v>
      </c>
      <c r="O85" s="1" t="s">
        <v>546</v>
      </c>
      <c r="P85" s="1" t="s">
        <v>546</v>
      </c>
      <c r="Q85" s="1" t="s">
        <v>546</v>
      </c>
      <c r="R85" s="1" t="s">
        <v>546</v>
      </c>
      <c r="S85" s="1" t="s">
        <v>546</v>
      </c>
      <c r="T85" s="1" t="s">
        <v>546</v>
      </c>
      <c r="V85" s="1" t="s">
        <v>522</v>
      </c>
      <c r="X85" s="1" t="s">
        <v>522</v>
      </c>
    </row>
    <row r="86" spans="2:24">
      <c r="B86" s="1" t="s">
        <v>518</v>
      </c>
      <c r="C86" s="1" t="s">
        <v>558</v>
      </c>
      <c r="D86" s="1">
        <v>15</v>
      </c>
      <c r="E86" s="1" t="s">
        <v>3176</v>
      </c>
      <c r="F86" s="1" t="s">
        <v>534</v>
      </c>
      <c r="G86" s="1" t="s">
        <v>534</v>
      </c>
      <c r="H86" s="1" t="s">
        <v>3181</v>
      </c>
      <c r="I86" s="1">
        <v>0</v>
      </c>
      <c r="J86" s="1">
        <v>65</v>
      </c>
      <c r="K86" s="1">
        <v>110</v>
      </c>
      <c r="L86" s="1" t="s">
        <v>3182</v>
      </c>
      <c r="M86" s="1" t="s">
        <v>546</v>
      </c>
      <c r="N86" s="1" t="s">
        <v>546</v>
      </c>
      <c r="O86" s="1" t="s">
        <v>546</v>
      </c>
      <c r="P86" s="1" t="s">
        <v>546</v>
      </c>
      <c r="Q86" s="1" t="s">
        <v>546</v>
      </c>
      <c r="R86" s="1" t="s">
        <v>546</v>
      </c>
      <c r="S86" s="1" t="s">
        <v>546</v>
      </c>
      <c r="T86" s="1" t="s">
        <v>546</v>
      </c>
      <c r="V86" s="1" t="s">
        <v>522</v>
      </c>
      <c r="X86" s="1" t="s">
        <v>522</v>
      </c>
    </row>
    <row r="87" spans="2:24">
      <c r="B87" s="1" t="s">
        <v>518</v>
      </c>
      <c r="C87" s="1" t="s">
        <v>558</v>
      </c>
      <c r="D87" s="1">
        <v>20</v>
      </c>
      <c r="E87" s="1" t="s">
        <v>3177</v>
      </c>
      <c r="F87" s="1" t="s">
        <v>534</v>
      </c>
      <c r="G87" s="1" t="s">
        <v>534</v>
      </c>
      <c r="H87" s="1" t="s">
        <v>3181</v>
      </c>
      <c r="I87" s="1">
        <v>0</v>
      </c>
      <c r="J87" s="1">
        <v>60</v>
      </c>
      <c r="K87" s="1">
        <v>110</v>
      </c>
      <c r="L87" s="1" t="s">
        <v>3182</v>
      </c>
      <c r="M87" s="1" t="s">
        <v>546</v>
      </c>
      <c r="N87" s="1" t="s">
        <v>546</v>
      </c>
      <c r="O87" s="1" t="s">
        <v>546</v>
      </c>
      <c r="P87" s="1" t="s">
        <v>546</v>
      </c>
      <c r="Q87" s="1" t="s">
        <v>546</v>
      </c>
      <c r="R87" s="1" t="s">
        <v>546</v>
      </c>
      <c r="S87" s="1" t="s">
        <v>546</v>
      </c>
      <c r="T87" s="1" t="s">
        <v>546</v>
      </c>
      <c r="V87" s="1" t="s">
        <v>522</v>
      </c>
      <c r="X87" s="1" t="s">
        <v>522</v>
      </c>
    </row>
    <row r="88" spans="2:24">
      <c r="B88" s="1" t="s">
        <v>519</v>
      </c>
      <c r="C88" s="1" t="s">
        <v>558</v>
      </c>
      <c r="D88" s="1">
        <v>6</v>
      </c>
      <c r="E88" s="1" t="s">
        <v>3183</v>
      </c>
      <c r="F88" s="1" t="s">
        <v>534</v>
      </c>
      <c r="G88" s="1" t="s">
        <v>534</v>
      </c>
      <c r="H88" s="1" t="s">
        <v>3181</v>
      </c>
      <c r="I88" s="1">
        <v>0</v>
      </c>
      <c r="J88" s="1">
        <v>74</v>
      </c>
      <c r="K88" s="1">
        <v>110</v>
      </c>
      <c r="L88" s="1" t="s">
        <v>3182</v>
      </c>
      <c r="M88" s="1" t="s">
        <v>546</v>
      </c>
      <c r="N88" s="1" t="s">
        <v>546</v>
      </c>
      <c r="O88" s="1" t="s">
        <v>546</v>
      </c>
      <c r="P88" s="1" t="s">
        <v>546</v>
      </c>
      <c r="Q88" s="1" t="s">
        <v>546</v>
      </c>
      <c r="R88" s="1" t="s">
        <v>546</v>
      </c>
      <c r="S88" s="1" t="s">
        <v>546</v>
      </c>
      <c r="T88" s="1" t="s">
        <v>546</v>
      </c>
      <c r="V88" s="1" t="s">
        <v>522</v>
      </c>
      <c r="X88" s="1" t="s">
        <v>522</v>
      </c>
    </row>
    <row r="89" spans="2:24">
      <c r="B89" s="1" t="s">
        <v>519</v>
      </c>
      <c r="C89" s="1" t="s">
        <v>558</v>
      </c>
      <c r="D89" s="1">
        <v>8</v>
      </c>
      <c r="E89" s="1" t="s">
        <v>3184</v>
      </c>
      <c r="F89" s="1" t="s">
        <v>534</v>
      </c>
      <c r="G89" s="1" t="s">
        <v>534</v>
      </c>
      <c r="H89" s="1" t="s">
        <v>3181</v>
      </c>
      <c r="I89" s="1">
        <v>0</v>
      </c>
      <c r="J89" s="1">
        <v>72</v>
      </c>
      <c r="K89" s="1">
        <v>110</v>
      </c>
      <c r="L89" s="1" t="s">
        <v>3182</v>
      </c>
      <c r="M89" s="1" t="s">
        <v>546</v>
      </c>
      <c r="N89" s="1" t="s">
        <v>546</v>
      </c>
      <c r="O89" s="1" t="s">
        <v>546</v>
      </c>
      <c r="P89" s="1" t="s">
        <v>546</v>
      </c>
      <c r="Q89" s="1" t="s">
        <v>546</v>
      </c>
      <c r="R89" s="1" t="s">
        <v>546</v>
      </c>
      <c r="S89" s="1" t="s">
        <v>546</v>
      </c>
      <c r="T89" s="1" t="s">
        <v>546</v>
      </c>
      <c r="V89" s="1" t="s">
        <v>522</v>
      </c>
      <c r="X89" s="1" t="s">
        <v>522</v>
      </c>
    </row>
    <row r="90" spans="2:24">
      <c r="B90" s="1" t="s">
        <v>519</v>
      </c>
      <c r="C90" s="1" t="s">
        <v>558</v>
      </c>
      <c r="D90" s="1">
        <v>10</v>
      </c>
      <c r="E90" s="1" t="s">
        <v>3185</v>
      </c>
      <c r="F90" s="1" t="s">
        <v>534</v>
      </c>
      <c r="G90" s="1" t="s">
        <v>534</v>
      </c>
      <c r="H90" s="1" t="s">
        <v>3181</v>
      </c>
      <c r="I90" s="1">
        <v>0</v>
      </c>
      <c r="J90" s="1">
        <v>70</v>
      </c>
      <c r="K90" s="1">
        <v>110</v>
      </c>
      <c r="L90" s="1" t="s">
        <v>3182</v>
      </c>
      <c r="M90" s="1" t="s">
        <v>546</v>
      </c>
      <c r="N90" s="1" t="s">
        <v>546</v>
      </c>
      <c r="O90" s="1" t="s">
        <v>546</v>
      </c>
      <c r="P90" s="1" t="s">
        <v>546</v>
      </c>
      <c r="Q90" s="1" t="s">
        <v>546</v>
      </c>
      <c r="R90" s="1" t="s">
        <v>546</v>
      </c>
      <c r="S90" s="1" t="s">
        <v>546</v>
      </c>
      <c r="T90" s="1" t="s">
        <v>546</v>
      </c>
      <c r="V90" s="1" t="s">
        <v>522</v>
      </c>
      <c r="X90" s="1" t="s">
        <v>522</v>
      </c>
    </row>
    <row r="91" spans="2:24">
      <c r="B91" s="1" t="s">
        <v>519</v>
      </c>
      <c r="C91" s="1" t="s">
        <v>558</v>
      </c>
      <c r="D91" s="1">
        <v>12</v>
      </c>
      <c r="E91" s="1" t="s">
        <v>3186</v>
      </c>
      <c r="F91" s="1" t="s">
        <v>534</v>
      </c>
      <c r="G91" s="1" t="s">
        <v>534</v>
      </c>
      <c r="H91" s="1" t="s">
        <v>3181</v>
      </c>
      <c r="I91" s="1">
        <v>0</v>
      </c>
      <c r="J91" s="1">
        <v>68</v>
      </c>
      <c r="K91" s="1">
        <v>110</v>
      </c>
      <c r="L91" s="1" t="s">
        <v>3182</v>
      </c>
      <c r="M91" s="1" t="s">
        <v>546</v>
      </c>
      <c r="N91" s="1" t="s">
        <v>546</v>
      </c>
      <c r="O91" s="1" t="s">
        <v>546</v>
      </c>
      <c r="P91" s="1" t="s">
        <v>546</v>
      </c>
      <c r="Q91" s="1" t="s">
        <v>546</v>
      </c>
      <c r="R91" s="1" t="s">
        <v>546</v>
      </c>
      <c r="S91" s="1" t="s">
        <v>546</v>
      </c>
      <c r="T91" s="1" t="s">
        <v>546</v>
      </c>
      <c r="V91" s="1" t="s">
        <v>522</v>
      </c>
      <c r="X91" s="1" t="s">
        <v>522</v>
      </c>
    </row>
    <row r="92" spans="2:24">
      <c r="B92" s="1" t="s">
        <v>519</v>
      </c>
      <c r="C92" s="1" t="s">
        <v>558</v>
      </c>
      <c r="D92" s="1">
        <v>20</v>
      </c>
      <c r="E92" s="1" t="s">
        <v>3187</v>
      </c>
      <c r="F92" s="1" t="s">
        <v>534</v>
      </c>
      <c r="G92" s="1" t="s">
        <v>534</v>
      </c>
      <c r="H92" s="1" t="s">
        <v>3181</v>
      </c>
      <c r="I92" s="1">
        <v>0</v>
      </c>
      <c r="J92" s="1">
        <v>60</v>
      </c>
      <c r="K92" s="1">
        <v>110</v>
      </c>
      <c r="L92" s="1" t="s">
        <v>3182</v>
      </c>
      <c r="M92" s="1" t="s">
        <v>546</v>
      </c>
      <c r="N92" s="1" t="s">
        <v>546</v>
      </c>
      <c r="O92" s="1" t="s">
        <v>546</v>
      </c>
      <c r="P92" s="1" t="s">
        <v>546</v>
      </c>
      <c r="Q92" s="1" t="s">
        <v>546</v>
      </c>
      <c r="R92" s="1" t="s">
        <v>546</v>
      </c>
      <c r="S92" s="1" t="s">
        <v>546</v>
      </c>
      <c r="T92" s="1" t="s">
        <v>546</v>
      </c>
      <c r="V92" s="1" t="s">
        <v>522</v>
      </c>
      <c r="X92" s="1" t="s">
        <v>522</v>
      </c>
    </row>
    <row r="93" spans="2:24">
      <c r="B93" s="1" t="s">
        <v>516</v>
      </c>
      <c r="C93" s="1" t="s">
        <v>558</v>
      </c>
      <c r="D93" s="1">
        <v>5</v>
      </c>
      <c r="E93" s="1" t="s">
        <v>567</v>
      </c>
      <c r="F93" s="1" t="s">
        <v>534</v>
      </c>
      <c r="G93" s="1" t="s">
        <v>534</v>
      </c>
      <c r="H93" s="1" t="s">
        <v>534</v>
      </c>
      <c r="I93" s="1">
        <v>15</v>
      </c>
      <c r="J93" s="1">
        <v>80</v>
      </c>
      <c r="K93" s="1">
        <v>5</v>
      </c>
      <c r="L93" s="1" t="s">
        <v>16</v>
      </c>
      <c r="M93" s="1" t="s">
        <v>546</v>
      </c>
      <c r="N93" s="1" t="s">
        <v>546</v>
      </c>
      <c r="O93" s="1" t="s">
        <v>546</v>
      </c>
      <c r="P93" s="1" t="s">
        <v>546</v>
      </c>
      <c r="Q93" s="1" t="s">
        <v>546</v>
      </c>
      <c r="R93" s="1" t="s">
        <v>546</v>
      </c>
      <c r="S93" s="1" t="s">
        <v>546</v>
      </c>
      <c r="T93" s="1" t="s">
        <v>546</v>
      </c>
      <c r="V93" s="1" t="s">
        <v>522</v>
      </c>
      <c r="X93" s="1" t="s">
        <v>522</v>
      </c>
    </row>
    <row r="94" spans="2:24">
      <c r="B94" s="1" t="s">
        <v>516</v>
      </c>
      <c r="C94" s="1" t="s">
        <v>558</v>
      </c>
      <c r="D94" s="1">
        <v>6</v>
      </c>
      <c r="E94" s="1" t="s">
        <v>533</v>
      </c>
      <c r="F94" s="1" t="s">
        <v>534</v>
      </c>
      <c r="G94" s="1" t="s">
        <v>534</v>
      </c>
      <c r="H94" s="1" t="s">
        <v>534</v>
      </c>
      <c r="I94" s="1">
        <v>15</v>
      </c>
      <c r="J94" s="1">
        <v>79</v>
      </c>
      <c r="K94" s="1">
        <v>6</v>
      </c>
      <c r="L94" s="1" t="s">
        <v>16</v>
      </c>
      <c r="M94" s="1" t="s">
        <v>546</v>
      </c>
      <c r="N94" s="1" t="s">
        <v>546</v>
      </c>
      <c r="O94" s="1" t="s">
        <v>546</v>
      </c>
      <c r="P94" s="1" t="s">
        <v>546</v>
      </c>
      <c r="Q94" s="1" t="s">
        <v>546</v>
      </c>
      <c r="R94" s="1" t="s">
        <v>546</v>
      </c>
      <c r="S94" s="1" t="s">
        <v>546</v>
      </c>
      <c r="T94" s="1" t="s">
        <v>546</v>
      </c>
      <c r="V94" s="1" t="s">
        <v>522</v>
      </c>
      <c r="X94" s="1" t="s">
        <v>522</v>
      </c>
    </row>
    <row r="95" spans="2:24">
      <c r="B95" s="1" t="s">
        <v>516</v>
      </c>
      <c r="C95" s="1" t="s">
        <v>558</v>
      </c>
      <c r="D95" s="1">
        <v>7</v>
      </c>
      <c r="E95" s="1" t="s">
        <v>568</v>
      </c>
      <c r="F95" s="1" t="s">
        <v>534</v>
      </c>
      <c r="G95" s="1" t="s">
        <v>534</v>
      </c>
      <c r="H95" s="1" t="s">
        <v>534</v>
      </c>
      <c r="I95" s="1">
        <v>15</v>
      </c>
      <c r="J95" s="1">
        <v>78</v>
      </c>
      <c r="K95" s="1">
        <v>7</v>
      </c>
      <c r="L95" s="1" t="s">
        <v>16</v>
      </c>
      <c r="M95" s="1" t="s">
        <v>546</v>
      </c>
      <c r="N95" s="1" t="s">
        <v>546</v>
      </c>
      <c r="O95" s="1" t="s">
        <v>546</v>
      </c>
      <c r="P95" s="1" t="s">
        <v>546</v>
      </c>
      <c r="Q95" s="1" t="s">
        <v>546</v>
      </c>
      <c r="R95" s="1" t="s">
        <v>546</v>
      </c>
      <c r="S95" s="1" t="s">
        <v>546</v>
      </c>
      <c r="T95" s="1" t="s">
        <v>546</v>
      </c>
      <c r="V95" s="1" t="s">
        <v>522</v>
      </c>
      <c r="X95" s="1" t="s">
        <v>522</v>
      </c>
    </row>
    <row r="96" spans="2:24">
      <c r="B96" s="1" t="s">
        <v>516</v>
      </c>
      <c r="C96" s="1" t="s">
        <v>558</v>
      </c>
      <c r="D96" s="1">
        <v>8</v>
      </c>
      <c r="E96" s="1" t="s">
        <v>544</v>
      </c>
      <c r="F96" s="1" t="s">
        <v>534</v>
      </c>
      <c r="G96" s="1" t="s">
        <v>534</v>
      </c>
      <c r="H96" s="1" t="s">
        <v>534</v>
      </c>
      <c r="I96" s="1">
        <v>15</v>
      </c>
      <c r="J96" s="1">
        <v>77</v>
      </c>
      <c r="K96" s="1">
        <v>8</v>
      </c>
      <c r="L96" s="1" t="s">
        <v>16</v>
      </c>
      <c r="M96" s="1" t="s">
        <v>546</v>
      </c>
      <c r="N96" s="1" t="s">
        <v>546</v>
      </c>
      <c r="O96" s="1" t="s">
        <v>546</v>
      </c>
      <c r="P96" s="1" t="s">
        <v>546</v>
      </c>
      <c r="Q96" s="1" t="s">
        <v>546</v>
      </c>
      <c r="R96" s="1" t="s">
        <v>546</v>
      </c>
      <c r="S96" s="1" t="s">
        <v>546</v>
      </c>
      <c r="T96" s="1" t="s">
        <v>546</v>
      </c>
      <c r="V96" s="1" t="s">
        <v>522</v>
      </c>
      <c r="X96" s="1" t="s">
        <v>522</v>
      </c>
    </row>
    <row r="97" spans="2:24">
      <c r="B97" s="1" t="s">
        <v>516</v>
      </c>
      <c r="C97" s="1" t="s">
        <v>558</v>
      </c>
      <c r="D97" s="1">
        <v>9</v>
      </c>
      <c r="E97" s="1" t="s">
        <v>569</v>
      </c>
      <c r="F97" s="1" t="s">
        <v>534</v>
      </c>
      <c r="G97" s="1" t="s">
        <v>534</v>
      </c>
      <c r="H97" s="1" t="s">
        <v>534</v>
      </c>
      <c r="I97" s="1">
        <v>15</v>
      </c>
      <c r="J97" s="1">
        <v>76</v>
      </c>
      <c r="K97" s="1">
        <v>9</v>
      </c>
      <c r="L97" s="1" t="s">
        <v>16</v>
      </c>
      <c r="M97" s="1" t="s">
        <v>546</v>
      </c>
      <c r="N97" s="1" t="s">
        <v>546</v>
      </c>
      <c r="O97" s="1" t="s">
        <v>546</v>
      </c>
      <c r="P97" s="1" t="s">
        <v>546</v>
      </c>
      <c r="Q97" s="1" t="s">
        <v>546</v>
      </c>
      <c r="R97" s="1" t="s">
        <v>546</v>
      </c>
      <c r="S97" s="1" t="s">
        <v>546</v>
      </c>
      <c r="T97" s="1" t="s">
        <v>546</v>
      </c>
      <c r="V97" s="1" t="s">
        <v>522</v>
      </c>
      <c r="X97" s="1" t="s">
        <v>522</v>
      </c>
    </row>
    <row r="98" spans="2:24">
      <c r="B98" s="1" t="s">
        <v>516</v>
      </c>
      <c r="C98" s="1" t="s">
        <v>558</v>
      </c>
      <c r="D98" s="1">
        <v>10</v>
      </c>
      <c r="E98" s="1" t="s">
        <v>535</v>
      </c>
      <c r="F98" s="1" t="s">
        <v>534</v>
      </c>
      <c r="G98" s="1" t="s">
        <v>534</v>
      </c>
      <c r="H98" s="1" t="s">
        <v>534</v>
      </c>
      <c r="I98" s="1">
        <v>15</v>
      </c>
      <c r="J98" s="1">
        <v>75</v>
      </c>
      <c r="K98" s="1">
        <v>10</v>
      </c>
      <c r="L98" s="1" t="s">
        <v>16</v>
      </c>
      <c r="M98" s="1" t="s">
        <v>546</v>
      </c>
      <c r="N98" s="1" t="s">
        <v>546</v>
      </c>
      <c r="O98" s="1" t="s">
        <v>546</v>
      </c>
      <c r="P98" s="1" t="s">
        <v>546</v>
      </c>
      <c r="Q98" s="1" t="s">
        <v>546</v>
      </c>
      <c r="R98" s="1" t="s">
        <v>546</v>
      </c>
      <c r="S98" s="1" t="s">
        <v>546</v>
      </c>
      <c r="T98" s="1" t="s">
        <v>546</v>
      </c>
      <c r="V98" s="1" t="s">
        <v>522</v>
      </c>
      <c r="X98" s="1" t="s">
        <v>522</v>
      </c>
    </row>
    <row r="99" spans="2:24">
      <c r="B99" s="1" t="s">
        <v>516</v>
      </c>
      <c r="C99" s="1" t="s">
        <v>558</v>
      </c>
      <c r="D99" s="1">
        <v>11</v>
      </c>
      <c r="E99" s="1" t="s">
        <v>570</v>
      </c>
      <c r="F99" s="1" t="s">
        <v>534</v>
      </c>
      <c r="G99" s="1" t="s">
        <v>534</v>
      </c>
      <c r="H99" s="1" t="s">
        <v>534</v>
      </c>
      <c r="I99" s="1">
        <v>15</v>
      </c>
      <c r="J99" s="1">
        <v>74</v>
      </c>
      <c r="K99" s="1">
        <v>11</v>
      </c>
      <c r="L99" s="1" t="s">
        <v>16</v>
      </c>
      <c r="M99" s="1" t="s">
        <v>546</v>
      </c>
      <c r="N99" s="1" t="s">
        <v>546</v>
      </c>
      <c r="O99" s="1" t="s">
        <v>546</v>
      </c>
      <c r="P99" s="1" t="s">
        <v>546</v>
      </c>
      <c r="Q99" s="1" t="s">
        <v>546</v>
      </c>
      <c r="R99" s="1" t="s">
        <v>546</v>
      </c>
      <c r="S99" s="1" t="s">
        <v>546</v>
      </c>
      <c r="T99" s="1" t="s">
        <v>546</v>
      </c>
      <c r="V99" s="1" t="s">
        <v>522</v>
      </c>
      <c r="X99" s="1" t="s">
        <v>522</v>
      </c>
    </row>
    <row r="100" spans="2:24">
      <c r="B100" s="1" t="s">
        <v>516</v>
      </c>
      <c r="C100" s="1" t="s">
        <v>558</v>
      </c>
      <c r="D100" s="1">
        <v>12</v>
      </c>
      <c r="E100" s="1" t="s">
        <v>571</v>
      </c>
      <c r="F100" s="1" t="s">
        <v>534</v>
      </c>
      <c r="G100" s="1" t="s">
        <v>534</v>
      </c>
      <c r="H100" s="1" t="s">
        <v>534</v>
      </c>
      <c r="I100" s="1">
        <v>15</v>
      </c>
      <c r="J100" s="1">
        <v>73</v>
      </c>
      <c r="K100" s="1">
        <v>12</v>
      </c>
      <c r="L100" s="1" t="s">
        <v>16</v>
      </c>
      <c r="M100" s="1" t="s">
        <v>546</v>
      </c>
      <c r="N100" s="1" t="s">
        <v>546</v>
      </c>
      <c r="O100" s="1" t="s">
        <v>546</v>
      </c>
      <c r="P100" s="1" t="s">
        <v>546</v>
      </c>
      <c r="Q100" s="1" t="s">
        <v>546</v>
      </c>
      <c r="R100" s="1" t="s">
        <v>546</v>
      </c>
      <c r="S100" s="1" t="s">
        <v>546</v>
      </c>
      <c r="T100" s="1" t="s">
        <v>546</v>
      </c>
      <c r="V100" s="1" t="s">
        <v>522</v>
      </c>
      <c r="X100" s="1" t="s">
        <v>522</v>
      </c>
    </row>
    <row r="101" spans="2:24">
      <c r="B101" s="1" t="s">
        <v>516</v>
      </c>
      <c r="C101" s="1" t="s">
        <v>558</v>
      </c>
      <c r="D101" s="1">
        <v>13</v>
      </c>
      <c r="E101" s="1" t="s">
        <v>572</v>
      </c>
      <c r="F101" s="1" t="s">
        <v>534</v>
      </c>
      <c r="G101" s="1" t="s">
        <v>534</v>
      </c>
      <c r="H101" s="1" t="s">
        <v>534</v>
      </c>
      <c r="I101" s="1">
        <v>15</v>
      </c>
      <c r="J101" s="1">
        <v>72</v>
      </c>
      <c r="K101" s="1">
        <v>13</v>
      </c>
      <c r="L101" s="1" t="s">
        <v>16</v>
      </c>
      <c r="M101" s="1" t="s">
        <v>546</v>
      </c>
      <c r="N101" s="1" t="s">
        <v>546</v>
      </c>
      <c r="O101" s="1" t="s">
        <v>546</v>
      </c>
      <c r="P101" s="1" t="s">
        <v>546</v>
      </c>
      <c r="Q101" s="1" t="s">
        <v>546</v>
      </c>
      <c r="R101" s="1" t="s">
        <v>546</v>
      </c>
      <c r="S101" s="1" t="s">
        <v>546</v>
      </c>
      <c r="T101" s="1" t="s">
        <v>546</v>
      </c>
      <c r="V101" s="1" t="s">
        <v>522</v>
      </c>
      <c r="X101" s="1" t="s">
        <v>522</v>
      </c>
    </row>
    <row r="102" spans="2:24">
      <c r="B102" s="1" t="s">
        <v>516</v>
      </c>
      <c r="C102" s="1" t="s">
        <v>558</v>
      </c>
      <c r="D102" s="1">
        <v>14</v>
      </c>
      <c r="E102" s="1" t="s">
        <v>573</v>
      </c>
      <c r="F102" s="1" t="s">
        <v>534</v>
      </c>
      <c r="G102" s="1" t="s">
        <v>534</v>
      </c>
      <c r="H102" s="1" t="s">
        <v>534</v>
      </c>
      <c r="I102" s="1">
        <v>15</v>
      </c>
      <c r="J102" s="1">
        <v>71</v>
      </c>
      <c r="K102" s="1">
        <v>14</v>
      </c>
      <c r="L102" s="1" t="s">
        <v>16</v>
      </c>
      <c r="M102" s="1" t="s">
        <v>546</v>
      </c>
      <c r="N102" s="1" t="s">
        <v>546</v>
      </c>
      <c r="O102" s="1" t="s">
        <v>546</v>
      </c>
      <c r="P102" s="1" t="s">
        <v>546</v>
      </c>
      <c r="Q102" s="1" t="s">
        <v>546</v>
      </c>
      <c r="R102" s="1" t="s">
        <v>546</v>
      </c>
      <c r="S102" s="1" t="s">
        <v>546</v>
      </c>
      <c r="T102" s="1" t="s">
        <v>546</v>
      </c>
      <c r="V102" s="1" t="s">
        <v>522</v>
      </c>
      <c r="X102" s="1" t="s">
        <v>522</v>
      </c>
    </row>
    <row r="103" spans="2:24">
      <c r="B103" s="1" t="s">
        <v>516</v>
      </c>
      <c r="C103" s="1" t="s">
        <v>558</v>
      </c>
      <c r="D103" s="1">
        <v>15</v>
      </c>
      <c r="E103" s="1" t="s">
        <v>574</v>
      </c>
      <c r="F103" s="1" t="s">
        <v>534</v>
      </c>
      <c r="G103" s="1" t="s">
        <v>534</v>
      </c>
      <c r="H103" s="1" t="s">
        <v>534</v>
      </c>
      <c r="I103" s="1">
        <v>15</v>
      </c>
      <c r="J103" s="1">
        <v>70</v>
      </c>
      <c r="K103" s="1">
        <v>15</v>
      </c>
      <c r="L103" s="1" t="s">
        <v>16</v>
      </c>
      <c r="M103" s="1" t="s">
        <v>546</v>
      </c>
      <c r="N103" s="1" t="s">
        <v>546</v>
      </c>
      <c r="O103" s="1" t="s">
        <v>546</v>
      </c>
      <c r="P103" s="1" t="s">
        <v>546</v>
      </c>
      <c r="Q103" s="1" t="s">
        <v>546</v>
      </c>
      <c r="R103" s="1" t="s">
        <v>546</v>
      </c>
      <c r="S103" s="1" t="s">
        <v>546</v>
      </c>
      <c r="T103" s="1" t="s">
        <v>546</v>
      </c>
      <c r="V103" s="1" t="s">
        <v>522</v>
      </c>
      <c r="X103" s="1" t="s">
        <v>522</v>
      </c>
    </row>
    <row r="104" spans="2:24">
      <c r="B104" s="1" t="s">
        <v>516</v>
      </c>
      <c r="C104" s="1" t="s">
        <v>558</v>
      </c>
      <c r="D104" s="1">
        <v>16</v>
      </c>
      <c r="E104" s="1" t="s">
        <v>575</v>
      </c>
      <c r="F104" s="1" t="s">
        <v>534</v>
      </c>
      <c r="G104" s="1" t="s">
        <v>534</v>
      </c>
      <c r="H104" s="1" t="s">
        <v>534</v>
      </c>
      <c r="I104" s="1">
        <v>15</v>
      </c>
      <c r="J104" s="1">
        <v>69</v>
      </c>
      <c r="K104" s="1">
        <v>16</v>
      </c>
      <c r="L104" s="1" t="s">
        <v>16</v>
      </c>
      <c r="M104" s="1" t="s">
        <v>546</v>
      </c>
      <c r="N104" s="1" t="s">
        <v>546</v>
      </c>
      <c r="O104" s="1" t="s">
        <v>546</v>
      </c>
      <c r="P104" s="1" t="s">
        <v>546</v>
      </c>
      <c r="Q104" s="1" t="s">
        <v>546</v>
      </c>
      <c r="R104" s="1" t="s">
        <v>546</v>
      </c>
      <c r="S104" s="1" t="s">
        <v>546</v>
      </c>
      <c r="T104" s="1" t="s">
        <v>546</v>
      </c>
      <c r="V104" s="1" t="s">
        <v>522</v>
      </c>
      <c r="X104" s="1" t="s">
        <v>522</v>
      </c>
    </row>
    <row r="105" spans="2:24">
      <c r="B105" s="1" t="s">
        <v>516</v>
      </c>
      <c r="C105" s="1" t="s">
        <v>558</v>
      </c>
      <c r="D105" s="1">
        <v>17</v>
      </c>
      <c r="E105" s="1" t="s">
        <v>576</v>
      </c>
      <c r="F105" s="1" t="s">
        <v>534</v>
      </c>
      <c r="G105" s="1" t="s">
        <v>534</v>
      </c>
      <c r="H105" s="1" t="s">
        <v>534</v>
      </c>
      <c r="I105" s="1">
        <v>15</v>
      </c>
      <c r="J105" s="1">
        <v>68</v>
      </c>
      <c r="K105" s="1">
        <v>17</v>
      </c>
      <c r="L105" s="1" t="s">
        <v>16</v>
      </c>
      <c r="M105" s="1" t="s">
        <v>546</v>
      </c>
      <c r="N105" s="1" t="s">
        <v>546</v>
      </c>
      <c r="O105" s="1" t="s">
        <v>546</v>
      </c>
      <c r="P105" s="1" t="s">
        <v>546</v>
      </c>
      <c r="Q105" s="1" t="s">
        <v>546</v>
      </c>
      <c r="R105" s="1" t="s">
        <v>546</v>
      </c>
      <c r="S105" s="1" t="s">
        <v>546</v>
      </c>
      <c r="T105" s="1" t="s">
        <v>546</v>
      </c>
      <c r="V105" s="1" t="s">
        <v>522</v>
      </c>
      <c r="X105" s="1" t="s">
        <v>522</v>
      </c>
    </row>
    <row r="106" spans="2:24">
      <c r="B106" s="1" t="s">
        <v>516</v>
      </c>
      <c r="C106" s="1" t="s">
        <v>558</v>
      </c>
      <c r="D106" s="1">
        <v>18</v>
      </c>
      <c r="E106" s="1" t="s">
        <v>577</v>
      </c>
      <c r="F106" s="1" t="s">
        <v>534</v>
      </c>
      <c r="G106" s="1" t="s">
        <v>534</v>
      </c>
      <c r="H106" s="1" t="s">
        <v>534</v>
      </c>
      <c r="I106" s="1">
        <v>15</v>
      </c>
      <c r="J106" s="1">
        <v>67</v>
      </c>
      <c r="K106" s="1">
        <v>18</v>
      </c>
      <c r="L106" s="1" t="s">
        <v>16</v>
      </c>
      <c r="M106" s="1" t="s">
        <v>546</v>
      </c>
      <c r="N106" s="1" t="s">
        <v>546</v>
      </c>
      <c r="O106" s="1" t="s">
        <v>546</v>
      </c>
      <c r="P106" s="1" t="s">
        <v>546</v>
      </c>
      <c r="Q106" s="1" t="s">
        <v>546</v>
      </c>
      <c r="R106" s="1" t="s">
        <v>546</v>
      </c>
      <c r="S106" s="1" t="s">
        <v>546</v>
      </c>
      <c r="T106" s="1" t="s">
        <v>546</v>
      </c>
      <c r="V106" s="1" t="s">
        <v>522</v>
      </c>
      <c r="X106" s="1" t="s">
        <v>522</v>
      </c>
    </row>
    <row r="107" spans="2:24">
      <c r="B107" s="1" t="s">
        <v>516</v>
      </c>
      <c r="C107" s="1" t="s">
        <v>558</v>
      </c>
      <c r="D107" s="1">
        <v>19</v>
      </c>
      <c r="E107" s="1" t="s">
        <v>578</v>
      </c>
      <c r="F107" s="1" t="s">
        <v>534</v>
      </c>
      <c r="G107" s="1" t="s">
        <v>534</v>
      </c>
      <c r="H107" s="1" t="s">
        <v>534</v>
      </c>
      <c r="I107" s="1">
        <v>15</v>
      </c>
      <c r="J107" s="1">
        <v>66</v>
      </c>
      <c r="K107" s="1">
        <v>19</v>
      </c>
      <c r="L107" s="1" t="s">
        <v>16</v>
      </c>
      <c r="M107" s="1" t="s">
        <v>546</v>
      </c>
      <c r="N107" s="1" t="s">
        <v>546</v>
      </c>
      <c r="O107" s="1" t="s">
        <v>546</v>
      </c>
      <c r="P107" s="1" t="s">
        <v>546</v>
      </c>
      <c r="Q107" s="1" t="s">
        <v>546</v>
      </c>
      <c r="R107" s="1" t="s">
        <v>546</v>
      </c>
      <c r="S107" s="1" t="s">
        <v>546</v>
      </c>
      <c r="T107" s="1" t="s">
        <v>546</v>
      </c>
      <c r="V107" s="1" t="s">
        <v>522</v>
      </c>
      <c r="X107" s="1" t="s">
        <v>522</v>
      </c>
    </row>
    <row r="108" spans="2:24">
      <c r="B108" s="1" t="s">
        <v>516</v>
      </c>
      <c r="C108" s="1" t="s">
        <v>558</v>
      </c>
      <c r="D108" s="1">
        <v>20</v>
      </c>
      <c r="E108" s="1" t="s">
        <v>536</v>
      </c>
      <c r="F108" s="1" t="s">
        <v>534</v>
      </c>
      <c r="G108" s="1" t="s">
        <v>534</v>
      </c>
      <c r="H108" s="1" t="s">
        <v>534</v>
      </c>
      <c r="I108" s="1">
        <v>15</v>
      </c>
      <c r="J108" s="1">
        <v>65</v>
      </c>
      <c r="K108" s="1">
        <v>20</v>
      </c>
      <c r="L108" s="1" t="s">
        <v>16</v>
      </c>
      <c r="M108" s="1" t="s">
        <v>546</v>
      </c>
      <c r="N108" s="1" t="s">
        <v>546</v>
      </c>
      <c r="O108" s="1" t="s">
        <v>546</v>
      </c>
      <c r="P108" s="1" t="s">
        <v>546</v>
      </c>
      <c r="Q108" s="1" t="s">
        <v>546</v>
      </c>
      <c r="R108" s="1" t="s">
        <v>546</v>
      </c>
      <c r="S108" s="1" t="s">
        <v>546</v>
      </c>
      <c r="T108" s="1" t="s">
        <v>546</v>
      </c>
      <c r="V108" s="1" t="s">
        <v>522</v>
      </c>
      <c r="X108" s="1" t="s">
        <v>522</v>
      </c>
    </row>
    <row r="109" spans="2:24">
      <c r="B109" s="1" t="s">
        <v>517</v>
      </c>
      <c r="C109" s="1" t="s">
        <v>558</v>
      </c>
      <c r="D109" s="1">
        <v>5</v>
      </c>
      <c r="E109" s="1" t="s">
        <v>567</v>
      </c>
      <c r="F109" s="1" t="s">
        <v>534</v>
      </c>
      <c r="G109" s="1" t="s">
        <v>534</v>
      </c>
      <c r="H109" s="1" t="s">
        <v>534</v>
      </c>
      <c r="I109" s="1">
        <v>15</v>
      </c>
      <c r="J109" s="1">
        <v>80</v>
      </c>
      <c r="K109" s="1">
        <v>5</v>
      </c>
      <c r="L109" s="1" t="s">
        <v>16</v>
      </c>
      <c r="M109" s="1" t="s">
        <v>546</v>
      </c>
      <c r="N109" s="1" t="s">
        <v>546</v>
      </c>
      <c r="O109" s="1" t="s">
        <v>546</v>
      </c>
      <c r="P109" s="1" t="s">
        <v>546</v>
      </c>
      <c r="Q109" s="1" t="s">
        <v>546</v>
      </c>
      <c r="R109" s="1" t="s">
        <v>546</v>
      </c>
      <c r="S109" s="1" t="s">
        <v>546</v>
      </c>
      <c r="T109" s="1" t="s">
        <v>546</v>
      </c>
      <c r="V109" s="1" t="s">
        <v>522</v>
      </c>
      <c r="X109" s="1" t="s">
        <v>522</v>
      </c>
    </row>
    <row r="110" spans="2:24">
      <c r="B110" s="1" t="s">
        <v>517</v>
      </c>
      <c r="C110" s="1" t="s">
        <v>558</v>
      </c>
      <c r="D110" s="1">
        <v>6</v>
      </c>
      <c r="E110" s="1" t="s">
        <v>533</v>
      </c>
      <c r="F110" s="1" t="s">
        <v>534</v>
      </c>
      <c r="G110" s="1" t="s">
        <v>534</v>
      </c>
      <c r="H110" s="1" t="s">
        <v>534</v>
      </c>
      <c r="I110" s="1">
        <v>15</v>
      </c>
      <c r="J110" s="1">
        <v>79</v>
      </c>
      <c r="K110" s="1">
        <v>6</v>
      </c>
      <c r="L110" s="1" t="s">
        <v>16</v>
      </c>
      <c r="M110" s="1" t="s">
        <v>546</v>
      </c>
      <c r="N110" s="1" t="s">
        <v>546</v>
      </c>
      <c r="O110" s="1" t="s">
        <v>546</v>
      </c>
      <c r="P110" s="1" t="s">
        <v>546</v>
      </c>
      <c r="Q110" s="1" t="s">
        <v>546</v>
      </c>
      <c r="R110" s="1" t="s">
        <v>546</v>
      </c>
      <c r="S110" s="1" t="s">
        <v>546</v>
      </c>
      <c r="T110" s="1" t="s">
        <v>546</v>
      </c>
      <c r="V110" s="1" t="s">
        <v>522</v>
      </c>
      <c r="X110" s="1" t="s">
        <v>522</v>
      </c>
    </row>
    <row r="111" spans="2:24">
      <c r="B111" s="1" t="s">
        <v>517</v>
      </c>
      <c r="C111" s="1" t="s">
        <v>558</v>
      </c>
      <c r="D111" s="1">
        <v>7</v>
      </c>
      <c r="E111" s="1" t="s">
        <v>568</v>
      </c>
      <c r="F111" s="1" t="s">
        <v>534</v>
      </c>
      <c r="G111" s="1" t="s">
        <v>534</v>
      </c>
      <c r="H111" s="1" t="s">
        <v>534</v>
      </c>
      <c r="I111" s="1">
        <v>15</v>
      </c>
      <c r="J111" s="1">
        <v>78</v>
      </c>
      <c r="K111" s="1">
        <v>7</v>
      </c>
      <c r="L111" s="1" t="s">
        <v>16</v>
      </c>
      <c r="M111" s="1" t="s">
        <v>546</v>
      </c>
      <c r="N111" s="1" t="s">
        <v>546</v>
      </c>
      <c r="O111" s="1" t="s">
        <v>546</v>
      </c>
      <c r="P111" s="1" t="s">
        <v>546</v>
      </c>
      <c r="Q111" s="1" t="s">
        <v>546</v>
      </c>
      <c r="R111" s="1" t="s">
        <v>546</v>
      </c>
      <c r="S111" s="1" t="s">
        <v>546</v>
      </c>
      <c r="T111" s="1" t="s">
        <v>546</v>
      </c>
      <c r="V111" s="1" t="s">
        <v>522</v>
      </c>
      <c r="X111" s="1" t="s">
        <v>522</v>
      </c>
    </row>
    <row r="112" spans="2:24">
      <c r="B112" s="1" t="s">
        <v>517</v>
      </c>
      <c r="C112" s="1" t="s">
        <v>558</v>
      </c>
      <c r="D112" s="1">
        <v>8</v>
      </c>
      <c r="E112" s="1" t="s">
        <v>544</v>
      </c>
      <c r="F112" s="1" t="s">
        <v>534</v>
      </c>
      <c r="G112" s="1" t="s">
        <v>534</v>
      </c>
      <c r="H112" s="1" t="s">
        <v>534</v>
      </c>
      <c r="I112" s="1">
        <v>15</v>
      </c>
      <c r="J112" s="1">
        <v>77</v>
      </c>
      <c r="K112" s="1">
        <v>8</v>
      </c>
      <c r="L112" s="1" t="s">
        <v>16</v>
      </c>
      <c r="M112" s="1" t="s">
        <v>546</v>
      </c>
      <c r="N112" s="1" t="s">
        <v>546</v>
      </c>
      <c r="O112" s="1" t="s">
        <v>546</v>
      </c>
      <c r="P112" s="1" t="s">
        <v>546</v>
      </c>
      <c r="Q112" s="1" t="s">
        <v>546</v>
      </c>
      <c r="R112" s="1" t="s">
        <v>546</v>
      </c>
      <c r="S112" s="1" t="s">
        <v>546</v>
      </c>
      <c r="T112" s="1" t="s">
        <v>546</v>
      </c>
      <c r="V112" s="1" t="s">
        <v>522</v>
      </c>
      <c r="X112" s="1" t="s">
        <v>522</v>
      </c>
    </row>
    <row r="113" spans="2:24">
      <c r="B113" s="1" t="s">
        <v>517</v>
      </c>
      <c r="C113" s="1" t="s">
        <v>558</v>
      </c>
      <c r="D113" s="1">
        <v>9</v>
      </c>
      <c r="E113" s="1" t="s">
        <v>569</v>
      </c>
      <c r="F113" s="1" t="s">
        <v>534</v>
      </c>
      <c r="G113" s="1" t="s">
        <v>534</v>
      </c>
      <c r="H113" s="1" t="s">
        <v>534</v>
      </c>
      <c r="I113" s="1">
        <v>15</v>
      </c>
      <c r="J113" s="1">
        <v>76</v>
      </c>
      <c r="K113" s="1">
        <v>9</v>
      </c>
      <c r="L113" s="1" t="s">
        <v>16</v>
      </c>
      <c r="M113" s="1" t="s">
        <v>546</v>
      </c>
      <c r="N113" s="1" t="s">
        <v>546</v>
      </c>
      <c r="O113" s="1" t="s">
        <v>546</v>
      </c>
      <c r="P113" s="1" t="s">
        <v>546</v>
      </c>
      <c r="Q113" s="1" t="s">
        <v>546</v>
      </c>
      <c r="R113" s="1" t="s">
        <v>546</v>
      </c>
      <c r="S113" s="1" t="s">
        <v>546</v>
      </c>
      <c r="T113" s="1" t="s">
        <v>546</v>
      </c>
      <c r="V113" s="1" t="s">
        <v>522</v>
      </c>
      <c r="X113" s="1" t="s">
        <v>522</v>
      </c>
    </row>
    <row r="114" spans="2:24">
      <c r="B114" s="1" t="s">
        <v>517</v>
      </c>
      <c r="C114" s="1" t="s">
        <v>558</v>
      </c>
      <c r="D114" s="1">
        <v>10</v>
      </c>
      <c r="E114" s="1" t="s">
        <v>535</v>
      </c>
      <c r="F114" s="1" t="s">
        <v>534</v>
      </c>
      <c r="G114" s="1" t="s">
        <v>534</v>
      </c>
      <c r="H114" s="1" t="s">
        <v>534</v>
      </c>
      <c r="I114" s="1">
        <v>15</v>
      </c>
      <c r="J114" s="1">
        <v>75</v>
      </c>
      <c r="K114" s="1">
        <v>10</v>
      </c>
      <c r="L114" s="1" t="s">
        <v>16</v>
      </c>
      <c r="M114" s="1" t="s">
        <v>546</v>
      </c>
      <c r="N114" s="1" t="s">
        <v>546</v>
      </c>
      <c r="O114" s="1" t="s">
        <v>546</v>
      </c>
      <c r="P114" s="1" t="s">
        <v>546</v>
      </c>
      <c r="Q114" s="1" t="s">
        <v>546</v>
      </c>
      <c r="R114" s="1" t="s">
        <v>546</v>
      </c>
      <c r="S114" s="1" t="s">
        <v>546</v>
      </c>
      <c r="T114" s="1" t="s">
        <v>546</v>
      </c>
      <c r="V114" s="1" t="s">
        <v>522</v>
      </c>
      <c r="X114" s="1" t="s">
        <v>522</v>
      </c>
    </row>
    <row r="115" spans="2:24">
      <c r="B115" s="1" t="s">
        <v>517</v>
      </c>
      <c r="C115" s="1" t="s">
        <v>558</v>
      </c>
      <c r="D115" s="1">
        <v>11</v>
      </c>
      <c r="E115" s="1" t="s">
        <v>570</v>
      </c>
      <c r="F115" s="1" t="s">
        <v>534</v>
      </c>
      <c r="G115" s="1" t="s">
        <v>534</v>
      </c>
      <c r="H115" s="1" t="s">
        <v>534</v>
      </c>
      <c r="I115" s="1">
        <v>15</v>
      </c>
      <c r="J115" s="1">
        <v>74</v>
      </c>
      <c r="K115" s="1">
        <v>11</v>
      </c>
      <c r="L115" s="1" t="s">
        <v>16</v>
      </c>
      <c r="M115" s="1" t="s">
        <v>546</v>
      </c>
      <c r="N115" s="1" t="s">
        <v>546</v>
      </c>
      <c r="O115" s="1" t="s">
        <v>546</v>
      </c>
      <c r="P115" s="1" t="s">
        <v>546</v>
      </c>
      <c r="Q115" s="1" t="s">
        <v>546</v>
      </c>
      <c r="R115" s="1" t="s">
        <v>546</v>
      </c>
      <c r="S115" s="1" t="s">
        <v>546</v>
      </c>
      <c r="T115" s="1" t="s">
        <v>546</v>
      </c>
      <c r="V115" s="1" t="s">
        <v>522</v>
      </c>
      <c r="X115" s="1" t="s">
        <v>522</v>
      </c>
    </row>
    <row r="116" spans="2:24">
      <c r="B116" s="1" t="s">
        <v>517</v>
      </c>
      <c r="C116" s="1" t="s">
        <v>558</v>
      </c>
      <c r="D116" s="1">
        <v>12</v>
      </c>
      <c r="E116" s="1" t="s">
        <v>571</v>
      </c>
      <c r="F116" s="1" t="s">
        <v>534</v>
      </c>
      <c r="G116" s="1" t="s">
        <v>534</v>
      </c>
      <c r="H116" s="1" t="s">
        <v>534</v>
      </c>
      <c r="I116" s="1">
        <v>15</v>
      </c>
      <c r="J116" s="1">
        <v>73</v>
      </c>
      <c r="K116" s="1">
        <v>12</v>
      </c>
      <c r="L116" s="1" t="s">
        <v>16</v>
      </c>
      <c r="M116" s="1" t="s">
        <v>546</v>
      </c>
      <c r="N116" s="1" t="s">
        <v>546</v>
      </c>
      <c r="O116" s="1" t="s">
        <v>546</v>
      </c>
      <c r="P116" s="1" t="s">
        <v>546</v>
      </c>
      <c r="Q116" s="1" t="s">
        <v>546</v>
      </c>
      <c r="R116" s="1" t="s">
        <v>546</v>
      </c>
      <c r="S116" s="1" t="s">
        <v>546</v>
      </c>
      <c r="T116" s="1" t="s">
        <v>546</v>
      </c>
      <c r="V116" s="1" t="s">
        <v>522</v>
      </c>
      <c r="X116" s="1" t="s">
        <v>522</v>
      </c>
    </row>
    <row r="117" spans="2:24">
      <c r="B117" s="1" t="s">
        <v>517</v>
      </c>
      <c r="C117" s="1" t="s">
        <v>558</v>
      </c>
      <c r="D117" s="1">
        <v>13</v>
      </c>
      <c r="E117" s="1" t="s">
        <v>572</v>
      </c>
      <c r="F117" s="1" t="s">
        <v>534</v>
      </c>
      <c r="G117" s="1" t="s">
        <v>534</v>
      </c>
      <c r="H117" s="1" t="s">
        <v>534</v>
      </c>
      <c r="I117" s="1">
        <v>15</v>
      </c>
      <c r="J117" s="1">
        <v>72</v>
      </c>
      <c r="K117" s="1">
        <v>13</v>
      </c>
      <c r="L117" s="1" t="s">
        <v>16</v>
      </c>
      <c r="M117" s="1" t="s">
        <v>546</v>
      </c>
      <c r="N117" s="1" t="s">
        <v>546</v>
      </c>
      <c r="O117" s="1" t="s">
        <v>546</v>
      </c>
      <c r="P117" s="1" t="s">
        <v>546</v>
      </c>
      <c r="Q117" s="1" t="s">
        <v>546</v>
      </c>
      <c r="R117" s="1" t="s">
        <v>546</v>
      </c>
      <c r="S117" s="1" t="s">
        <v>546</v>
      </c>
      <c r="T117" s="1" t="s">
        <v>546</v>
      </c>
      <c r="V117" s="1" t="s">
        <v>522</v>
      </c>
      <c r="X117" s="1" t="s">
        <v>522</v>
      </c>
    </row>
    <row r="118" spans="2:24">
      <c r="B118" s="1" t="s">
        <v>517</v>
      </c>
      <c r="C118" s="1" t="s">
        <v>558</v>
      </c>
      <c r="D118" s="1">
        <v>14</v>
      </c>
      <c r="E118" s="1" t="s">
        <v>573</v>
      </c>
      <c r="F118" s="1" t="s">
        <v>534</v>
      </c>
      <c r="G118" s="1" t="s">
        <v>534</v>
      </c>
      <c r="H118" s="1" t="s">
        <v>534</v>
      </c>
      <c r="I118" s="1">
        <v>15</v>
      </c>
      <c r="J118" s="1">
        <v>71</v>
      </c>
      <c r="K118" s="1">
        <v>14</v>
      </c>
      <c r="L118" s="1" t="s">
        <v>16</v>
      </c>
      <c r="M118" s="1" t="s">
        <v>546</v>
      </c>
      <c r="N118" s="1" t="s">
        <v>546</v>
      </c>
      <c r="O118" s="1" t="s">
        <v>546</v>
      </c>
      <c r="P118" s="1" t="s">
        <v>546</v>
      </c>
      <c r="Q118" s="1" t="s">
        <v>546</v>
      </c>
      <c r="R118" s="1" t="s">
        <v>546</v>
      </c>
      <c r="S118" s="1" t="s">
        <v>546</v>
      </c>
      <c r="T118" s="1" t="s">
        <v>546</v>
      </c>
      <c r="V118" s="1" t="s">
        <v>522</v>
      </c>
      <c r="X118" s="1" t="s">
        <v>522</v>
      </c>
    </row>
    <row r="119" spans="2:24">
      <c r="B119" s="1" t="s">
        <v>517</v>
      </c>
      <c r="C119" s="1" t="s">
        <v>558</v>
      </c>
      <c r="D119" s="1">
        <v>15</v>
      </c>
      <c r="E119" s="1" t="s">
        <v>574</v>
      </c>
      <c r="F119" s="1" t="s">
        <v>534</v>
      </c>
      <c r="G119" s="1" t="s">
        <v>534</v>
      </c>
      <c r="H119" s="1" t="s">
        <v>534</v>
      </c>
      <c r="I119" s="1">
        <v>15</v>
      </c>
      <c r="J119" s="1">
        <v>70</v>
      </c>
      <c r="K119" s="1">
        <v>15</v>
      </c>
      <c r="L119" s="1" t="s">
        <v>16</v>
      </c>
      <c r="M119" s="1" t="s">
        <v>546</v>
      </c>
      <c r="N119" s="1" t="s">
        <v>546</v>
      </c>
      <c r="O119" s="1" t="s">
        <v>546</v>
      </c>
      <c r="P119" s="1" t="s">
        <v>546</v>
      </c>
      <c r="Q119" s="1" t="s">
        <v>546</v>
      </c>
      <c r="R119" s="1" t="s">
        <v>546</v>
      </c>
      <c r="S119" s="1" t="s">
        <v>546</v>
      </c>
      <c r="T119" s="1" t="s">
        <v>546</v>
      </c>
      <c r="V119" s="1" t="s">
        <v>522</v>
      </c>
      <c r="X119" s="1" t="s">
        <v>522</v>
      </c>
    </row>
    <row r="120" spans="2:24">
      <c r="B120" s="1" t="s">
        <v>517</v>
      </c>
      <c r="C120" s="1" t="s">
        <v>558</v>
      </c>
      <c r="D120" s="1">
        <v>16</v>
      </c>
      <c r="E120" s="1" t="s">
        <v>575</v>
      </c>
      <c r="F120" s="1" t="s">
        <v>534</v>
      </c>
      <c r="G120" s="1" t="s">
        <v>534</v>
      </c>
      <c r="H120" s="1" t="s">
        <v>534</v>
      </c>
      <c r="I120" s="1">
        <v>15</v>
      </c>
      <c r="J120" s="1">
        <v>69</v>
      </c>
      <c r="K120" s="1">
        <v>16</v>
      </c>
      <c r="L120" s="1" t="s">
        <v>16</v>
      </c>
      <c r="M120" s="1" t="s">
        <v>546</v>
      </c>
      <c r="N120" s="1" t="s">
        <v>546</v>
      </c>
      <c r="O120" s="1" t="s">
        <v>546</v>
      </c>
      <c r="P120" s="1" t="s">
        <v>546</v>
      </c>
      <c r="Q120" s="1" t="s">
        <v>546</v>
      </c>
      <c r="R120" s="1" t="s">
        <v>546</v>
      </c>
      <c r="S120" s="1" t="s">
        <v>546</v>
      </c>
      <c r="T120" s="1" t="s">
        <v>546</v>
      </c>
      <c r="V120" s="1" t="s">
        <v>522</v>
      </c>
      <c r="X120" s="1" t="s">
        <v>522</v>
      </c>
    </row>
    <row r="121" spans="2:24">
      <c r="B121" s="1" t="s">
        <v>517</v>
      </c>
      <c r="C121" s="1" t="s">
        <v>558</v>
      </c>
      <c r="D121" s="1">
        <v>17</v>
      </c>
      <c r="E121" s="1" t="s">
        <v>576</v>
      </c>
      <c r="F121" s="1" t="s">
        <v>534</v>
      </c>
      <c r="G121" s="1" t="s">
        <v>534</v>
      </c>
      <c r="H121" s="1" t="s">
        <v>534</v>
      </c>
      <c r="I121" s="1">
        <v>15</v>
      </c>
      <c r="J121" s="1">
        <v>68</v>
      </c>
      <c r="K121" s="1">
        <v>17</v>
      </c>
      <c r="L121" s="1" t="s">
        <v>16</v>
      </c>
      <c r="M121" s="1" t="s">
        <v>546</v>
      </c>
      <c r="N121" s="1" t="s">
        <v>546</v>
      </c>
      <c r="O121" s="1" t="s">
        <v>546</v>
      </c>
      <c r="P121" s="1" t="s">
        <v>546</v>
      </c>
      <c r="Q121" s="1" t="s">
        <v>546</v>
      </c>
      <c r="R121" s="1" t="s">
        <v>546</v>
      </c>
      <c r="S121" s="1" t="s">
        <v>546</v>
      </c>
      <c r="T121" s="1" t="s">
        <v>546</v>
      </c>
      <c r="V121" s="1" t="s">
        <v>522</v>
      </c>
      <c r="X121" s="1" t="s">
        <v>522</v>
      </c>
    </row>
    <row r="122" spans="2:24">
      <c r="B122" s="1" t="s">
        <v>517</v>
      </c>
      <c r="C122" s="1" t="s">
        <v>558</v>
      </c>
      <c r="D122" s="1">
        <v>18</v>
      </c>
      <c r="E122" s="1" t="s">
        <v>577</v>
      </c>
      <c r="F122" s="1" t="s">
        <v>534</v>
      </c>
      <c r="G122" s="1" t="s">
        <v>534</v>
      </c>
      <c r="H122" s="1" t="s">
        <v>534</v>
      </c>
      <c r="I122" s="1">
        <v>15</v>
      </c>
      <c r="J122" s="1">
        <v>67</v>
      </c>
      <c r="K122" s="1">
        <v>18</v>
      </c>
      <c r="L122" s="1" t="s">
        <v>16</v>
      </c>
      <c r="M122" s="1" t="s">
        <v>546</v>
      </c>
      <c r="N122" s="1" t="s">
        <v>546</v>
      </c>
      <c r="O122" s="1" t="s">
        <v>546</v>
      </c>
      <c r="P122" s="1" t="s">
        <v>546</v>
      </c>
      <c r="Q122" s="1" t="s">
        <v>546</v>
      </c>
      <c r="R122" s="1" t="s">
        <v>546</v>
      </c>
      <c r="S122" s="1" t="s">
        <v>546</v>
      </c>
      <c r="T122" s="1" t="s">
        <v>546</v>
      </c>
      <c r="V122" s="1" t="s">
        <v>522</v>
      </c>
      <c r="X122" s="1" t="s">
        <v>522</v>
      </c>
    </row>
    <row r="123" spans="2:24">
      <c r="B123" s="1" t="s">
        <v>517</v>
      </c>
      <c r="C123" s="1" t="s">
        <v>558</v>
      </c>
      <c r="D123" s="1">
        <v>19</v>
      </c>
      <c r="E123" s="1" t="s">
        <v>578</v>
      </c>
      <c r="F123" s="1" t="s">
        <v>534</v>
      </c>
      <c r="G123" s="1" t="s">
        <v>534</v>
      </c>
      <c r="H123" s="1" t="s">
        <v>534</v>
      </c>
      <c r="I123" s="1">
        <v>15</v>
      </c>
      <c r="J123" s="1">
        <v>66</v>
      </c>
      <c r="K123" s="1">
        <v>19</v>
      </c>
      <c r="L123" s="1" t="s">
        <v>16</v>
      </c>
      <c r="M123" s="1" t="s">
        <v>546</v>
      </c>
      <c r="N123" s="1" t="s">
        <v>546</v>
      </c>
      <c r="O123" s="1" t="s">
        <v>546</v>
      </c>
      <c r="P123" s="1" t="s">
        <v>546</v>
      </c>
      <c r="Q123" s="1" t="s">
        <v>546</v>
      </c>
      <c r="R123" s="1" t="s">
        <v>546</v>
      </c>
      <c r="S123" s="1" t="s">
        <v>546</v>
      </c>
      <c r="T123" s="1" t="s">
        <v>546</v>
      </c>
      <c r="V123" s="1" t="s">
        <v>522</v>
      </c>
      <c r="X123" s="1" t="s">
        <v>522</v>
      </c>
    </row>
    <row r="124" spans="2:24">
      <c r="B124" s="1" t="s">
        <v>517</v>
      </c>
      <c r="C124" s="1" t="s">
        <v>558</v>
      </c>
      <c r="D124" s="1">
        <v>20</v>
      </c>
      <c r="E124" s="1" t="s">
        <v>536</v>
      </c>
      <c r="F124" s="1" t="s">
        <v>534</v>
      </c>
      <c r="G124" s="1" t="s">
        <v>534</v>
      </c>
      <c r="H124" s="1" t="s">
        <v>534</v>
      </c>
      <c r="I124" s="1">
        <v>15</v>
      </c>
      <c r="J124" s="1">
        <v>65</v>
      </c>
      <c r="K124" s="1">
        <v>20</v>
      </c>
      <c r="L124" s="1" t="s">
        <v>16</v>
      </c>
      <c r="M124" s="1" t="s">
        <v>546</v>
      </c>
      <c r="N124" s="1" t="s">
        <v>546</v>
      </c>
      <c r="O124" s="1" t="s">
        <v>546</v>
      </c>
      <c r="P124" s="1" t="s">
        <v>546</v>
      </c>
      <c r="Q124" s="1" t="s">
        <v>546</v>
      </c>
      <c r="R124" s="1" t="s">
        <v>546</v>
      </c>
      <c r="S124" s="1" t="s">
        <v>546</v>
      </c>
      <c r="T124" s="1" t="s">
        <v>546</v>
      </c>
      <c r="V124" s="1" t="s">
        <v>522</v>
      </c>
      <c r="X124" s="1" t="s">
        <v>522</v>
      </c>
    </row>
    <row r="125" spans="2:24">
      <c r="B125" s="1" t="s">
        <v>3206</v>
      </c>
      <c r="C125" s="1" t="s">
        <v>3212</v>
      </c>
      <c r="D125" s="1">
        <v>8</v>
      </c>
      <c r="E125" s="1" t="s">
        <v>3214</v>
      </c>
      <c r="F125" s="1" t="s">
        <v>534</v>
      </c>
      <c r="G125" s="1" t="s">
        <v>534</v>
      </c>
      <c r="H125" s="1" t="s">
        <v>16</v>
      </c>
      <c r="I125" s="1">
        <v>0</v>
      </c>
      <c r="J125" s="1">
        <v>77</v>
      </c>
      <c r="K125" s="1">
        <v>110</v>
      </c>
      <c r="L125" s="1" t="s">
        <v>79</v>
      </c>
      <c r="M125" s="1" t="s">
        <v>546</v>
      </c>
      <c r="N125" s="1" t="s">
        <v>546</v>
      </c>
      <c r="O125" s="1" t="s">
        <v>546</v>
      </c>
      <c r="P125" s="1" t="s">
        <v>546</v>
      </c>
      <c r="Q125" s="1" t="s">
        <v>546</v>
      </c>
      <c r="R125" s="1" t="s">
        <v>546</v>
      </c>
      <c r="S125" s="1" t="s">
        <v>546</v>
      </c>
      <c r="T125" s="1" t="s">
        <v>546</v>
      </c>
      <c r="V125" s="1" t="s">
        <v>522</v>
      </c>
      <c r="X125" s="1" t="s">
        <v>522</v>
      </c>
    </row>
    <row r="126" spans="2:24">
      <c r="B126" s="1" t="s">
        <v>3206</v>
      </c>
      <c r="C126" s="1" t="s">
        <v>3212</v>
      </c>
      <c r="D126" s="1">
        <v>10</v>
      </c>
      <c r="E126" s="1" t="s">
        <v>535</v>
      </c>
      <c r="F126" s="1" t="s">
        <v>534</v>
      </c>
      <c r="G126" s="1" t="s">
        <v>534</v>
      </c>
      <c r="H126" s="1" t="s">
        <v>16</v>
      </c>
      <c r="I126" s="1">
        <v>0</v>
      </c>
      <c r="J126" s="1">
        <v>70</v>
      </c>
      <c r="K126" s="1">
        <v>110</v>
      </c>
      <c r="L126" s="1" t="s">
        <v>79</v>
      </c>
      <c r="M126" s="1" t="s">
        <v>546</v>
      </c>
      <c r="N126" s="1" t="s">
        <v>546</v>
      </c>
      <c r="O126" s="1" t="s">
        <v>546</v>
      </c>
      <c r="P126" s="1" t="s">
        <v>546</v>
      </c>
      <c r="Q126" s="1" t="s">
        <v>546</v>
      </c>
      <c r="R126" s="1" t="s">
        <v>546</v>
      </c>
      <c r="S126" s="1" t="s">
        <v>546</v>
      </c>
      <c r="T126" s="1" t="s">
        <v>546</v>
      </c>
      <c r="V126" s="1" t="s">
        <v>522</v>
      </c>
      <c r="X126" s="1" t="s">
        <v>522</v>
      </c>
    </row>
    <row r="127" spans="2:24">
      <c r="B127" s="1" t="s">
        <v>3206</v>
      </c>
      <c r="C127" s="1" t="s">
        <v>3212</v>
      </c>
      <c r="D127" s="1">
        <v>12</v>
      </c>
      <c r="E127" s="1" t="s">
        <v>571</v>
      </c>
      <c r="F127" s="1" t="s">
        <v>534</v>
      </c>
      <c r="G127" s="1" t="s">
        <v>534</v>
      </c>
      <c r="H127" s="1" t="s">
        <v>16</v>
      </c>
      <c r="I127" s="1">
        <v>0</v>
      </c>
      <c r="J127" s="1">
        <v>70</v>
      </c>
      <c r="K127" s="1">
        <v>110</v>
      </c>
      <c r="L127" s="1" t="s">
        <v>79</v>
      </c>
      <c r="M127" s="1" t="s">
        <v>546</v>
      </c>
      <c r="N127" s="1" t="s">
        <v>546</v>
      </c>
      <c r="O127" s="1" t="s">
        <v>546</v>
      </c>
      <c r="P127" s="1" t="s">
        <v>546</v>
      </c>
      <c r="Q127" s="1" t="s">
        <v>546</v>
      </c>
      <c r="R127" s="1" t="s">
        <v>546</v>
      </c>
      <c r="S127" s="1" t="s">
        <v>546</v>
      </c>
      <c r="T127" s="1" t="s">
        <v>546</v>
      </c>
      <c r="V127" s="1" t="s">
        <v>522</v>
      </c>
      <c r="X127" s="1" t="s">
        <v>522</v>
      </c>
    </row>
    <row r="128" spans="2:24">
      <c r="B128" s="1" t="s">
        <v>3206</v>
      </c>
      <c r="C128" s="1" t="s">
        <v>3212</v>
      </c>
      <c r="D128" s="1">
        <v>20</v>
      </c>
      <c r="E128" s="1" t="s">
        <v>536</v>
      </c>
      <c r="F128" s="1" t="s">
        <v>534</v>
      </c>
      <c r="G128" s="1" t="s">
        <v>534</v>
      </c>
      <c r="H128" s="1" t="s">
        <v>16</v>
      </c>
      <c r="I128" s="1">
        <v>0</v>
      </c>
      <c r="J128" s="1">
        <v>65</v>
      </c>
      <c r="K128" s="1">
        <v>110</v>
      </c>
      <c r="L128" s="1" t="s">
        <v>79</v>
      </c>
      <c r="M128" s="1" t="s">
        <v>546</v>
      </c>
      <c r="N128" s="1" t="s">
        <v>546</v>
      </c>
      <c r="O128" s="1" t="s">
        <v>546</v>
      </c>
      <c r="P128" s="1" t="s">
        <v>546</v>
      </c>
      <c r="Q128" s="1" t="s">
        <v>546</v>
      </c>
      <c r="R128" s="1" t="s">
        <v>546</v>
      </c>
      <c r="S128" s="1" t="s">
        <v>546</v>
      </c>
      <c r="T128" s="1" t="s">
        <v>546</v>
      </c>
      <c r="V128" s="1" t="s">
        <v>522</v>
      </c>
      <c r="X128" s="1" t="s">
        <v>522</v>
      </c>
    </row>
    <row r="129" spans="2:24">
      <c r="B129" s="1" t="s">
        <v>3223</v>
      </c>
      <c r="C129" s="1" t="s">
        <v>3224</v>
      </c>
      <c r="D129" s="1">
        <v>20</v>
      </c>
      <c r="E129" s="1" t="s">
        <v>536</v>
      </c>
      <c r="F129" s="1" t="s">
        <v>534</v>
      </c>
      <c r="G129" s="1" t="s">
        <v>534</v>
      </c>
      <c r="H129" s="1" t="s">
        <v>16</v>
      </c>
      <c r="I129" s="1">
        <v>15</v>
      </c>
      <c r="J129" s="1">
        <v>60</v>
      </c>
      <c r="K129" s="1">
        <v>110</v>
      </c>
      <c r="L129" s="1" t="s">
        <v>3225</v>
      </c>
      <c r="M129" s="1" t="s">
        <v>546</v>
      </c>
      <c r="N129" s="1" t="s">
        <v>546</v>
      </c>
      <c r="O129" s="1" t="s">
        <v>546</v>
      </c>
      <c r="P129" s="1" t="s">
        <v>546</v>
      </c>
      <c r="Q129" s="1" t="s">
        <v>546</v>
      </c>
      <c r="R129" s="1" t="s">
        <v>546</v>
      </c>
      <c r="S129" s="1" t="s">
        <v>546</v>
      </c>
      <c r="T129" s="1" t="s">
        <v>546</v>
      </c>
      <c r="V129" s="1" t="s">
        <v>522</v>
      </c>
      <c r="X129" s="1" t="s">
        <v>522</v>
      </c>
    </row>
    <row r="130" spans="2:24">
      <c r="B130" s="1" t="s">
        <v>3238</v>
      </c>
      <c r="C130" s="1" t="s">
        <v>3224</v>
      </c>
      <c r="D130" s="1">
        <v>3</v>
      </c>
      <c r="E130" s="1" t="s">
        <v>3240</v>
      </c>
      <c r="F130" s="1" t="s">
        <v>534</v>
      </c>
      <c r="G130" s="1" t="s">
        <v>534</v>
      </c>
      <c r="H130" s="1" t="s">
        <v>16</v>
      </c>
      <c r="I130" s="1">
        <v>16</v>
      </c>
      <c r="J130" s="1">
        <v>75</v>
      </c>
      <c r="K130" s="1">
        <v>110</v>
      </c>
      <c r="L130" s="1" t="s">
        <v>79</v>
      </c>
      <c r="M130" s="1" t="s">
        <v>546</v>
      </c>
      <c r="N130" s="1" t="s">
        <v>546</v>
      </c>
      <c r="O130" s="1" t="s">
        <v>546</v>
      </c>
      <c r="P130" s="1" t="s">
        <v>546</v>
      </c>
      <c r="Q130" s="1" t="s">
        <v>546</v>
      </c>
      <c r="R130" s="1" t="s">
        <v>546</v>
      </c>
      <c r="S130" s="1" t="s">
        <v>546</v>
      </c>
      <c r="T130" s="1" t="s">
        <v>546</v>
      </c>
      <c r="V130" s="1" t="s">
        <v>522</v>
      </c>
      <c r="X130" s="1" t="s">
        <v>522</v>
      </c>
    </row>
    <row r="131" spans="2:24">
      <c r="B131" s="1" t="s">
        <v>3238</v>
      </c>
      <c r="C131" s="1" t="s">
        <v>3224</v>
      </c>
      <c r="D131" s="1">
        <v>6</v>
      </c>
      <c r="E131" s="1" t="s">
        <v>3241</v>
      </c>
      <c r="F131" s="1" t="s">
        <v>534</v>
      </c>
      <c r="G131" s="1" t="s">
        <v>534</v>
      </c>
      <c r="H131" s="1" t="s">
        <v>16</v>
      </c>
      <c r="I131" s="1">
        <v>16</v>
      </c>
      <c r="J131" s="1">
        <v>72</v>
      </c>
      <c r="K131" s="1">
        <v>110</v>
      </c>
      <c r="L131" s="1" t="s">
        <v>79</v>
      </c>
      <c r="M131" s="1" t="s">
        <v>546</v>
      </c>
      <c r="N131" s="1" t="s">
        <v>546</v>
      </c>
      <c r="O131" s="1" t="s">
        <v>546</v>
      </c>
      <c r="P131" s="1" t="s">
        <v>546</v>
      </c>
      <c r="Q131" s="1" t="s">
        <v>546</v>
      </c>
      <c r="R131" s="1" t="s">
        <v>546</v>
      </c>
      <c r="S131" s="1" t="s">
        <v>546</v>
      </c>
      <c r="T131" s="1" t="s">
        <v>546</v>
      </c>
      <c r="V131" s="1" t="s">
        <v>522</v>
      </c>
      <c r="X131" s="1" t="s">
        <v>522</v>
      </c>
    </row>
    <row r="132" spans="2:24">
      <c r="B132" s="1" t="s">
        <v>3248</v>
      </c>
      <c r="C132" s="1" t="s">
        <v>3224</v>
      </c>
      <c r="D132" s="1">
        <v>6</v>
      </c>
      <c r="E132" s="1" t="s">
        <v>3241</v>
      </c>
      <c r="F132" s="1" t="s">
        <v>534</v>
      </c>
      <c r="G132" s="1" t="s">
        <v>534</v>
      </c>
      <c r="H132" s="1" t="s">
        <v>16</v>
      </c>
      <c r="I132" s="1">
        <v>0</v>
      </c>
      <c r="J132" s="1">
        <v>49</v>
      </c>
      <c r="K132" s="1">
        <v>99</v>
      </c>
      <c r="L132" s="1" t="s">
        <v>79</v>
      </c>
      <c r="M132" s="1" t="s">
        <v>546</v>
      </c>
      <c r="N132" s="1" t="s">
        <v>546</v>
      </c>
      <c r="O132" s="1" t="s">
        <v>546</v>
      </c>
      <c r="P132" s="1" t="s">
        <v>546</v>
      </c>
      <c r="Q132" s="1" t="s">
        <v>546</v>
      </c>
      <c r="R132" s="1" t="s">
        <v>546</v>
      </c>
      <c r="S132" s="1" t="s">
        <v>546</v>
      </c>
      <c r="T132" s="1" t="s">
        <v>546</v>
      </c>
      <c r="V132" s="1" t="s">
        <v>522</v>
      </c>
      <c r="X132" s="1" t="s">
        <v>522</v>
      </c>
    </row>
    <row r="133" spans="2:24">
      <c r="B133" s="1" t="s">
        <v>3248</v>
      </c>
      <c r="C133" s="1" t="s">
        <v>3224</v>
      </c>
      <c r="D133" s="1">
        <v>10</v>
      </c>
      <c r="E133" s="1" t="s">
        <v>535</v>
      </c>
      <c r="F133" s="1" t="s">
        <v>534</v>
      </c>
      <c r="G133" s="1" t="s">
        <v>534</v>
      </c>
      <c r="H133" s="1" t="s">
        <v>16</v>
      </c>
      <c r="I133" s="1">
        <v>0</v>
      </c>
      <c r="J133" s="1">
        <v>45</v>
      </c>
      <c r="K133" s="1">
        <v>99</v>
      </c>
      <c r="L133" s="1" t="s">
        <v>79</v>
      </c>
      <c r="M133" s="1" t="s">
        <v>546</v>
      </c>
      <c r="N133" s="1" t="s">
        <v>546</v>
      </c>
      <c r="O133" s="1" t="s">
        <v>546</v>
      </c>
      <c r="P133" s="1" t="s">
        <v>546</v>
      </c>
      <c r="Q133" s="1" t="s">
        <v>546</v>
      </c>
      <c r="R133" s="1" t="s">
        <v>546</v>
      </c>
      <c r="S133" s="1" t="s">
        <v>546</v>
      </c>
      <c r="T133" s="1" t="s">
        <v>546</v>
      </c>
      <c r="V133" s="1" t="s">
        <v>522</v>
      </c>
      <c r="X133" s="1" t="s">
        <v>522</v>
      </c>
    </row>
    <row r="134" spans="2:24">
      <c r="B134" s="1" t="s">
        <v>3248</v>
      </c>
      <c r="C134" s="1" t="s">
        <v>3224</v>
      </c>
      <c r="D134" s="1">
        <v>20</v>
      </c>
      <c r="E134" s="1" t="s">
        <v>536</v>
      </c>
      <c r="F134" s="1" t="s">
        <v>534</v>
      </c>
      <c r="G134" s="1" t="s">
        <v>534</v>
      </c>
      <c r="H134" s="1" t="s">
        <v>16</v>
      </c>
      <c r="I134" s="1">
        <v>0</v>
      </c>
      <c r="J134" s="1">
        <v>35</v>
      </c>
      <c r="K134" s="1">
        <v>99</v>
      </c>
      <c r="L134" s="1" t="s">
        <v>79</v>
      </c>
      <c r="M134" s="1" t="s">
        <v>546</v>
      </c>
      <c r="N134" s="1" t="s">
        <v>546</v>
      </c>
      <c r="O134" s="1" t="s">
        <v>546</v>
      </c>
      <c r="P134" s="1" t="s">
        <v>546</v>
      </c>
      <c r="Q134" s="1" t="s">
        <v>546</v>
      </c>
      <c r="R134" s="1" t="s">
        <v>546</v>
      </c>
      <c r="S134" s="1" t="s">
        <v>546</v>
      </c>
      <c r="T134" s="1" t="s">
        <v>546</v>
      </c>
      <c r="V134" s="1" t="s">
        <v>522</v>
      </c>
      <c r="X134" s="1" t="s">
        <v>522</v>
      </c>
    </row>
    <row r="135" spans="2:24">
      <c r="B135" s="1" t="s">
        <v>3246</v>
      </c>
      <c r="C135" s="1" t="s">
        <v>3224</v>
      </c>
      <c r="D135" s="1">
        <v>6</v>
      </c>
      <c r="E135" s="1" t="s">
        <v>3241</v>
      </c>
      <c r="F135" s="1" t="s">
        <v>534</v>
      </c>
      <c r="G135" s="1" t="s">
        <v>534</v>
      </c>
      <c r="H135" s="1" t="s">
        <v>16</v>
      </c>
      <c r="I135" s="1">
        <v>0</v>
      </c>
      <c r="J135" s="1">
        <v>54</v>
      </c>
      <c r="K135" s="1">
        <v>99</v>
      </c>
      <c r="L135" s="1" t="s">
        <v>79</v>
      </c>
      <c r="M135" s="1" t="s">
        <v>546</v>
      </c>
      <c r="N135" s="1" t="s">
        <v>546</v>
      </c>
      <c r="O135" s="1" t="s">
        <v>546</v>
      </c>
      <c r="P135" s="1" t="s">
        <v>546</v>
      </c>
      <c r="Q135" s="1" t="s">
        <v>546</v>
      </c>
      <c r="R135" s="1" t="s">
        <v>546</v>
      </c>
      <c r="S135" s="1" t="s">
        <v>546</v>
      </c>
      <c r="T135" s="1" t="s">
        <v>546</v>
      </c>
      <c r="V135" s="1" t="s">
        <v>522</v>
      </c>
      <c r="X135" s="1" t="s">
        <v>522</v>
      </c>
    </row>
    <row r="136" spans="2:24">
      <c r="B136" s="1" t="s">
        <v>3246</v>
      </c>
      <c r="C136" s="1" t="s">
        <v>3224</v>
      </c>
      <c r="D136" s="1">
        <v>10</v>
      </c>
      <c r="E136" s="1" t="s">
        <v>535</v>
      </c>
      <c r="F136" s="1" t="s">
        <v>534</v>
      </c>
      <c r="G136" s="1" t="s">
        <v>534</v>
      </c>
      <c r="H136" s="1" t="s">
        <v>16</v>
      </c>
      <c r="I136" s="1">
        <v>0</v>
      </c>
      <c r="J136" s="1">
        <v>50</v>
      </c>
      <c r="K136" s="1">
        <v>99</v>
      </c>
      <c r="L136" s="1" t="s">
        <v>79</v>
      </c>
      <c r="M136" s="1" t="s">
        <v>546</v>
      </c>
      <c r="N136" s="1" t="s">
        <v>546</v>
      </c>
      <c r="O136" s="1" t="s">
        <v>546</v>
      </c>
      <c r="P136" s="1" t="s">
        <v>546</v>
      </c>
      <c r="Q136" s="1" t="s">
        <v>546</v>
      </c>
      <c r="R136" s="1" t="s">
        <v>546</v>
      </c>
      <c r="S136" s="1" t="s">
        <v>546</v>
      </c>
      <c r="T136" s="1" t="s">
        <v>546</v>
      </c>
      <c r="V136" s="1" t="s">
        <v>522</v>
      </c>
      <c r="X136" s="1" t="s">
        <v>522</v>
      </c>
    </row>
    <row r="137" spans="2:24">
      <c r="B137" s="1" t="s">
        <v>3246</v>
      </c>
      <c r="C137" s="1" t="s">
        <v>3224</v>
      </c>
      <c r="D137" s="1">
        <v>20</v>
      </c>
      <c r="E137" s="1" t="s">
        <v>536</v>
      </c>
      <c r="F137" s="1" t="s">
        <v>534</v>
      </c>
      <c r="G137" s="1" t="s">
        <v>534</v>
      </c>
      <c r="H137" s="1" t="s">
        <v>16</v>
      </c>
      <c r="I137" s="1">
        <v>0</v>
      </c>
      <c r="J137" s="1">
        <v>40</v>
      </c>
      <c r="K137" s="1">
        <v>99</v>
      </c>
      <c r="L137" s="1" t="s">
        <v>79</v>
      </c>
      <c r="M137" s="1" t="s">
        <v>546</v>
      </c>
      <c r="N137" s="1" t="s">
        <v>546</v>
      </c>
      <c r="O137" s="1" t="s">
        <v>546</v>
      </c>
      <c r="P137" s="1" t="s">
        <v>546</v>
      </c>
      <c r="Q137" s="1" t="s">
        <v>546</v>
      </c>
      <c r="R137" s="1" t="s">
        <v>546</v>
      </c>
      <c r="S137" s="1" t="s">
        <v>546</v>
      </c>
      <c r="T137" s="1" t="s">
        <v>546</v>
      </c>
      <c r="V137" s="1" t="s">
        <v>522</v>
      </c>
      <c r="X137" s="1" t="s">
        <v>522</v>
      </c>
    </row>
    <row r="138" spans="2:24">
      <c r="B138" s="1" t="s">
        <v>3247</v>
      </c>
      <c r="C138" s="1" t="s">
        <v>3224</v>
      </c>
      <c r="D138" s="1">
        <v>6</v>
      </c>
      <c r="E138" s="1" t="s">
        <v>3241</v>
      </c>
      <c r="F138" s="1" t="s">
        <v>534</v>
      </c>
      <c r="G138" s="1" t="s">
        <v>534</v>
      </c>
      <c r="H138" s="1" t="s">
        <v>16</v>
      </c>
      <c r="I138" s="1">
        <v>0</v>
      </c>
      <c r="J138" s="1">
        <v>59</v>
      </c>
      <c r="K138" s="1">
        <v>99</v>
      </c>
      <c r="L138" s="1" t="s">
        <v>79</v>
      </c>
      <c r="M138" s="1" t="s">
        <v>546</v>
      </c>
      <c r="N138" s="1" t="s">
        <v>546</v>
      </c>
      <c r="O138" s="1" t="s">
        <v>546</v>
      </c>
      <c r="P138" s="1" t="s">
        <v>546</v>
      </c>
      <c r="Q138" s="1" t="s">
        <v>546</v>
      </c>
      <c r="R138" s="1" t="s">
        <v>546</v>
      </c>
      <c r="S138" s="1" t="s">
        <v>546</v>
      </c>
      <c r="T138" s="1" t="s">
        <v>546</v>
      </c>
      <c r="V138" s="1" t="s">
        <v>522</v>
      </c>
      <c r="X138" s="1" t="s">
        <v>522</v>
      </c>
    </row>
    <row r="139" spans="2:24">
      <c r="B139" s="1" t="s">
        <v>3247</v>
      </c>
      <c r="C139" s="1" t="s">
        <v>3224</v>
      </c>
      <c r="D139" s="1">
        <v>10</v>
      </c>
      <c r="E139" s="1" t="s">
        <v>535</v>
      </c>
      <c r="F139" s="1" t="s">
        <v>534</v>
      </c>
      <c r="G139" s="1" t="s">
        <v>534</v>
      </c>
      <c r="H139" s="1" t="s">
        <v>16</v>
      </c>
      <c r="I139" s="1">
        <v>0</v>
      </c>
      <c r="J139" s="1">
        <v>55</v>
      </c>
      <c r="K139" s="1">
        <v>99</v>
      </c>
      <c r="L139" s="1" t="s">
        <v>79</v>
      </c>
      <c r="M139" s="1" t="s">
        <v>546</v>
      </c>
      <c r="N139" s="1" t="s">
        <v>546</v>
      </c>
      <c r="O139" s="1" t="s">
        <v>546</v>
      </c>
      <c r="P139" s="1" t="s">
        <v>546</v>
      </c>
      <c r="Q139" s="1" t="s">
        <v>546</v>
      </c>
      <c r="R139" s="1" t="s">
        <v>546</v>
      </c>
      <c r="S139" s="1" t="s">
        <v>546</v>
      </c>
      <c r="T139" s="1" t="s">
        <v>546</v>
      </c>
      <c r="V139" s="1" t="s">
        <v>522</v>
      </c>
      <c r="X139" s="1" t="s">
        <v>522</v>
      </c>
    </row>
    <row r="140" spans="2:24">
      <c r="B140" s="1" t="s">
        <v>3247</v>
      </c>
      <c r="C140" s="1" t="s">
        <v>3224</v>
      </c>
      <c r="D140" s="1">
        <v>20</v>
      </c>
      <c r="E140" s="1" t="s">
        <v>536</v>
      </c>
      <c r="F140" s="1" t="s">
        <v>534</v>
      </c>
      <c r="G140" s="1" t="s">
        <v>534</v>
      </c>
      <c r="H140" s="1" t="s">
        <v>16</v>
      </c>
      <c r="I140" s="1">
        <v>0</v>
      </c>
      <c r="J140" s="1">
        <v>45</v>
      </c>
      <c r="K140" s="1">
        <v>99</v>
      </c>
      <c r="L140" s="1" t="s">
        <v>79</v>
      </c>
      <c r="M140" s="1" t="s">
        <v>546</v>
      </c>
      <c r="N140" s="1" t="s">
        <v>546</v>
      </c>
      <c r="O140" s="1" t="s">
        <v>546</v>
      </c>
      <c r="P140" s="1" t="s">
        <v>546</v>
      </c>
      <c r="Q140" s="1" t="s">
        <v>546</v>
      </c>
      <c r="R140" s="1" t="s">
        <v>546</v>
      </c>
      <c r="S140" s="1" t="s">
        <v>546</v>
      </c>
      <c r="T140" s="1" t="s">
        <v>546</v>
      </c>
      <c r="V140" s="1" t="s">
        <v>522</v>
      </c>
      <c r="X140" s="1" t="s">
        <v>522</v>
      </c>
    </row>
  </sheetData>
  <phoneticPr fontId="3" type="noConversion"/>
  <hyperlinks>
    <hyperlink ref="A1" location="目錄!A1" display="回到目錄"/>
  </hyperlinks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"/>
  <dimension ref="A1:S96"/>
  <sheetViews>
    <sheetView workbookViewId="0">
      <pane ySplit="1" topLeftCell="A2" activePane="bottomLeft" state="frozen"/>
      <selection activeCell="B1" sqref="B1"/>
      <selection pane="bottomLeft" activeCell="M1" sqref="M1"/>
    </sheetView>
  </sheetViews>
  <sheetFormatPr defaultColWidth="11.1796875" defaultRowHeight="13.8"/>
  <cols>
    <col min="1" max="1" width="7.453125" style="10" bestFit="1" customWidth="1"/>
    <col min="2" max="2" width="4.36328125" style="14" bestFit="1" customWidth="1"/>
    <col min="3" max="3" width="11.6328125" style="10" bestFit="1" customWidth="1"/>
    <col min="4" max="4" width="9.1796875" style="10" bestFit="1" customWidth="1"/>
    <col min="5" max="5" width="7.54296875" style="14" bestFit="1" customWidth="1"/>
    <col min="6" max="6" width="10" style="15" bestFit="1" customWidth="1"/>
    <col min="7" max="7" width="10.6328125" style="10" bestFit="1" customWidth="1"/>
    <col min="8" max="8" width="30.7265625" style="15" bestFit="1" customWidth="1"/>
    <col min="9" max="9" width="10.08984375" style="15" bestFit="1" customWidth="1"/>
    <col min="10" max="10" width="4" style="15" bestFit="1" customWidth="1"/>
    <col min="11" max="12" width="3.6328125" style="14" bestFit="1" customWidth="1"/>
    <col min="13" max="13" width="16.7265625" style="14" bestFit="1" customWidth="1"/>
    <col min="14" max="15" width="6.6328125" style="14" customWidth="1"/>
    <col min="16" max="18" width="6.6328125" style="10" customWidth="1"/>
    <col min="19" max="22" width="14.453125" style="10" customWidth="1"/>
    <col min="23" max="16384" width="11.1796875" style="10"/>
  </cols>
  <sheetData>
    <row r="1" spans="1:19">
      <c r="A1" s="23" t="s">
        <v>36</v>
      </c>
      <c r="B1" s="5" t="s">
        <v>5</v>
      </c>
      <c r="C1" s="6" t="s">
        <v>3</v>
      </c>
      <c r="D1" s="6" t="s">
        <v>4</v>
      </c>
      <c r="E1" s="7" t="s">
        <v>6</v>
      </c>
      <c r="F1" s="9" t="s">
        <v>13</v>
      </c>
      <c r="G1" s="8" t="s">
        <v>7</v>
      </c>
      <c r="H1" s="9" t="s">
        <v>8</v>
      </c>
      <c r="I1" s="9" t="s">
        <v>467</v>
      </c>
      <c r="L1" s="72" t="s">
        <v>468</v>
      </c>
      <c r="M1" s="72" t="s">
        <v>480</v>
      </c>
      <c r="N1" s="72" t="s">
        <v>470</v>
      </c>
      <c r="O1" s="72" t="s">
        <v>471</v>
      </c>
      <c r="P1" s="72" t="s">
        <v>472</v>
      </c>
      <c r="Q1" s="72" t="s">
        <v>473</v>
      </c>
      <c r="R1" s="72" t="s">
        <v>474</v>
      </c>
      <c r="S1" s="73" t="s">
        <v>475</v>
      </c>
    </row>
    <row r="2" spans="1:19">
      <c r="B2" s="11" t="s">
        <v>14</v>
      </c>
      <c r="C2" s="13" t="s">
        <v>80</v>
      </c>
      <c r="D2" s="18" t="s">
        <v>111</v>
      </c>
      <c r="E2" s="11"/>
      <c r="F2" s="12"/>
      <c r="G2" s="12" t="s">
        <v>81</v>
      </c>
      <c r="H2" s="16"/>
      <c r="I2" s="16"/>
      <c r="L2" s="36"/>
      <c r="M2" s="34"/>
      <c r="N2" s="36" t="str">
        <f>"EXEC sp_dropextendedproperty @name = N'MS_Description', @level0type=N'SCHEMA',@level0name=N'"&amp;$L$1&amp;"', @level1type=N'TABLE',@level1name=N'"&amp;$M$1&amp;"', @level2type=N'COLUMN',@level2name=N'"&amp;$C2&amp;"'"</f>
        <v>EXEC sp_dropextendedproperty @name = N'MS_Description', @level0type=N'SCHEMA',@level0name=N'dbo', @level1type=N'TABLE',@level1name=N'LifeInsAgeAmtLimit', @level2type=N'COLUMN',@level2name=N'PlanCode'</v>
      </c>
      <c r="O2" s="36" t="str">
        <f>"EXEC sp_dropextendedproperty @name = N'Rule', @level0type=N'SCHEMA',@level0name=N'"&amp;$L$1&amp;"', @level1type=N'TABLE',@level1name=N'"&amp;$M$1&amp;"', @level2type=N'COLUMN',@level2name=N'"&amp;$C2&amp;"'"</f>
        <v>EXEC sp_dropextendedproperty @name = N'Rule', @level0type=N'SCHEMA',@level0name=N'dbo', @level1type=N'TABLE',@level1name=N'LifeInsAgeAmtLimit', @level2type=N'COLUMN',@level2name=N'PlanCode'</v>
      </c>
      <c r="P2" s="36" t="str">
        <f>"EXEC sp_dropextendedproperty @name = N'Memo', @level0type=N'SCHEMA',@level0name=N'"&amp;$L$1&amp;"', @level1type=N'TABLE',@level1name=N'"&amp;$M$1&amp;"', @level2type=N'COLUMN',@level2name=N'"&amp;$C2&amp;"'"</f>
        <v>EXEC sp_dropextendedproperty @name = N'Memo', @level0type=N'SCHEMA',@level0name=N'dbo', @level1type=N'TABLE',@level1name=N'LifeInsAgeAmtLimit', @level2type=N'COLUMN',@level2name=N'PlanCode'</v>
      </c>
      <c r="Q2" s="36" t="str">
        <f>"set @OldWording = N'"&amp;SUBSTITUTE($G2,CHAR(10),"")&amp;"'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@level2type=N'COLUMN',@level2name=N'"&amp;$C2&amp;"'"</f>
        <v>set @OldWording = N'險種代碼' set @NewWording = REPLACE(@OldWording,'***',char(13)+char(10)) EXEC sys.sp_addextendedproperty @name=N'MS_Description', @value=@NewWording , @level0type=N'SCHEMA',@level0name=N'dbo', @level1type=N'TABLE',@level1name=N'LifeInsAgeAmtLimit', @level2type=N'COLUMN',@level2name=N'PlanCode'</v>
      </c>
      <c r="R2" s="32" t="str">
        <f>"set @OldWording = N'"&amp;SUBSTITUTE($H2,CHAR(10),"")&amp;"'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@name=N'Rule', @value=@NewWording , @level0type=N'SCHEMA',@level0name=N'dbo', @level1type=N'TABLE',@level1name=N'LifeInsAgeAmtLimit', @level2type=N'COLUMN',@level2name=N'PlanCode'</v>
      </c>
      <c r="S2" s="36" t="str">
        <f>"set @OldWording = N'"&amp;SUBSTITUTE($I2,CHAR(10),"")&amp;"' set @NewWording = REPLACE(@OldWording,'***',char(13)+char(10)) "&amp;"EXEC sys.sp_addextendedproperty @name=N'Memo',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@name=N'Memo', @value=@NewWording , @level0type=N'SCHEMA',@level0name=N'dbo', @level1type=N'TABLE',@level1name=N'LifeInsAgeAmtLimit', @level2type=N'COLUMN',@level2name=N'PlanCode'</v>
      </c>
    </row>
    <row r="3" spans="1:19" ht="27.6">
      <c r="B3" s="11" t="s">
        <v>14</v>
      </c>
      <c r="C3" s="15" t="s">
        <v>3728</v>
      </c>
      <c r="D3" s="15" t="s">
        <v>21</v>
      </c>
      <c r="F3" s="10"/>
      <c r="G3" s="10" t="s">
        <v>78</v>
      </c>
      <c r="H3" s="16" t="s">
        <v>3652</v>
      </c>
      <c r="I3" s="16"/>
    </row>
    <row r="4" spans="1:19">
      <c r="B4" s="11" t="s">
        <v>14</v>
      </c>
      <c r="C4" s="12" t="s">
        <v>86</v>
      </c>
      <c r="D4" s="12" t="s">
        <v>34</v>
      </c>
      <c r="F4" s="13"/>
      <c r="G4" s="12" t="s">
        <v>87</v>
      </c>
    </row>
    <row r="5" spans="1:19">
      <c r="B5" s="11" t="s">
        <v>14</v>
      </c>
      <c r="C5" s="12" t="s">
        <v>50</v>
      </c>
      <c r="D5" s="12" t="s">
        <v>51</v>
      </c>
      <c r="F5" s="13"/>
      <c r="G5" s="12" t="s">
        <v>52</v>
      </c>
      <c r="H5" s="16" t="s">
        <v>493</v>
      </c>
      <c r="I5" s="27" t="s">
        <v>267</v>
      </c>
    </row>
    <row r="6" spans="1:19">
      <c r="B6" s="11" t="s">
        <v>14</v>
      </c>
      <c r="C6" s="13" t="s">
        <v>53</v>
      </c>
      <c r="D6" s="18" t="s">
        <v>47</v>
      </c>
      <c r="E6" s="11"/>
      <c r="F6" s="12"/>
      <c r="G6" s="12" t="s">
        <v>49</v>
      </c>
      <c r="H6" s="16"/>
      <c r="I6" s="27" t="s">
        <v>278</v>
      </c>
    </row>
    <row r="7" spans="1:19">
      <c r="B7" s="11"/>
      <c r="C7" s="10" t="s">
        <v>603</v>
      </c>
      <c r="D7" s="18" t="s">
        <v>92</v>
      </c>
      <c r="E7" s="11" t="s">
        <v>91</v>
      </c>
      <c r="F7" s="12"/>
      <c r="G7" s="12" t="s">
        <v>481</v>
      </c>
      <c r="H7" s="16" t="s">
        <v>2997</v>
      </c>
      <c r="I7" s="16"/>
    </row>
    <row r="8" spans="1:19">
      <c r="B8" s="11"/>
      <c r="C8" s="10" t="s">
        <v>604</v>
      </c>
      <c r="D8" s="18" t="s">
        <v>92</v>
      </c>
      <c r="E8" s="11" t="s">
        <v>91</v>
      </c>
      <c r="F8" s="12"/>
    </row>
    <row r="9" spans="1:19">
      <c r="C9" s="10" t="s">
        <v>605</v>
      </c>
      <c r="D9" s="18" t="s">
        <v>92</v>
      </c>
      <c r="E9" s="11" t="s">
        <v>91</v>
      </c>
      <c r="F9" s="13"/>
      <c r="G9" s="12"/>
    </row>
    <row r="10" spans="1:19">
      <c r="C10" s="10" t="s">
        <v>606</v>
      </c>
      <c r="D10" s="18" t="s">
        <v>92</v>
      </c>
      <c r="E10" s="11" t="s">
        <v>91</v>
      </c>
      <c r="F10" s="13"/>
      <c r="G10" s="12"/>
    </row>
    <row r="11" spans="1:19">
      <c r="B11" s="11"/>
      <c r="C11" s="10" t="s">
        <v>607</v>
      </c>
      <c r="D11" s="18" t="s">
        <v>92</v>
      </c>
      <c r="E11" s="11" t="s">
        <v>91</v>
      </c>
      <c r="F11" s="13"/>
      <c r="G11" s="12"/>
    </row>
    <row r="12" spans="1:19">
      <c r="B12" s="11"/>
      <c r="C12" s="10" t="s">
        <v>608</v>
      </c>
      <c r="D12" s="18" t="s">
        <v>92</v>
      </c>
      <c r="E12" s="11" t="s">
        <v>91</v>
      </c>
      <c r="F12" s="13"/>
      <c r="G12" s="12"/>
    </row>
    <row r="13" spans="1:19">
      <c r="B13" s="11"/>
      <c r="C13" s="10" t="s">
        <v>609</v>
      </c>
      <c r="D13" s="18" t="s">
        <v>92</v>
      </c>
      <c r="E13" s="11" t="s">
        <v>91</v>
      </c>
      <c r="F13" s="13"/>
      <c r="G13" s="12"/>
    </row>
    <row r="14" spans="1:19">
      <c r="B14" s="11"/>
      <c r="C14" s="10" t="s">
        <v>610</v>
      </c>
      <c r="D14" s="18" t="s">
        <v>92</v>
      </c>
      <c r="E14" s="11" t="s">
        <v>91</v>
      </c>
      <c r="F14" s="13"/>
      <c r="G14" s="12"/>
    </row>
    <row r="15" spans="1:19">
      <c r="C15" s="10" t="s">
        <v>611</v>
      </c>
      <c r="D15" s="18" t="s">
        <v>92</v>
      </c>
      <c r="E15" s="11" t="s">
        <v>91</v>
      </c>
    </row>
    <row r="16" spans="1:19">
      <c r="B16" s="11"/>
      <c r="C16" s="10" t="s">
        <v>612</v>
      </c>
      <c r="D16" s="18" t="s">
        <v>92</v>
      </c>
      <c r="E16" s="11" t="s">
        <v>91</v>
      </c>
      <c r="G16" s="12"/>
      <c r="H16" s="13"/>
      <c r="I16" s="13"/>
    </row>
    <row r="17" spans="3:5">
      <c r="C17" s="10" t="s">
        <v>613</v>
      </c>
      <c r="D17" s="18" t="s">
        <v>92</v>
      </c>
      <c r="E17" s="11" t="s">
        <v>91</v>
      </c>
    </row>
    <row r="18" spans="3:5">
      <c r="C18" s="10" t="s">
        <v>614</v>
      </c>
      <c r="D18" s="18" t="s">
        <v>92</v>
      </c>
      <c r="E18" s="11" t="s">
        <v>91</v>
      </c>
    </row>
    <row r="19" spans="3:5">
      <c r="C19" s="10" t="s">
        <v>615</v>
      </c>
      <c r="D19" s="18" t="s">
        <v>92</v>
      </c>
      <c r="E19" s="11" t="s">
        <v>91</v>
      </c>
    </row>
    <row r="20" spans="3:5">
      <c r="C20" s="10" t="s">
        <v>616</v>
      </c>
      <c r="D20" s="18" t="s">
        <v>92</v>
      </c>
      <c r="E20" s="11" t="s">
        <v>91</v>
      </c>
    </row>
    <row r="21" spans="3:5">
      <c r="C21" s="10" t="s">
        <v>617</v>
      </c>
      <c r="D21" s="18" t="s">
        <v>92</v>
      </c>
      <c r="E21" s="11" t="s">
        <v>91</v>
      </c>
    </row>
    <row r="22" spans="3:5">
      <c r="C22" s="10" t="s">
        <v>618</v>
      </c>
      <c r="D22" s="18" t="s">
        <v>92</v>
      </c>
      <c r="E22" s="11" t="s">
        <v>91</v>
      </c>
    </row>
    <row r="23" spans="3:5">
      <c r="C23" s="10" t="s">
        <v>619</v>
      </c>
      <c r="D23" s="18" t="s">
        <v>92</v>
      </c>
      <c r="E23" s="11" t="s">
        <v>91</v>
      </c>
    </row>
    <row r="24" spans="3:5">
      <c r="C24" s="10" t="s">
        <v>620</v>
      </c>
      <c r="D24" s="18" t="s">
        <v>92</v>
      </c>
      <c r="E24" s="11" t="s">
        <v>91</v>
      </c>
    </row>
    <row r="25" spans="3:5">
      <c r="C25" s="10" t="s">
        <v>621</v>
      </c>
      <c r="D25" s="18" t="s">
        <v>92</v>
      </c>
      <c r="E25" s="11" t="s">
        <v>91</v>
      </c>
    </row>
    <row r="26" spans="3:5">
      <c r="C26" s="10" t="s">
        <v>622</v>
      </c>
      <c r="D26" s="18" t="s">
        <v>92</v>
      </c>
      <c r="E26" s="11" t="s">
        <v>91</v>
      </c>
    </row>
    <row r="27" spans="3:5">
      <c r="C27" s="10" t="s">
        <v>623</v>
      </c>
      <c r="D27" s="18" t="s">
        <v>92</v>
      </c>
      <c r="E27" s="11" t="s">
        <v>91</v>
      </c>
    </row>
    <row r="28" spans="3:5">
      <c r="C28" s="10" t="s">
        <v>624</v>
      </c>
      <c r="D28" s="18" t="s">
        <v>92</v>
      </c>
      <c r="E28" s="11" t="s">
        <v>91</v>
      </c>
    </row>
    <row r="29" spans="3:5">
      <c r="C29" s="10" t="s">
        <v>625</v>
      </c>
      <c r="D29" s="18" t="s">
        <v>92</v>
      </c>
      <c r="E29" s="11" t="s">
        <v>91</v>
      </c>
    </row>
    <row r="30" spans="3:5">
      <c r="C30" s="10" t="s">
        <v>626</v>
      </c>
      <c r="D30" s="18" t="s">
        <v>92</v>
      </c>
      <c r="E30" s="11" t="s">
        <v>91</v>
      </c>
    </row>
    <row r="31" spans="3:5">
      <c r="C31" s="10" t="s">
        <v>627</v>
      </c>
      <c r="D31" s="18" t="s">
        <v>92</v>
      </c>
      <c r="E31" s="11" t="s">
        <v>91</v>
      </c>
    </row>
    <row r="32" spans="3:5">
      <c r="C32" s="10" t="s">
        <v>628</v>
      </c>
      <c r="D32" s="18" t="s">
        <v>92</v>
      </c>
      <c r="E32" s="11" t="s">
        <v>91</v>
      </c>
    </row>
    <row r="33" spans="3:5">
      <c r="C33" s="10" t="s">
        <v>629</v>
      </c>
      <c r="D33" s="18" t="s">
        <v>92</v>
      </c>
      <c r="E33" s="11" t="s">
        <v>91</v>
      </c>
    </row>
    <row r="34" spans="3:5">
      <c r="C34" s="10" t="s">
        <v>630</v>
      </c>
      <c r="D34" s="18" t="s">
        <v>92</v>
      </c>
      <c r="E34" s="11" t="s">
        <v>91</v>
      </c>
    </row>
    <row r="35" spans="3:5">
      <c r="C35" s="10" t="s">
        <v>631</v>
      </c>
      <c r="D35" s="18" t="s">
        <v>92</v>
      </c>
      <c r="E35" s="11" t="s">
        <v>91</v>
      </c>
    </row>
    <row r="36" spans="3:5">
      <c r="C36" s="10" t="s">
        <v>632</v>
      </c>
      <c r="D36" s="18" t="s">
        <v>92</v>
      </c>
      <c r="E36" s="11" t="s">
        <v>91</v>
      </c>
    </row>
    <row r="37" spans="3:5">
      <c r="C37" s="10" t="s">
        <v>633</v>
      </c>
      <c r="D37" s="18" t="s">
        <v>92</v>
      </c>
      <c r="E37" s="11" t="s">
        <v>91</v>
      </c>
    </row>
    <row r="38" spans="3:5">
      <c r="C38" s="10" t="s">
        <v>634</v>
      </c>
      <c r="D38" s="18" t="s">
        <v>92</v>
      </c>
      <c r="E38" s="11" t="s">
        <v>91</v>
      </c>
    </row>
    <row r="39" spans="3:5">
      <c r="C39" s="10" t="s">
        <v>635</v>
      </c>
      <c r="D39" s="18" t="s">
        <v>92</v>
      </c>
      <c r="E39" s="11" t="s">
        <v>91</v>
      </c>
    </row>
    <row r="40" spans="3:5">
      <c r="C40" s="10" t="s">
        <v>636</v>
      </c>
      <c r="D40" s="18" t="s">
        <v>92</v>
      </c>
      <c r="E40" s="11" t="s">
        <v>91</v>
      </c>
    </row>
    <row r="41" spans="3:5">
      <c r="C41" s="10" t="s">
        <v>637</v>
      </c>
      <c r="D41" s="18" t="s">
        <v>92</v>
      </c>
      <c r="E41" s="11" t="s">
        <v>91</v>
      </c>
    </row>
    <row r="42" spans="3:5">
      <c r="C42" s="10" t="s">
        <v>638</v>
      </c>
      <c r="D42" s="18" t="s">
        <v>92</v>
      </c>
      <c r="E42" s="11" t="s">
        <v>91</v>
      </c>
    </row>
    <row r="43" spans="3:5">
      <c r="C43" s="10" t="s">
        <v>639</v>
      </c>
      <c r="D43" s="18" t="s">
        <v>92</v>
      </c>
      <c r="E43" s="11" t="s">
        <v>91</v>
      </c>
    </row>
    <row r="44" spans="3:5">
      <c r="C44" s="10" t="s">
        <v>640</v>
      </c>
      <c r="D44" s="18" t="s">
        <v>92</v>
      </c>
      <c r="E44" s="11" t="s">
        <v>91</v>
      </c>
    </row>
    <row r="45" spans="3:5">
      <c r="C45" s="10" t="s">
        <v>641</v>
      </c>
      <c r="D45" s="18" t="s">
        <v>92</v>
      </c>
      <c r="E45" s="11" t="s">
        <v>91</v>
      </c>
    </row>
    <row r="46" spans="3:5">
      <c r="C46" s="10" t="s">
        <v>642</v>
      </c>
      <c r="D46" s="18" t="s">
        <v>92</v>
      </c>
      <c r="E46" s="11" t="s">
        <v>91</v>
      </c>
    </row>
    <row r="47" spans="3:5">
      <c r="C47" s="10" t="s">
        <v>643</v>
      </c>
      <c r="D47" s="18" t="s">
        <v>92</v>
      </c>
      <c r="E47" s="11" t="s">
        <v>91</v>
      </c>
    </row>
    <row r="48" spans="3:5">
      <c r="C48" s="10" t="s">
        <v>644</v>
      </c>
      <c r="D48" s="18" t="s">
        <v>92</v>
      </c>
      <c r="E48" s="11" t="s">
        <v>91</v>
      </c>
    </row>
    <row r="49" spans="3:5">
      <c r="C49" s="10" t="s">
        <v>645</v>
      </c>
      <c r="D49" s="18" t="s">
        <v>92</v>
      </c>
      <c r="E49" s="11" t="s">
        <v>91</v>
      </c>
    </row>
    <row r="50" spans="3:5">
      <c r="C50" s="10" t="s">
        <v>646</v>
      </c>
      <c r="D50" s="18" t="s">
        <v>92</v>
      </c>
      <c r="E50" s="11" t="s">
        <v>91</v>
      </c>
    </row>
    <row r="51" spans="3:5">
      <c r="C51" s="10" t="s">
        <v>647</v>
      </c>
      <c r="D51" s="18" t="s">
        <v>92</v>
      </c>
      <c r="E51" s="11" t="s">
        <v>91</v>
      </c>
    </row>
    <row r="52" spans="3:5">
      <c r="C52" s="10" t="s">
        <v>648</v>
      </c>
      <c r="D52" s="18" t="s">
        <v>92</v>
      </c>
      <c r="E52" s="11" t="s">
        <v>91</v>
      </c>
    </row>
    <row r="53" spans="3:5">
      <c r="C53" s="10" t="s">
        <v>649</v>
      </c>
      <c r="D53" s="18" t="s">
        <v>92</v>
      </c>
      <c r="E53" s="11" t="s">
        <v>91</v>
      </c>
    </row>
    <row r="54" spans="3:5">
      <c r="C54" s="10" t="s">
        <v>650</v>
      </c>
      <c r="D54" s="18" t="s">
        <v>92</v>
      </c>
      <c r="E54" s="11" t="s">
        <v>91</v>
      </c>
    </row>
    <row r="55" spans="3:5">
      <c r="C55" s="10" t="s">
        <v>651</v>
      </c>
      <c r="D55" s="18" t="s">
        <v>92</v>
      </c>
      <c r="E55" s="11" t="s">
        <v>91</v>
      </c>
    </row>
    <row r="56" spans="3:5">
      <c r="C56" s="10" t="s">
        <v>652</v>
      </c>
      <c r="D56" s="18" t="s">
        <v>92</v>
      </c>
      <c r="E56" s="11" t="s">
        <v>91</v>
      </c>
    </row>
    <row r="57" spans="3:5">
      <c r="C57" s="10" t="s">
        <v>653</v>
      </c>
      <c r="D57" s="18" t="s">
        <v>92</v>
      </c>
      <c r="E57" s="11" t="s">
        <v>91</v>
      </c>
    </row>
    <row r="58" spans="3:5">
      <c r="C58" s="10" t="s">
        <v>654</v>
      </c>
      <c r="D58" s="18" t="s">
        <v>92</v>
      </c>
      <c r="E58" s="11" t="s">
        <v>91</v>
      </c>
    </row>
    <row r="59" spans="3:5">
      <c r="C59" s="10" t="s">
        <v>655</v>
      </c>
      <c r="D59" s="18" t="s">
        <v>92</v>
      </c>
      <c r="E59" s="11" t="s">
        <v>91</v>
      </c>
    </row>
    <row r="60" spans="3:5">
      <c r="C60" s="10" t="s">
        <v>656</v>
      </c>
      <c r="D60" s="18" t="s">
        <v>92</v>
      </c>
      <c r="E60" s="11" t="s">
        <v>91</v>
      </c>
    </row>
    <row r="61" spans="3:5">
      <c r="C61" s="10" t="s">
        <v>657</v>
      </c>
      <c r="D61" s="18" t="s">
        <v>92</v>
      </c>
      <c r="E61" s="11" t="s">
        <v>91</v>
      </c>
    </row>
    <row r="62" spans="3:5">
      <c r="C62" s="10" t="s">
        <v>658</v>
      </c>
      <c r="D62" s="18" t="s">
        <v>92</v>
      </c>
      <c r="E62" s="11" t="s">
        <v>91</v>
      </c>
    </row>
    <row r="63" spans="3:5">
      <c r="C63" s="10" t="s">
        <v>659</v>
      </c>
      <c r="D63" s="18" t="s">
        <v>92</v>
      </c>
      <c r="E63" s="11" t="s">
        <v>91</v>
      </c>
    </row>
    <row r="64" spans="3:5">
      <c r="C64" s="10" t="s">
        <v>660</v>
      </c>
      <c r="D64" s="18" t="s">
        <v>92</v>
      </c>
      <c r="E64" s="11" t="s">
        <v>91</v>
      </c>
    </row>
    <row r="65" spans="3:5">
      <c r="C65" s="10" t="s">
        <v>661</v>
      </c>
      <c r="D65" s="18" t="s">
        <v>92</v>
      </c>
      <c r="E65" s="11" t="s">
        <v>91</v>
      </c>
    </row>
    <row r="66" spans="3:5">
      <c r="C66" s="10" t="s">
        <v>662</v>
      </c>
      <c r="D66" s="18" t="s">
        <v>92</v>
      </c>
      <c r="E66" s="11" t="s">
        <v>91</v>
      </c>
    </row>
    <row r="67" spans="3:5">
      <c r="C67" s="10" t="s">
        <v>663</v>
      </c>
      <c r="D67" s="18" t="s">
        <v>92</v>
      </c>
      <c r="E67" s="11" t="s">
        <v>91</v>
      </c>
    </row>
    <row r="68" spans="3:5">
      <c r="C68" s="10" t="s">
        <v>664</v>
      </c>
      <c r="D68" s="18" t="s">
        <v>92</v>
      </c>
      <c r="E68" s="11" t="s">
        <v>91</v>
      </c>
    </row>
    <row r="69" spans="3:5">
      <c r="C69" s="10" t="s">
        <v>665</v>
      </c>
      <c r="D69" s="18" t="s">
        <v>92</v>
      </c>
      <c r="E69" s="11" t="s">
        <v>91</v>
      </c>
    </row>
    <row r="70" spans="3:5">
      <c r="C70" s="10" t="s">
        <v>666</v>
      </c>
      <c r="D70" s="18" t="s">
        <v>92</v>
      </c>
      <c r="E70" s="11" t="s">
        <v>91</v>
      </c>
    </row>
    <row r="71" spans="3:5">
      <c r="C71" s="10" t="s">
        <v>667</v>
      </c>
      <c r="D71" s="18" t="s">
        <v>92</v>
      </c>
      <c r="E71" s="11" t="s">
        <v>91</v>
      </c>
    </row>
    <row r="72" spans="3:5">
      <c r="C72" s="10" t="s">
        <v>668</v>
      </c>
      <c r="D72" s="18" t="s">
        <v>92</v>
      </c>
      <c r="E72" s="11" t="s">
        <v>91</v>
      </c>
    </row>
    <row r="73" spans="3:5">
      <c r="C73" s="10" t="s">
        <v>669</v>
      </c>
      <c r="D73" s="18" t="s">
        <v>92</v>
      </c>
      <c r="E73" s="11" t="s">
        <v>91</v>
      </c>
    </row>
    <row r="74" spans="3:5">
      <c r="C74" s="10" t="s">
        <v>670</v>
      </c>
      <c r="D74" s="18" t="s">
        <v>92</v>
      </c>
      <c r="E74" s="11" t="s">
        <v>91</v>
      </c>
    </row>
    <row r="75" spans="3:5">
      <c r="C75" s="10" t="s">
        <v>671</v>
      </c>
      <c r="D75" s="18" t="s">
        <v>92</v>
      </c>
      <c r="E75" s="11" t="s">
        <v>91</v>
      </c>
    </row>
    <row r="76" spans="3:5">
      <c r="C76" s="10" t="s">
        <v>672</v>
      </c>
      <c r="D76" s="18" t="s">
        <v>92</v>
      </c>
      <c r="E76" s="11" t="s">
        <v>91</v>
      </c>
    </row>
    <row r="77" spans="3:5">
      <c r="C77" s="10" t="s">
        <v>673</v>
      </c>
      <c r="D77" s="18" t="s">
        <v>92</v>
      </c>
      <c r="E77" s="11" t="s">
        <v>91</v>
      </c>
    </row>
    <row r="78" spans="3:5">
      <c r="C78" s="10" t="s">
        <v>674</v>
      </c>
      <c r="D78" s="18" t="s">
        <v>92</v>
      </c>
      <c r="E78" s="11" t="s">
        <v>91</v>
      </c>
    </row>
    <row r="79" spans="3:5">
      <c r="C79" s="10" t="s">
        <v>675</v>
      </c>
      <c r="D79" s="18" t="s">
        <v>92</v>
      </c>
      <c r="E79" s="11" t="s">
        <v>91</v>
      </c>
    </row>
    <row r="80" spans="3:5">
      <c r="C80" s="10" t="s">
        <v>676</v>
      </c>
      <c r="D80" s="18" t="s">
        <v>92</v>
      </c>
      <c r="E80" s="11" t="s">
        <v>91</v>
      </c>
    </row>
    <row r="81" spans="3:7">
      <c r="C81" s="10" t="s">
        <v>677</v>
      </c>
      <c r="D81" s="18" t="s">
        <v>92</v>
      </c>
      <c r="E81" s="11" t="s">
        <v>91</v>
      </c>
    </row>
    <row r="82" spans="3:7">
      <c r="C82" s="10" t="s">
        <v>678</v>
      </c>
      <c r="D82" s="18" t="s">
        <v>92</v>
      </c>
      <c r="E82" s="11" t="s">
        <v>91</v>
      </c>
    </row>
    <row r="83" spans="3:7">
      <c r="C83" s="10" t="s">
        <v>679</v>
      </c>
      <c r="D83" s="18" t="s">
        <v>92</v>
      </c>
      <c r="E83" s="11" t="s">
        <v>91</v>
      </c>
    </row>
    <row r="84" spans="3:7">
      <c r="C84" s="10" t="s">
        <v>680</v>
      </c>
      <c r="D84" s="18" t="s">
        <v>92</v>
      </c>
      <c r="E84" s="11" t="s">
        <v>91</v>
      </c>
    </row>
    <row r="85" spans="3:7">
      <c r="C85" s="10" t="s">
        <v>681</v>
      </c>
      <c r="D85" s="18" t="s">
        <v>92</v>
      </c>
      <c r="E85" s="11" t="s">
        <v>91</v>
      </c>
    </row>
    <row r="86" spans="3:7">
      <c r="C86" s="10" t="s">
        <v>682</v>
      </c>
      <c r="D86" s="18" t="s">
        <v>92</v>
      </c>
      <c r="E86" s="11" t="s">
        <v>91</v>
      </c>
    </row>
    <row r="87" spans="3:7">
      <c r="C87" s="10" t="s">
        <v>683</v>
      </c>
      <c r="D87" s="18" t="s">
        <v>92</v>
      </c>
      <c r="E87" s="11" t="s">
        <v>91</v>
      </c>
    </row>
    <row r="88" spans="3:7">
      <c r="C88" s="10" t="s">
        <v>684</v>
      </c>
      <c r="D88" s="18" t="s">
        <v>92</v>
      </c>
      <c r="E88" s="11" t="s">
        <v>91</v>
      </c>
    </row>
    <row r="89" spans="3:7">
      <c r="C89" s="10" t="s">
        <v>685</v>
      </c>
      <c r="D89" s="18" t="s">
        <v>92</v>
      </c>
      <c r="E89" s="11" t="s">
        <v>91</v>
      </c>
    </row>
    <row r="90" spans="3:7">
      <c r="C90" s="10" t="s">
        <v>686</v>
      </c>
      <c r="D90" s="18" t="s">
        <v>92</v>
      </c>
      <c r="E90" s="11" t="s">
        <v>91</v>
      </c>
    </row>
    <row r="91" spans="3:7">
      <c r="C91" s="10" t="s">
        <v>687</v>
      </c>
      <c r="D91" s="18" t="s">
        <v>92</v>
      </c>
      <c r="E91" s="11" t="s">
        <v>91</v>
      </c>
    </row>
    <row r="92" spans="3:7">
      <c r="C92" s="10" t="s">
        <v>688</v>
      </c>
      <c r="D92" s="18" t="s">
        <v>92</v>
      </c>
      <c r="E92" s="11" t="s">
        <v>91</v>
      </c>
    </row>
    <row r="93" spans="3:7">
      <c r="C93" s="12" t="s">
        <v>0</v>
      </c>
      <c r="D93" s="12" t="s">
        <v>11</v>
      </c>
      <c r="E93" s="11" t="s">
        <v>16</v>
      </c>
      <c r="F93" s="13" t="s">
        <v>20</v>
      </c>
      <c r="G93" s="12" t="s">
        <v>30</v>
      </c>
    </row>
    <row r="94" spans="3:7">
      <c r="C94" s="12" t="s">
        <v>1</v>
      </c>
      <c r="D94" s="12" t="s">
        <v>37</v>
      </c>
      <c r="E94" s="11"/>
      <c r="F94" s="13"/>
      <c r="G94" s="12" t="s">
        <v>31</v>
      </c>
    </row>
    <row r="95" spans="3:7">
      <c r="C95" s="12" t="s">
        <v>19</v>
      </c>
      <c r="D95" s="12" t="s">
        <v>11</v>
      </c>
      <c r="E95" s="11" t="s">
        <v>16</v>
      </c>
      <c r="F95" s="13" t="s">
        <v>20</v>
      </c>
      <c r="G95" s="12" t="s">
        <v>32</v>
      </c>
    </row>
    <row r="96" spans="3:7">
      <c r="C96" s="12" t="s">
        <v>2</v>
      </c>
      <c r="D96" s="12" t="s">
        <v>37</v>
      </c>
      <c r="E96" s="11"/>
      <c r="F96" s="13"/>
      <c r="G96" s="12" t="s">
        <v>33</v>
      </c>
    </row>
  </sheetData>
  <phoneticPr fontId="3" type="noConversion"/>
  <hyperlinks>
    <hyperlink ref="A1" location="目錄!A1" display="回到目錄"/>
  </hyperlinks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7"/>
  <dimension ref="A1:CR5"/>
  <sheetViews>
    <sheetView workbookViewId="0"/>
  </sheetViews>
  <sheetFormatPr defaultRowHeight="13.8"/>
  <cols>
    <col min="1" max="1" width="7.453125" style="1" bestFit="1" customWidth="1"/>
    <col min="2" max="2" width="8.54296875" style="1" bestFit="1" customWidth="1"/>
    <col min="3" max="3" width="7.90625" style="1" bestFit="1" customWidth="1"/>
    <col min="4" max="4" width="8.08984375" style="1" bestFit="1" customWidth="1"/>
    <col min="5" max="5" width="3.90625" style="1" bestFit="1" customWidth="1"/>
    <col min="6" max="6" width="12.08984375" style="1" bestFit="1" customWidth="1"/>
    <col min="7" max="7" width="4.90625" style="1" bestFit="1" customWidth="1"/>
    <col min="8" max="16" width="4.6328125" style="1" bestFit="1" customWidth="1"/>
    <col min="17" max="92" width="5.54296875" style="1" bestFit="1" customWidth="1"/>
    <col min="93" max="93" width="10" style="1" bestFit="1" customWidth="1"/>
    <col min="94" max="94" width="7" style="1" bestFit="1" customWidth="1"/>
    <col min="95" max="95" width="10.36328125" style="1" bestFit="1" customWidth="1"/>
    <col min="96" max="96" width="7.81640625" style="1" bestFit="1" customWidth="1"/>
    <col min="97" max="16384" width="8.7265625" style="1"/>
  </cols>
  <sheetData>
    <row r="1" spans="1:96">
      <c r="A1" s="63" t="s">
        <v>36</v>
      </c>
      <c r="B1" s="80" t="s">
        <v>171</v>
      </c>
      <c r="C1" s="80" t="s">
        <v>3728</v>
      </c>
      <c r="D1" s="80" t="s">
        <v>528</v>
      </c>
      <c r="E1" s="80" t="s">
        <v>3014</v>
      </c>
      <c r="F1" s="80" t="s">
        <v>3197</v>
      </c>
      <c r="G1" s="80" t="s">
        <v>3058</v>
      </c>
      <c r="H1" s="80" t="s">
        <v>3059</v>
      </c>
      <c r="I1" s="80" t="s">
        <v>605</v>
      </c>
      <c r="J1" s="80" t="s">
        <v>606</v>
      </c>
      <c r="K1" s="80" t="s">
        <v>607</v>
      </c>
      <c r="L1" s="80" t="s">
        <v>608</v>
      </c>
      <c r="M1" s="80" t="s">
        <v>609</v>
      </c>
      <c r="N1" s="80" t="s">
        <v>610</v>
      </c>
      <c r="O1" s="80" t="s">
        <v>611</v>
      </c>
      <c r="P1" s="80" t="s">
        <v>612</v>
      </c>
      <c r="Q1" s="80" t="s">
        <v>613</v>
      </c>
      <c r="R1" s="80" t="s">
        <v>614</v>
      </c>
      <c r="S1" s="80" t="s">
        <v>615</v>
      </c>
      <c r="T1" s="80" t="s">
        <v>616</v>
      </c>
      <c r="U1" s="80" t="s">
        <v>617</v>
      </c>
      <c r="V1" s="80" t="s">
        <v>618</v>
      </c>
      <c r="W1" s="80" t="s">
        <v>619</v>
      </c>
      <c r="X1" s="80" t="s">
        <v>620</v>
      </c>
      <c r="Y1" s="80" t="s">
        <v>621</v>
      </c>
      <c r="Z1" s="80" t="s">
        <v>622</v>
      </c>
      <c r="AA1" s="80" t="s">
        <v>623</v>
      </c>
      <c r="AB1" s="80" t="s">
        <v>624</v>
      </c>
      <c r="AC1" s="80" t="s">
        <v>625</v>
      </c>
      <c r="AD1" s="80" t="s">
        <v>626</v>
      </c>
      <c r="AE1" s="80" t="s">
        <v>627</v>
      </c>
      <c r="AF1" s="80" t="s">
        <v>628</v>
      </c>
      <c r="AG1" s="80" t="s">
        <v>629</v>
      </c>
      <c r="AH1" s="80" t="s">
        <v>630</v>
      </c>
      <c r="AI1" s="80" t="s">
        <v>631</v>
      </c>
      <c r="AJ1" s="80" t="s">
        <v>632</v>
      </c>
      <c r="AK1" s="80" t="s">
        <v>633</v>
      </c>
      <c r="AL1" s="80" t="s">
        <v>634</v>
      </c>
      <c r="AM1" s="80" t="s">
        <v>635</v>
      </c>
      <c r="AN1" s="80" t="s">
        <v>636</v>
      </c>
      <c r="AO1" s="80" t="s">
        <v>637</v>
      </c>
      <c r="AP1" s="80" t="s">
        <v>638</v>
      </c>
      <c r="AQ1" s="80" t="s">
        <v>639</v>
      </c>
      <c r="AR1" s="80" t="s">
        <v>640</v>
      </c>
      <c r="AS1" s="80" t="s">
        <v>641</v>
      </c>
      <c r="AT1" s="80" t="s">
        <v>642</v>
      </c>
      <c r="AU1" s="80" t="s">
        <v>643</v>
      </c>
      <c r="AV1" s="80" t="s">
        <v>644</v>
      </c>
      <c r="AW1" s="80" t="s">
        <v>645</v>
      </c>
      <c r="AX1" s="80" t="s">
        <v>646</v>
      </c>
      <c r="AY1" s="80" t="s">
        <v>647</v>
      </c>
      <c r="AZ1" s="80" t="s">
        <v>648</v>
      </c>
      <c r="BA1" s="80" t="s">
        <v>649</v>
      </c>
      <c r="BB1" s="80" t="s">
        <v>650</v>
      </c>
      <c r="BC1" s="80" t="s">
        <v>651</v>
      </c>
      <c r="BD1" s="80" t="s">
        <v>652</v>
      </c>
      <c r="BE1" s="80" t="s">
        <v>653</v>
      </c>
      <c r="BF1" s="80" t="s">
        <v>654</v>
      </c>
      <c r="BG1" s="80" t="s">
        <v>655</v>
      </c>
      <c r="BH1" s="80" t="s">
        <v>656</v>
      </c>
      <c r="BI1" s="80" t="s">
        <v>657</v>
      </c>
      <c r="BJ1" s="80" t="s">
        <v>658</v>
      </c>
      <c r="BK1" s="80" t="s">
        <v>659</v>
      </c>
      <c r="BL1" s="80" t="s">
        <v>660</v>
      </c>
      <c r="BM1" s="80" t="s">
        <v>661</v>
      </c>
      <c r="BN1" s="80" t="s">
        <v>662</v>
      </c>
      <c r="BO1" s="80" t="s">
        <v>663</v>
      </c>
      <c r="BP1" s="80" t="s">
        <v>664</v>
      </c>
      <c r="BQ1" s="80" t="s">
        <v>665</v>
      </c>
      <c r="BR1" s="80" t="s">
        <v>666</v>
      </c>
      <c r="BS1" s="80" t="s">
        <v>667</v>
      </c>
      <c r="BT1" s="80" t="s">
        <v>668</v>
      </c>
      <c r="BU1" s="80" t="s">
        <v>669</v>
      </c>
      <c r="BV1" s="80" t="s">
        <v>670</v>
      </c>
      <c r="BW1" s="80" t="s">
        <v>671</v>
      </c>
      <c r="BX1" s="80" t="s">
        <v>672</v>
      </c>
      <c r="BY1" s="80" t="s">
        <v>673</v>
      </c>
      <c r="BZ1" s="80" t="s">
        <v>674</v>
      </c>
      <c r="CA1" s="80" t="s">
        <v>675</v>
      </c>
      <c r="CB1" s="80" t="s">
        <v>676</v>
      </c>
      <c r="CC1" s="80" t="s">
        <v>677</v>
      </c>
      <c r="CD1" s="80" t="s">
        <v>678</v>
      </c>
      <c r="CE1" s="80" t="s">
        <v>679</v>
      </c>
      <c r="CF1" s="80" t="s">
        <v>680</v>
      </c>
      <c r="CG1" s="80" t="s">
        <v>681</v>
      </c>
      <c r="CH1" s="80" t="s">
        <v>682</v>
      </c>
      <c r="CI1" s="80" t="s">
        <v>683</v>
      </c>
      <c r="CJ1" s="80" t="s">
        <v>684</v>
      </c>
      <c r="CK1" s="80" t="s">
        <v>685</v>
      </c>
      <c r="CL1" s="80" t="s">
        <v>686</v>
      </c>
      <c r="CM1" s="80" t="s">
        <v>687</v>
      </c>
      <c r="CN1" s="80" t="s">
        <v>688</v>
      </c>
      <c r="CO1" s="80" t="s">
        <v>0</v>
      </c>
      <c r="CP1" s="80" t="s">
        <v>1</v>
      </c>
      <c r="CQ1" s="80" t="s">
        <v>19</v>
      </c>
      <c r="CR1" s="80" t="s">
        <v>2</v>
      </c>
    </row>
    <row r="2" spans="1:96">
      <c r="B2" s="1" t="s">
        <v>3215</v>
      </c>
      <c r="C2" s="1" t="s">
        <v>154</v>
      </c>
      <c r="D2" s="1">
        <v>8</v>
      </c>
      <c r="E2" s="1" t="s">
        <v>3216</v>
      </c>
      <c r="F2" s="1" t="s">
        <v>3217</v>
      </c>
      <c r="G2" s="1">
        <v>1200</v>
      </c>
      <c r="H2" s="1">
        <v>1200</v>
      </c>
      <c r="I2" s="1">
        <v>1200</v>
      </c>
      <c r="J2" s="1">
        <v>1200</v>
      </c>
      <c r="K2" s="1">
        <v>1200</v>
      </c>
      <c r="L2" s="1">
        <v>1200</v>
      </c>
      <c r="M2" s="1">
        <v>1200</v>
      </c>
      <c r="N2" s="1">
        <v>1200</v>
      </c>
      <c r="O2" s="1">
        <v>1200</v>
      </c>
      <c r="P2" s="1">
        <v>1200</v>
      </c>
      <c r="Q2" s="1">
        <v>1200</v>
      </c>
      <c r="R2" s="1">
        <v>1200</v>
      </c>
      <c r="S2" s="1">
        <v>1200</v>
      </c>
      <c r="T2" s="1">
        <v>1200</v>
      </c>
      <c r="U2" s="1">
        <v>1200</v>
      </c>
      <c r="V2" s="1">
        <v>1200</v>
      </c>
      <c r="W2" s="1">
        <v>1200</v>
      </c>
      <c r="X2" s="1">
        <v>1200</v>
      </c>
      <c r="Y2" s="1">
        <v>1200</v>
      </c>
      <c r="Z2" s="1">
        <v>1200</v>
      </c>
      <c r="AA2" s="1">
        <v>1200</v>
      </c>
      <c r="AB2" s="1">
        <v>1200</v>
      </c>
      <c r="AC2" s="1">
        <v>1200</v>
      </c>
      <c r="AD2" s="1">
        <v>1200</v>
      </c>
      <c r="AE2" s="1">
        <v>1200</v>
      </c>
      <c r="AF2" s="1">
        <v>1200</v>
      </c>
      <c r="AG2" s="1">
        <v>1200</v>
      </c>
      <c r="AH2" s="1">
        <v>1200</v>
      </c>
      <c r="AI2" s="1">
        <v>1200</v>
      </c>
      <c r="AJ2" s="1">
        <v>1200</v>
      </c>
      <c r="AK2" s="1">
        <v>1200</v>
      </c>
      <c r="AL2" s="1">
        <v>1200</v>
      </c>
      <c r="AM2" s="1">
        <v>1200</v>
      </c>
      <c r="AN2" s="1">
        <v>1200</v>
      </c>
      <c r="AO2" s="1">
        <v>1200</v>
      </c>
      <c r="AP2" s="1">
        <v>1200</v>
      </c>
      <c r="AQ2" s="1">
        <v>1200</v>
      </c>
      <c r="AR2" s="1">
        <v>1200</v>
      </c>
      <c r="AS2" s="1">
        <v>1200</v>
      </c>
      <c r="AT2" s="1">
        <v>1200</v>
      </c>
      <c r="AU2" s="1">
        <v>1200</v>
      </c>
      <c r="AV2" s="1">
        <v>1200</v>
      </c>
      <c r="AW2" s="1">
        <v>1200</v>
      </c>
      <c r="AX2" s="1">
        <v>1200</v>
      </c>
      <c r="AY2" s="1">
        <v>1200</v>
      </c>
      <c r="AZ2" s="1">
        <v>1200</v>
      </c>
      <c r="BA2" s="1">
        <v>1200</v>
      </c>
      <c r="BB2" s="1">
        <v>1200</v>
      </c>
      <c r="BC2" s="1">
        <v>1200</v>
      </c>
      <c r="BD2" s="1">
        <v>1200</v>
      </c>
      <c r="BE2" s="1">
        <v>1200</v>
      </c>
      <c r="BF2" s="1">
        <v>1200</v>
      </c>
      <c r="BG2" s="1">
        <v>1200</v>
      </c>
      <c r="BH2" s="1">
        <v>1200</v>
      </c>
      <c r="BI2" s="1">
        <v>1200</v>
      </c>
      <c r="BJ2" s="1">
        <v>1200</v>
      </c>
      <c r="BK2" s="1">
        <v>1200</v>
      </c>
      <c r="BL2" s="1">
        <v>1200</v>
      </c>
      <c r="BM2" s="1">
        <v>1200</v>
      </c>
      <c r="BN2" s="1">
        <v>1200</v>
      </c>
      <c r="BO2" s="1">
        <v>1200</v>
      </c>
      <c r="BP2" s="1">
        <v>1200</v>
      </c>
      <c r="BQ2" s="1">
        <v>1200</v>
      </c>
      <c r="BR2" s="1">
        <v>1200</v>
      </c>
      <c r="BS2" s="1">
        <v>1200</v>
      </c>
      <c r="BT2" s="1">
        <v>1200</v>
      </c>
      <c r="BU2" s="1">
        <v>1200</v>
      </c>
      <c r="BV2" s="1">
        <v>1200</v>
      </c>
      <c r="BW2" s="1">
        <v>1200</v>
      </c>
      <c r="BX2" s="1">
        <v>1200</v>
      </c>
      <c r="BY2" s="1">
        <v>1200</v>
      </c>
      <c r="BZ2" s="1">
        <v>1200</v>
      </c>
      <c r="CA2" s="1">
        <v>1200</v>
      </c>
      <c r="CB2" s="1">
        <v>1200</v>
      </c>
      <c r="CC2" s="1">
        <v>1200</v>
      </c>
      <c r="CD2" s="1">
        <v>1200</v>
      </c>
      <c r="CE2" s="1">
        <v>1200</v>
      </c>
      <c r="CF2" s="1">
        <v>1200</v>
      </c>
      <c r="CG2" s="1" t="s">
        <v>546</v>
      </c>
      <c r="CH2" s="1" t="s">
        <v>546</v>
      </c>
      <c r="CI2" s="1" t="s">
        <v>546</v>
      </c>
      <c r="CJ2" s="1" t="s">
        <v>546</v>
      </c>
      <c r="CK2" s="1" t="s">
        <v>546</v>
      </c>
      <c r="CL2" s="1" t="s">
        <v>546</v>
      </c>
      <c r="CM2" s="1" t="s">
        <v>546</v>
      </c>
      <c r="CN2" s="1" t="s">
        <v>546</v>
      </c>
      <c r="CP2" s="1" t="s">
        <v>523</v>
      </c>
      <c r="CR2" s="1" t="s">
        <v>523</v>
      </c>
    </row>
    <row r="3" spans="1:96">
      <c r="B3" s="1" t="s">
        <v>3215</v>
      </c>
      <c r="C3" s="1" t="s">
        <v>154</v>
      </c>
      <c r="D3" s="1">
        <v>10</v>
      </c>
      <c r="E3" s="1" t="s">
        <v>3216</v>
      </c>
      <c r="F3" s="1" t="s">
        <v>3217</v>
      </c>
      <c r="G3" s="1">
        <v>1200</v>
      </c>
      <c r="H3" s="1">
        <v>1200</v>
      </c>
      <c r="I3" s="1">
        <v>1200</v>
      </c>
      <c r="J3" s="1">
        <v>1200</v>
      </c>
      <c r="K3" s="1">
        <v>1200</v>
      </c>
      <c r="L3" s="1">
        <v>1200</v>
      </c>
      <c r="M3" s="1">
        <v>1200</v>
      </c>
      <c r="N3" s="1">
        <v>1200</v>
      </c>
      <c r="O3" s="1">
        <v>1200</v>
      </c>
      <c r="P3" s="1">
        <v>1200</v>
      </c>
      <c r="Q3" s="1">
        <v>1200</v>
      </c>
      <c r="R3" s="1">
        <v>1200</v>
      </c>
      <c r="S3" s="1">
        <v>1200</v>
      </c>
      <c r="T3" s="1">
        <v>1200</v>
      </c>
      <c r="U3" s="1">
        <v>1200</v>
      </c>
      <c r="V3" s="1">
        <v>1200</v>
      </c>
      <c r="W3" s="1">
        <v>1200</v>
      </c>
      <c r="X3" s="1">
        <v>1200</v>
      </c>
      <c r="Y3" s="1">
        <v>1200</v>
      </c>
      <c r="Z3" s="1">
        <v>1200</v>
      </c>
      <c r="AA3" s="1">
        <v>1200</v>
      </c>
      <c r="AB3" s="1">
        <v>1200</v>
      </c>
      <c r="AC3" s="1">
        <v>1200</v>
      </c>
      <c r="AD3" s="1">
        <v>1200</v>
      </c>
      <c r="AE3" s="1">
        <v>1200</v>
      </c>
      <c r="AF3" s="1">
        <v>1200</v>
      </c>
      <c r="AG3" s="1">
        <v>1200</v>
      </c>
      <c r="AH3" s="1">
        <v>1200</v>
      </c>
      <c r="AI3" s="1">
        <v>1200</v>
      </c>
      <c r="AJ3" s="1">
        <v>1200</v>
      </c>
      <c r="AK3" s="1">
        <v>1200</v>
      </c>
      <c r="AL3" s="1">
        <v>1200</v>
      </c>
      <c r="AM3" s="1">
        <v>1200</v>
      </c>
      <c r="AN3" s="1">
        <v>1200</v>
      </c>
      <c r="AO3" s="1">
        <v>1200</v>
      </c>
      <c r="AP3" s="1">
        <v>1200</v>
      </c>
      <c r="AQ3" s="1">
        <v>1200</v>
      </c>
      <c r="AR3" s="1">
        <v>1200</v>
      </c>
      <c r="AS3" s="1">
        <v>1200</v>
      </c>
      <c r="AT3" s="1">
        <v>1200</v>
      </c>
      <c r="AU3" s="1">
        <v>1200</v>
      </c>
      <c r="AV3" s="1">
        <v>1200</v>
      </c>
      <c r="AW3" s="1">
        <v>1200</v>
      </c>
      <c r="AX3" s="1">
        <v>1200</v>
      </c>
      <c r="AY3" s="1">
        <v>1200</v>
      </c>
      <c r="AZ3" s="1">
        <v>1200</v>
      </c>
      <c r="BA3" s="1">
        <v>1200</v>
      </c>
      <c r="BB3" s="1">
        <v>1200</v>
      </c>
      <c r="BC3" s="1">
        <v>1200</v>
      </c>
      <c r="BD3" s="1">
        <v>1200</v>
      </c>
      <c r="BE3" s="1">
        <v>1200</v>
      </c>
      <c r="BF3" s="1">
        <v>1200</v>
      </c>
      <c r="BG3" s="1">
        <v>1200</v>
      </c>
      <c r="BH3" s="1">
        <v>1200</v>
      </c>
      <c r="BI3" s="1">
        <v>1200</v>
      </c>
      <c r="BJ3" s="1">
        <v>1200</v>
      </c>
      <c r="BK3" s="1">
        <v>1200</v>
      </c>
      <c r="BL3" s="1">
        <v>1200</v>
      </c>
      <c r="BM3" s="1">
        <v>1200</v>
      </c>
      <c r="BN3" s="1">
        <v>1200</v>
      </c>
      <c r="BO3" s="1">
        <v>1200</v>
      </c>
      <c r="BP3" s="1">
        <v>1200</v>
      </c>
      <c r="BQ3" s="1">
        <v>1200</v>
      </c>
      <c r="BR3" s="1">
        <v>1200</v>
      </c>
      <c r="BS3" s="1">
        <v>1200</v>
      </c>
      <c r="BT3" s="1">
        <v>1200</v>
      </c>
      <c r="BU3" s="1">
        <v>1200</v>
      </c>
      <c r="BV3" s="1">
        <v>1200</v>
      </c>
      <c r="BW3" s="1">
        <v>1200</v>
      </c>
      <c r="BX3" s="1">
        <v>1200</v>
      </c>
      <c r="BY3" s="1">
        <v>1200</v>
      </c>
      <c r="BZ3" s="1" t="s">
        <v>546</v>
      </c>
      <c r="CA3" s="1" t="s">
        <v>546</v>
      </c>
      <c r="CB3" s="1" t="s">
        <v>546</v>
      </c>
      <c r="CC3" s="1" t="s">
        <v>546</v>
      </c>
      <c r="CD3" s="1" t="s">
        <v>546</v>
      </c>
      <c r="CE3" s="1" t="s">
        <v>546</v>
      </c>
      <c r="CF3" s="1" t="s">
        <v>546</v>
      </c>
      <c r="CG3" s="1" t="s">
        <v>546</v>
      </c>
      <c r="CH3" s="1" t="s">
        <v>546</v>
      </c>
      <c r="CI3" s="1" t="s">
        <v>546</v>
      </c>
      <c r="CJ3" s="1" t="s">
        <v>546</v>
      </c>
      <c r="CK3" s="1" t="s">
        <v>546</v>
      </c>
      <c r="CL3" s="1" t="s">
        <v>546</v>
      </c>
      <c r="CM3" s="1" t="s">
        <v>546</v>
      </c>
      <c r="CN3" s="1" t="s">
        <v>546</v>
      </c>
      <c r="CP3" s="1" t="s">
        <v>523</v>
      </c>
      <c r="CR3" s="1" t="s">
        <v>523</v>
      </c>
    </row>
    <row r="4" spans="1:96">
      <c r="B4" s="1" t="s">
        <v>3215</v>
      </c>
      <c r="C4" s="1" t="s">
        <v>154</v>
      </c>
      <c r="D4" s="1">
        <v>12</v>
      </c>
      <c r="E4" s="1" t="s">
        <v>3216</v>
      </c>
      <c r="F4" s="1" t="s">
        <v>3217</v>
      </c>
      <c r="G4" s="1">
        <v>1200</v>
      </c>
      <c r="H4" s="1">
        <v>1200</v>
      </c>
      <c r="I4" s="1">
        <v>1200</v>
      </c>
      <c r="J4" s="1">
        <v>1200</v>
      </c>
      <c r="K4" s="1">
        <v>1200</v>
      </c>
      <c r="L4" s="1">
        <v>1200</v>
      </c>
      <c r="M4" s="1">
        <v>1200</v>
      </c>
      <c r="N4" s="1">
        <v>1200</v>
      </c>
      <c r="O4" s="1">
        <v>1200</v>
      </c>
      <c r="P4" s="1">
        <v>1200</v>
      </c>
      <c r="Q4" s="1">
        <v>1200</v>
      </c>
      <c r="R4" s="1">
        <v>1200</v>
      </c>
      <c r="S4" s="1">
        <v>1200</v>
      </c>
      <c r="T4" s="1">
        <v>1200</v>
      </c>
      <c r="U4" s="1">
        <v>1200</v>
      </c>
      <c r="V4" s="1">
        <v>1200</v>
      </c>
      <c r="W4" s="1">
        <v>1200</v>
      </c>
      <c r="X4" s="1">
        <v>1200</v>
      </c>
      <c r="Y4" s="1">
        <v>1200</v>
      </c>
      <c r="Z4" s="1">
        <v>1200</v>
      </c>
      <c r="AA4" s="1">
        <v>1200</v>
      </c>
      <c r="AB4" s="1">
        <v>1200</v>
      </c>
      <c r="AC4" s="1">
        <v>1200</v>
      </c>
      <c r="AD4" s="1">
        <v>1200</v>
      </c>
      <c r="AE4" s="1">
        <v>1200</v>
      </c>
      <c r="AF4" s="1">
        <v>1200</v>
      </c>
      <c r="AG4" s="1">
        <v>1200</v>
      </c>
      <c r="AH4" s="1">
        <v>1200</v>
      </c>
      <c r="AI4" s="1">
        <v>1200</v>
      </c>
      <c r="AJ4" s="1">
        <v>1200</v>
      </c>
      <c r="AK4" s="1">
        <v>1200</v>
      </c>
      <c r="AL4" s="1">
        <v>1200</v>
      </c>
      <c r="AM4" s="1">
        <v>1200</v>
      </c>
      <c r="AN4" s="1">
        <v>1200</v>
      </c>
      <c r="AO4" s="1">
        <v>1200</v>
      </c>
      <c r="AP4" s="1">
        <v>1200</v>
      </c>
      <c r="AQ4" s="1">
        <v>1200</v>
      </c>
      <c r="AR4" s="1">
        <v>1200</v>
      </c>
      <c r="AS4" s="1">
        <v>1200</v>
      </c>
      <c r="AT4" s="1">
        <v>1200</v>
      </c>
      <c r="AU4" s="1">
        <v>1200</v>
      </c>
      <c r="AV4" s="1">
        <v>1200</v>
      </c>
      <c r="AW4" s="1">
        <v>1200</v>
      </c>
      <c r="AX4" s="1">
        <v>1200</v>
      </c>
      <c r="AY4" s="1">
        <v>1200</v>
      </c>
      <c r="AZ4" s="1">
        <v>1200</v>
      </c>
      <c r="BA4" s="1">
        <v>1200</v>
      </c>
      <c r="BB4" s="1">
        <v>1200</v>
      </c>
      <c r="BC4" s="1">
        <v>1200</v>
      </c>
      <c r="BD4" s="1">
        <v>1200</v>
      </c>
      <c r="BE4" s="1">
        <v>1200</v>
      </c>
      <c r="BF4" s="1">
        <v>1200</v>
      </c>
      <c r="BG4" s="1">
        <v>1200</v>
      </c>
      <c r="BH4" s="1">
        <v>1200</v>
      </c>
      <c r="BI4" s="1">
        <v>1200</v>
      </c>
      <c r="BJ4" s="1">
        <v>1200</v>
      </c>
      <c r="BK4" s="1">
        <v>1200</v>
      </c>
      <c r="BL4" s="1">
        <v>1200</v>
      </c>
      <c r="BM4" s="1">
        <v>1200</v>
      </c>
      <c r="BN4" s="1">
        <v>1200</v>
      </c>
      <c r="BO4" s="1">
        <v>1200</v>
      </c>
      <c r="BP4" s="1">
        <v>1200</v>
      </c>
      <c r="BQ4" s="1">
        <v>1200</v>
      </c>
      <c r="BR4" s="1">
        <v>1200</v>
      </c>
      <c r="BS4" s="1">
        <v>1200</v>
      </c>
      <c r="BT4" s="1">
        <v>1200</v>
      </c>
      <c r="BU4" s="1">
        <v>1200</v>
      </c>
      <c r="BV4" s="1">
        <v>1200</v>
      </c>
      <c r="BW4" s="1">
        <v>1200</v>
      </c>
      <c r="BX4" s="1">
        <v>1200</v>
      </c>
      <c r="BY4" s="1">
        <v>1200</v>
      </c>
      <c r="BZ4" s="1" t="s">
        <v>546</v>
      </c>
      <c r="CA4" s="1" t="s">
        <v>546</v>
      </c>
      <c r="CB4" s="1" t="s">
        <v>546</v>
      </c>
      <c r="CC4" s="1" t="s">
        <v>546</v>
      </c>
      <c r="CD4" s="1" t="s">
        <v>546</v>
      </c>
      <c r="CE4" s="1" t="s">
        <v>546</v>
      </c>
      <c r="CF4" s="1" t="s">
        <v>546</v>
      </c>
      <c r="CG4" s="1" t="s">
        <v>546</v>
      </c>
      <c r="CH4" s="1" t="s">
        <v>546</v>
      </c>
      <c r="CI4" s="1" t="s">
        <v>546</v>
      </c>
      <c r="CJ4" s="1" t="s">
        <v>546</v>
      </c>
      <c r="CK4" s="1" t="s">
        <v>546</v>
      </c>
      <c r="CL4" s="1" t="s">
        <v>546</v>
      </c>
      <c r="CM4" s="1" t="s">
        <v>546</v>
      </c>
      <c r="CN4" s="1" t="s">
        <v>546</v>
      </c>
      <c r="CP4" s="1" t="s">
        <v>523</v>
      </c>
      <c r="CR4" s="1" t="s">
        <v>523</v>
      </c>
    </row>
    <row r="5" spans="1:96">
      <c r="B5" s="1" t="s">
        <v>3215</v>
      </c>
      <c r="C5" s="1" t="s">
        <v>154</v>
      </c>
      <c r="D5" s="1">
        <v>20</v>
      </c>
      <c r="E5" s="1" t="s">
        <v>3216</v>
      </c>
      <c r="F5" s="1" t="s">
        <v>3217</v>
      </c>
      <c r="G5" s="1">
        <v>1000</v>
      </c>
      <c r="H5" s="1">
        <v>1000</v>
      </c>
      <c r="I5" s="1">
        <v>1000</v>
      </c>
      <c r="J5" s="1">
        <v>1000</v>
      </c>
      <c r="K5" s="1">
        <v>1000</v>
      </c>
      <c r="L5" s="1">
        <v>1000</v>
      </c>
      <c r="M5" s="1">
        <v>1000</v>
      </c>
      <c r="N5" s="1">
        <v>1000</v>
      </c>
      <c r="O5" s="1">
        <v>1000</v>
      </c>
      <c r="P5" s="1">
        <v>1000</v>
      </c>
      <c r="Q5" s="1">
        <v>1000</v>
      </c>
      <c r="R5" s="1">
        <v>1000</v>
      </c>
      <c r="S5" s="1">
        <v>1000</v>
      </c>
      <c r="T5" s="1">
        <v>1000</v>
      </c>
      <c r="U5" s="1">
        <v>1000</v>
      </c>
      <c r="V5" s="1">
        <v>1000</v>
      </c>
      <c r="W5" s="1">
        <v>1000</v>
      </c>
      <c r="X5" s="1">
        <v>1000</v>
      </c>
      <c r="Y5" s="1">
        <v>1000</v>
      </c>
      <c r="Z5" s="1">
        <v>1000</v>
      </c>
      <c r="AA5" s="1">
        <v>1000</v>
      </c>
      <c r="AB5" s="1">
        <v>1000</v>
      </c>
      <c r="AC5" s="1">
        <v>1000</v>
      </c>
      <c r="AD5" s="1">
        <v>1000</v>
      </c>
      <c r="AE5" s="1">
        <v>1000</v>
      </c>
      <c r="AF5" s="1">
        <v>1000</v>
      </c>
      <c r="AG5" s="1">
        <v>1000</v>
      </c>
      <c r="AH5" s="1">
        <v>1000</v>
      </c>
      <c r="AI5" s="1">
        <v>1000</v>
      </c>
      <c r="AJ5" s="1">
        <v>1000</v>
      </c>
      <c r="AK5" s="1">
        <v>1000</v>
      </c>
      <c r="AL5" s="1">
        <v>1000</v>
      </c>
      <c r="AM5" s="1">
        <v>1000</v>
      </c>
      <c r="AN5" s="1">
        <v>1000</v>
      </c>
      <c r="AO5" s="1">
        <v>1000</v>
      </c>
      <c r="AP5" s="1">
        <v>1000</v>
      </c>
      <c r="AQ5" s="1">
        <v>1000</v>
      </c>
      <c r="AR5" s="1">
        <v>1000</v>
      </c>
      <c r="AS5" s="1">
        <v>1000</v>
      </c>
      <c r="AT5" s="1">
        <v>1000</v>
      </c>
      <c r="AU5" s="1">
        <v>1000</v>
      </c>
      <c r="AV5" s="1">
        <v>1000</v>
      </c>
      <c r="AW5" s="1">
        <v>1000</v>
      </c>
      <c r="AX5" s="1">
        <v>1000</v>
      </c>
      <c r="AY5" s="1">
        <v>1000</v>
      </c>
      <c r="AZ5" s="1">
        <v>1000</v>
      </c>
      <c r="BA5" s="1">
        <v>1000</v>
      </c>
      <c r="BB5" s="1">
        <v>1000</v>
      </c>
      <c r="BC5" s="1">
        <v>1000</v>
      </c>
      <c r="BD5" s="1">
        <v>1000</v>
      </c>
      <c r="BE5" s="1">
        <v>1000</v>
      </c>
      <c r="BF5" s="1">
        <v>1000</v>
      </c>
      <c r="BG5" s="1">
        <v>1000</v>
      </c>
      <c r="BH5" s="1">
        <v>1000</v>
      </c>
      <c r="BI5" s="1">
        <v>1000</v>
      </c>
      <c r="BJ5" s="1">
        <v>1000</v>
      </c>
      <c r="BK5" s="1">
        <v>1000</v>
      </c>
      <c r="BL5" s="1">
        <v>1000</v>
      </c>
      <c r="BM5" s="1">
        <v>1000</v>
      </c>
      <c r="BN5" s="1">
        <v>1000</v>
      </c>
      <c r="BO5" s="1">
        <v>1000</v>
      </c>
      <c r="BP5" s="1">
        <v>1000</v>
      </c>
      <c r="BQ5" s="1">
        <v>1000</v>
      </c>
      <c r="BR5" s="1">
        <v>1000</v>
      </c>
      <c r="BS5" s="1">
        <v>1000</v>
      </c>
      <c r="BT5" s="1">
        <v>1000</v>
      </c>
      <c r="BU5" s="1" t="s">
        <v>546</v>
      </c>
      <c r="BV5" s="1" t="s">
        <v>546</v>
      </c>
      <c r="BW5" s="1" t="s">
        <v>546</v>
      </c>
      <c r="BX5" s="1" t="s">
        <v>546</v>
      </c>
      <c r="BY5" s="1" t="s">
        <v>546</v>
      </c>
      <c r="BZ5" s="1" t="s">
        <v>546</v>
      </c>
      <c r="CA5" s="1" t="s">
        <v>546</v>
      </c>
      <c r="CB5" s="1" t="s">
        <v>546</v>
      </c>
      <c r="CC5" s="1" t="s">
        <v>546</v>
      </c>
      <c r="CD5" s="1" t="s">
        <v>546</v>
      </c>
      <c r="CE5" s="1" t="s">
        <v>546</v>
      </c>
      <c r="CF5" s="1" t="s">
        <v>546</v>
      </c>
      <c r="CG5" s="1" t="s">
        <v>546</v>
      </c>
      <c r="CH5" s="1" t="s">
        <v>546</v>
      </c>
      <c r="CI5" s="1" t="s">
        <v>546</v>
      </c>
      <c r="CJ5" s="1" t="s">
        <v>546</v>
      </c>
      <c r="CK5" s="1" t="s">
        <v>546</v>
      </c>
      <c r="CL5" s="1" t="s">
        <v>546</v>
      </c>
      <c r="CM5" s="1" t="s">
        <v>546</v>
      </c>
      <c r="CN5" s="1" t="s">
        <v>546</v>
      </c>
      <c r="CP5" s="1" t="s">
        <v>523</v>
      </c>
      <c r="CR5" s="1" t="s">
        <v>523</v>
      </c>
    </row>
  </sheetData>
  <phoneticPr fontId="3" type="noConversion"/>
  <hyperlinks>
    <hyperlink ref="A1" location="目錄!A1" display="回到目錄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"/>
  <dimension ref="A1:S94"/>
  <sheetViews>
    <sheetView workbookViewId="0">
      <pane ySplit="1" topLeftCell="A2" activePane="bottomLeft" state="frozen"/>
      <selection activeCell="B1" sqref="B1"/>
      <selection pane="bottomLeft" sqref="A1:XFD1048576"/>
    </sheetView>
  </sheetViews>
  <sheetFormatPr defaultColWidth="11.1796875" defaultRowHeight="13.8"/>
  <cols>
    <col min="1" max="1" width="7.453125" style="10" bestFit="1" customWidth="1"/>
    <col min="2" max="2" width="4.36328125" style="14" bestFit="1" customWidth="1"/>
    <col min="3" max="3" width="12.54296875" style="10" bestFit="1" customWidth="1"/>
    <col min="4" max="4" width="9.1796875" style="10" bestFit="1" customWidth="1"/>
    <col min="5" max="5" width="7.54296875" style="14" bestFit="1" customWidth="1"/>
    <col min="6" max="6" width="10" style="15" bestFit="1" customWidth="1"/>
    <col min="7" max="7" width="13.90625" style="10" bestFit="1" customWidth="1"/>
    <col min="8" max="8" width="30.7265625" style="15" bestFit="1" customWidth="1"/>
    <col min="9" max="9" width="10.08984375" style="15" bestFit="1" customWidth="1"/>
    <col min="10" max="11" width="3.26953125" style="14" bestFit="1" customWidth="1"/>
    <col min="12" max="12" width="4.26953125" style="10" bestFit="1" customWidth="1"/>
    <col min="13" max="13" width="9.81640625" style="10" customWidth="1"/>
    <col min="14" max="19" width="6.6328125" style="10" customWidth="1"/>
    <col min="20" max="23" width="14.453125" style="10" customWidth="1"/>
    <col min="24" max="16384" width="11.1796875" style="10"/>
  </cols>
  <sheetData>
    <row r="1" spans="1:19">
      <c r="A1" s="23" t="s">
        <v>36</v>
      </c>
      <c r="B1" s="5" t="s">
        <v>5</v>
      </c>
      <c r="C1" s="6" t="s">
        <v>3</v>
      </c>
      <c r="D1" s="6" t="s">
        <v>4</v>
      </c>
      <c r="E1" s="7" t="s">
        <v>6</v>
      </c>
      <c r="F1" s="9" t="s">
        <v>13</v>
      </c>
      <c r="G1" s="8" t="s">
        <v>7</v>
      </c>
      <c r="H1" s="9" t="s">
        <v>8</v>
      </c>
      <c r="I1" s="9" t="s">
        <v>467</v>
      </c>
      <c r="L1" s="72" t="s">
        <v>468</v>
      </c>
      <c r="M1" s="72" t="s">
        <v>491</v>
      </c>
      <c r="N1" s="72" t="s">
        <v>470</v>
      </c>
      <c r="O1" s="72" t="s">
        <v>471</v>
      </c>
      <c r="P1" s="72" t="s">
        <v>472</v>
      </c>
      <c r="Q1" s="72" t="s">
        <v>473</v>
      </c>
      <c r="R1" s="72" t="s">
        <v>474</v>
      </c>
      <c r="S1" s="73" t="s">
        <v>475</v>
      </c>
    </row>
    <row r="2" spans="1:19">
      <c r="B2" s="11" t="s">
        <v>14</v>
      </c>
      <c r="C2" s="13" t="s">
        <v>80</v>
      </c>
      <c r="D2" s="18" t="s">
        <v>111</v>
      </c>
      <c r="E2" s="11"/>
      <c r="F2" s="12"/>
      <c r="G2" s="12" t="s">
        <v>81</v>
      </c>
      <c r="H2" s="16"/>
      <c r="I2" s="16"/>
      <c r="L2" s="36"/>
      <c r="M2" s="34"/>
      <c r="N2" s="36" t="str">
        <f>"EXEC sp_dropextendedproperty @name = N'MS_Description', @level0type=N'SCHEMA',@level0name=N'"&amp;$L$1&amp;"', @level1type=N'TABLE',@level1name=N'"&amp;$M$1&amp;"', @level2type=N'COLUMN',@level2name=N'"&amp;$C2&amp;"'"</f>
        <v>EXEC sp_dropextendedproperty @name = N'MS_Description', @level0type=N'SCHEMA',@level0name=N'dbo', @level1type=N'TABLE',@level1name=N'LifeInsAmtLimitJobGrade', @level2type=N'COLUMN',@level2name=N'PlanCode'</v>
      </c>
      <c r="O2" s="36" t="str">
        <f>"EXEC sp_dropextendedproperty @name = N'Rule', @level0type=N'SCHEMA',@level0name=N'"&amp;$L$1&amp;"', @level1type=N'TABLE',@level1name=N'"&amp;$M$1&amp;"', @level2type=N'COLUMN',@level2name=N'"&amp;$C2&amp;"'"</f>
        <v>EXEC sp_dropextendedproperty @name = N'Rule', @level0type=N'SCHEMA',@level0name=N'dbo', @level1type=N'TABLE',@level1name=N'LifeInsAmtLimitJobGrade', @level2type=N'COLUMN',@level2name=N'PlanCode'</v>
      </c>
      <c r="P2" s="36" t="str">
        <f>"EXEC sp_dropextendedproperty @name = N'Memo', @level0type=N'SCHEMA',@level0name=N'"&amp;$L$1&amp;"', @level1type=N'TABLE',@level1name=N'"&amp;$M$1&amp;"', @level2type=N'COLUMN',@level2name=N'"&amp;$C2&amp;"'"</f>
        <v>EXEC sp_dropextendedproperty @name = N'Memo', @level0type=N'SCHEMA',@level0name=N'dbo', @level1type=N'TABLE',@level1name=N'LifeInsAmtLimitJobGrade', @level2type=N'COLUMN',@level2name=N'PlanCode'</v>
      </c>
      <c r="Q2" s="36" t="str">
        <f>"set @OldWording = N'"&amp;SUBSTITUTE($G2,CHAR(10),"")&amp;"'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@level2type=N'COLUMN',@level2name=N'"&amp;$C2&amp;"'"</f>
        <v>set @OldWording = N'險種代碼' set @NewWording = REPLACE(@OldWording,'***',char(13)+char(10)) EXEC sys.sp_addextendedproperty @name=N'MS_Description', @value=@NewWording , @level0type=N'SCHEMA',@level0name=N'dbo', @level1type=N'TABLE',@level1name=N'LifeInsAmtLimitJobGrade', @level2type=N'COLUMN',@level2name=N'PlanCode'</v>
      </c>
      <c r="R2" s="32" t="str">
        <f>"set @OldWording = N'"&amp;SUBSTITUTE($H2,CHAR(10),"")&amp;"'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@name=N'Rule', @value=@NewWording , @level0type=N'SCHEMA',@level0name=N'dbo', @level1type=N'TABLE',@level1name=N'LifeInsAmtLimitJobGrade', @level2type=N'COLUMN',@level2name=N'PlanCode'</v>
      </c>
      <c r="S2" s="36" t="str">
        <f>"set @OldWording = N'"&amp;SUBSTITUTE($I2,CHAR(10),"")&amp;"' set @NewWording = REPLACE(@OldWording,'***',char(13)+char(10)) "&amp;"EXEC sys.sp_addextendedproperty @name=N'Memo',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@name=N'Memo', @value=@NewWording , @level0type=N'SCHEMA',@level0name=N'dbo', @level1type=N'TABLE',@level1name=N'LifeInsAmtLimitJobGrade', @level2type=N'COLUMN',@level2name=N'PlanCode'</v>
      </c>
    </row>
    <row r="3" spans="1:19" ht="27.6">
      <c r="B3" s="11" t="s">
        <v>14</v>
      </c>
      <c r="C3" s="15" t="s">
        <v>3728</v>
      </c>
      <c r="D3" s="15" t="s">
        <v>21</v>
      </c>
      <c r="F3" s="10"/>
      <c r="G3" s="10" t="s">
        <v>78</v>
      </c>
      <c r="H3" s="16" t="s">
        <v>3652</v>
      </c>
      <c r="I3" s="16"/>
      <c r="L3" s="14"/>
      <c r="M3" s="14"/>
      <c r="N3" s="14"/>
      <c r="O3" s="14"/>
      <c r="P3" s="14"/>
    </row>
    <row r="4" spans="1:19">
      <c r="B4" s="11" t="s">
        <v>14</v>
      </c>
      <c r="C4" s="13" t="s">
        <v>48</v>
      </c>
      <c r="D4" s="18" t="s">
        <v>47</v>
      </c>
      <c r="E4" s="11"/>
      <c r="F4" s="12"/>
      <c r="G4" s="12" t="s">
        <v>49</v>
      </c>
      <c r="H4" s="16"/>
      <c r="I4" s="27" t="s">
        <v>278</v>
      </c>
      <c r="L4" s="14"/>
      <c r="M4" s="14"/>
      <c r="N4" s="14"/>
      <c r="O4" s="14"/>
      <c r="P4" s="14"/>
    </row>
    <row r="5" spans="1:19">
      <c r="C5" s="12" t="s">
        <v>482</v>
      </c>
      <c r="D5" s="13" t="s">
        <v>54</v>
      </c>
      <c r="E5" s="11" t="s">
        <v>16</v>
      </c>
      <c r="G5" s="10" t="s">
        <v>61</v>
      </c>
      <c r="H5" s="16" t="s">
        <v>2997</v>
      </c>
      <c r="I5" s="16"/>
    </row>
    <row r="6" spans="1:19">
      <c r="C6" s="12" t="s">
        <v>55</v>
      </c>
      <c r="D6" s="13" t="s">
        <v>54</v>
      </c>
      <c r="E6" s="11" t="s">
        <v>16</v>
      </c>
      <c r="G6" s="10" t="s">
        <v>62</v>
      </c>
    </row>
    <row r="7" spans="1:19">
      <c r="B7" s="11"/>
      <c r="C7" s="13" t="s">
        <v>56</v>
      </c>
      <c r="D7" s="13" t="s">
        <v>54</v>
      </c>
      <c r="E7" s="11" t="s">
        <v>16</v>
      </c>
      <c r="F7" s="13"/>
      <c r="G7" s="10" t="s">
        <v>63</v>
      </c>
    </row>
    <row r="8" spans="1:19">
      <c r="B8" s="11"/>
      <c r="C8" s="13" t="s">
        <v>58</v>
      </c>
      <c r="D8" s="13" t="s">
        <v>54</v>
      </c>
      <c r="E8" s="11" t="s">
        <v>16</v>
      </c>
      <c r="F8" s="13"/>
      <c r="G8" s="10" t="s">
        <v>64</v>
      </c>
    </row>
    <row r="9" spans="1:19">
      <c r="B9" s="11"/>
      <c r="C9" s="13" t="s">
        <v>57</v>
      </c>
      <c r="D9" s="13" t="s">
        <v>54</v>
      </c>
      <c r="E9" s="11" t="s">
        <v>16</v>
      </c>
      <c r="F9" s="12"/>
      <c r="G9" s="10" t="s">
        <v>65</v>
      </c>
      <c r="J9" s="19"/>
      <c r="K9" s="19"/>
      <c r="L9" s="19"/>
      <c r="M9" s="19"/>
      <c r="N9" s="19"/>
    </row>
    <row r="10" spans="1:19">
      <c r="C10" s="13" t="s">
        <v>59</v>
      </c>
      <c r="D10" s="13" t="s">
        <v>54</v>
      </c>
      <c r="E10" s="11" t="s">
        <v>16</v>
      </c>
      <c r="G10" s="10" t="s">
        <v>66</v>
      </c>
    </row>
    <row r="11" spans="1:19">
      <c r="C11" s="13" t="s">
        <v>594</v>
      </c>
      <c r="D11" s="13" t="s">
        <v>54</v>
      </c>
      <c r="E11" s="11" t="s">
        <v>16</v>
      </c>
      <c r="G11" s="10" t="s">
        <v>60</v>
      </c>
    </row>
    <row r="12" spans="1:19">
      <c r="B12" s="11"/>
      <c r="C12" s="12" t="s">
        <v>0</v>
      </c>
      <c r="D12" s="12" t="s">
        <v>11</v>
      </c>
      <c r="E12" s="11" t="s">
        <v>16</v>
      </c>
      <c r="F12" s="13" t="s">
        <v>20</v>
      </c>
      <c r="G12" s="12" t="s">
        <v>30</v>
      </c>
      <c r="H12" s="13"/>
      <c r="I12" s="13"/>
    </row>
    <row r="13" spans="1:19">
      <c r="B13" s="11"/>
      <c r="C13" s="12" t="s">
        <v>1</v>
      </c>
      <c r="D13" s="12" t="s">
        <v>37</v>
      </c>
      <c r="E13" s="11"/>
      <c r="F13" s="13"/>
      <c r="G13" s="12" t="s">
        <v>31</v>
      </c>
      <c r="H13" s="13"/>
      <c r="I13" s="13"/>
    </row>
    <row r="14" spans="1:19">
      <c r="B14" s="11"/>
      <c r="C14" s="12" t="s">
        <v>19</v>
      </c>
      <c r="D14" s="12" t="s">
        <v>11</v>
      </c>
      <c r="E14" s="11" t="s">
        <v>16</v>
      </c>
      <c r="F14" s="13" t="s">
        <v>20</v>
      </c>
      <c r="G14" s="12" t="s">
        <v>32</v>
      </c>
      <c r="H14" s="13"/>
      <c r="I14" s="13"/>
    </row>
    <row r="15" spans="1:19">
      <c r="B15" s="11"/>
      <c r="C15" s="12" t="s">
        <v>2</v>
      </c>
      <c r="D15" s="12" t="s">
        <v>37</v>
      </c>
      <c r="E15" s="11"/>
      <c r="F15" s="13"/>
      <c r="G15" s="12" t="s">
        <v>33</v>
      </c>
      <c r="H15" s="13"/>
      <c r="I15" s="13"/>
    </row>
    <row r="16" spans="1:19">
      <c r="B16" s="11"/>
      <c r="C16" s="12"/>
      <c r="D16" s="12"/>
      <c r="E16" s="11"/>
      <c r="F16" s="13"/>
      <c r="G16" s="12"/>
      <c r="H16" s="13"/>
      <c r="I16" s="13"/>
    </row>
    <row r="17" spans="2:9">
      <c r="B17" s="11"/>
      <c r="C17" s="12"/>
      <c r="D17" s="12"/>
      <c r="E17" s="11"/>
      <c r="F17" s="13"/>
      <c r="G17" s="12"/>
      <c r="H17" s="13"/>
      <c r="I17" s="13"/>
    </row>
    <row r="18" spans="2:9">
      <c r="B18" s="11"/>
      <c r="C18" s="12"/>
      <c r="D18" s="12"/>
      <c r="E18" s="11"/>
      <c r="F18" s="13"/>
      <c r="G18" s="12"/>
      <c r="H18" s="13"/>
      <c r="I18" s="13"/>
    </row>
    <row r="19" spans="2:9">
      <c r="B19" s="11"/>
      <c r="C19" s="12"/>
      <c r="D19" s="12"/>
      <c r="E19" s="11"/>
      <c r="F19" s="13"/>
      <c r="G19" s="12"/>
      <c r="H19" s="13"/>
      <c r="I19" s="13"/>
    </row>
    <row r="20" spans="2:9">
      <c r="B20" s="11"/>
      <c r="C20" s="12"/>
      <c r="D20" s="12"/>
      <c r="E20" s="11"/>
      <c r="F20" s="13"/>
      <c r="G20" s="12"/>
      <c r="H20" s="13"/>
      <c r="I20" s="13"/>
    </row>
    <row r="21" spans="2:9">
      <c r="B21" s="11"/>
      <c r="C21" s="12"/>
      <c r="D21" s="12"/>
      <c r="E21" s="11"/>
      <c r="F21" s="13"/>
      <c r="G21" s="12"/>
      <c r="H21" s="13"/>
      <c r="I21" s="13"/>
    </row>
    <row r="22" spans="2:9">
      <c r="B22" s="11"/>
      <c r="C22" s="12"/>
      <c r="D22" s="12"/>
      <c r="E22" s="11"/>
      <c r="F22" s="13"/>
      <c r="G22" s="12"/>
      <c r="H22" s="13"/>
      <c r="I22" s="13"/>
    </row>
    <row r="23" spans="2:9">
      <c r="B23" s="11"/>
      <c r="C23" s="12"/>
      <c r="D23" s="12"/>
      <c r="E23" s="11"/>
      <c r="F23" s="13"/>
      <c r="G23" s="12"/>
      <c r="H23" s="13"/>
      <c r="I23" s="13"/>
    </row>
    <row r="24" spans="2:9">
      <c r="B24" s="11"/>
      <c r="C24" s="12"/>
      <c r="D24" s="12"/>
      <c r="E24" s="11"/>
      <c r="F24" s="13"/>
      <c r="G24" s="12"/>
      <c r="H24" s="13"/>
      <c r="I24" s="13"/>
    </row>
    <row r="25" spans="2:9">
      <c r="B25" s="11"/>
      <c r="C25" s="12"/>
      <c r="D25" s="12"/>
      <c r="E25" s="11"/>
      <c r="F25" s="13"/>
      <c r="G25" s="12"/>
      <c r="H25" s="13"/>
      <c r="I25" s="13"/>
    </row>
    <row r="26" spans="2:9">
      <c r="B26" s="11"/>
      <c r="C26" s="12"/>
      <c r="D26" s="12"/>
      <c r="E26" s="11"/>
      <c r="F26" s="13"/>
      <c r="G26" s="12"/>
      <c r="H26" s="13"/>
      <c r="I26" s="13"/>
    </row>
    <row r="27" spans="2:9">
      <c r="B27" s="11"/>
      <c r="C27" s="12"/>
      <c r="D27" s="12"/>
      <c r="E27" s="11"/>
      <c r="F27" s="13"/>
      <c r="G27" s="12"/>
      <c r="H27" s="13"/>
      <c r="I27" s="13"/>
    </row>
    <row r="28" spans="2:9">
      <c r="B28" s="11"/>
      <c r="C28" s="12"/>
      <c r="D28" s="12"/>
      <c r="E28" s="11"/>
      <c r="F28" s="13"/>
      <c r="G28" s="12"/>
      <c r="H28" s="13"/>
      <c r="I28" s="13"/>
    </row>
    <row r="29" spans="2:9">
      <c r="B29" s="11"/>
      <c r="C29" s="12"/>
      <c r="D29" s="12"/>
      <c r="E29" s="11"/>
      <c r="F29" s="13"/>
      <c r="G29" s="12"/>
      <c r="H29" s="13"/>
      <c r="I29" s="13"/>
    </row>
    <row r="30" spans="2:9">
      <c r="B30" s="11"/>
      <c r="C30" s="12"/>
      <c r="D30" s="12"/>
      <c r="E30" s="11"/>
      <c r="F30" s="13"/>
      <c r="G30" s="12"/>
      <c r="H30" s="13"/>
      <c r="I30" s="13"/>
    </row>
    <row r="31" spans="2:9">
      <c r="B31" s="11"/>
      <c r="C31" s="12"/>
      <c r="D31" s="12"/>
      <c r="E31" s="11"/>
      <c r="F31" s="13"/>
      <c r="G31" s="12"/>
      <c r="H31" s="13"/>
      <c r="I31" s="13"/>
    </row>
    <row r="32" spans="2:9">
      <c r="B32" s="11"/>
      <c r="C32" s="12"/>
      <c r="D32" s="12"/>
      <c r="E32" s="11"/>
      <c r="F32" s="13"/>
      <c r="G32" s="12"/>
      <c r="H32" s="13"/>
      <c r="I32" s="13"/>
    </row>
    <row r="33" spans="2:9">
      <c r="B33" s="11"/>
      <c r="C33" s="12"/>
      <c r="D33" s="12"/>
      <c r="E33" s="11"/>
      <c r="F33" s="13"/>
      <c r="G33" s="12"/>
      <c r="H33" s="13"/>
      <c r="I33" s="13"/>
    </row>
    <row r="34" spans="2:9">
      <c r="B34" s="11"/>
      <c r="C34" s="12"/>
      <c r="D34" s="12"/>
      <c r="E34" s="11"/>
      <c r="F34" s="13"/>
      <c r="G34" s="12"/>
      <c r="H34" s="13"/>
      <c r="I34" s="13"/>
    </row>
    <row r="35" spans="2:9">
      <c r="B35" s="11"/>
      <c r="C35" s="12"/>
      <c r="D35" s="12"/>
      <c r="E35" s="11"/>
      <c r="F35" s="13"/>
      <c r="G35" s="12"/>
      <c r="H35" s="13"/>
      <c r="I35" s="13"/>
    </row>
    <row r="36" spans="2:9">
      <c r="B36" s="11"/>
      <c r="C36" s="12"/>
      <c r="D36" s="12"/>
      <c r="E36" s="11"/>
      <c r="F36" s="13"/>
      <c r="G36" s="12"/>
      <c r="H36" s="13"/>
      <c r="I36" s="13"/>
    </row>
    <row r="37" spans="2:9">
      <c r="B37" s="11"/>
      <c r="C37" s="12"/>
      <c r="D37" s="12"/>
      <c r="E37" s="11"/>
      <c r="F37" s="13"/>
      <c r="G37" s="12"/>
      <c r="H37" s="13"/>
      <c r="I37" s="13"/>
    </row>
    <row r="38" spans="2:9">
      <c r="B38" s="11"/>
      <c r="C38" s="12"/>
      <c r="D38" s="12"/>
      <c r="E38" s="11"/>
      <c r="F38" s="13"/>
      <c r="G38" s="12"/>
      <c r="H38" s="13"/>
      <c r="I38" s="13"/>
    </row>
    <row r="39" spans="2:9">
      <c r="B39" s="11"/>
      <c r="C39" s="12"/>
      <c r="D39" s="12"/>
      <c r="E39" s="11"/>
      <c r="F39" s="13"/>
      <c r="G39" s="12"/>
      <c r="H39" s="13"/>
      <c r="I39" s="13"/>
    </row>
    <row r="40" spans="2:9">
      <c r="B40" s="11"/>
      <c r="C40" s="12"/>
      <c r="D40" s="12"/>
      <c r="E40" s="11"/>
      <c r="F40" s="13"/>
      <c r="G40" s="12"/>
      <c r="H40" s="13"/>
      <c r="I40" s="13"/>
    </row>
    <row r="41" spans="2:9">
      <c r="B41" s="11"/>
      <c r="C41" s="12"/>
      <c r="D41" s="12"/>
      <c r="E41" s="11"/>
      <c r="F41" s="13"/>
      <c r="G41" s="12"/>
      <c r="H41" s="13"/>
      <c r="I41" s="13"/>
    </row>
    <row r="42" spans="2:9">
      <c r="B42" s="11"/>
      <c r="C42" s="12"/>
      <c r="D42" s="12"/>
      <c r="E42" s="11"/>
      <c r="F42" s="13"/>
      <c r="G42" s="12"/>
      <c r="H42" s="13"/>
      <c r="I42" s="13"/>
    </row>
    <row r="43" spans="2:9">
      <c r="B43" s="11"/>
      <c r="C43" s="12"/>
      <c r="D43" s="12"/>
      <c r="E43" s="11"/>
      <c r="F43" s="13"/>
      <c r="G43" s="12"/>
      <c r="H43" s="13"/>
      <c r="I43" s="13"/>
    </row>
    <row r="44" spans="2:9">
      <c r="B44" s="11"/>
      <c r="C44" s="12"/>
      <c r="D44" s="12"/>
      <c r="E44" s="11"/>
      <c r="F44" s="13"/>
      <c r="G44" s="12"/>
      <c r="H44" s="13"/>
      <c r="I44" s="13"/>
    </row>
    <row r="45" spans="2:9">
      <c r="B45" s="11"/>
      <c r="C45" s="12"/>
      <c r="D45" s="12"/>
      <c r="E45" s="11"/>
      <c r="F45" s="13"/>
      <c r="G45" s="12"/>
      <c r="H45" s="13"/>
      <c r="I45" s="13"/>
    </row>
    <row r="46" spans="2:9">
      <c r="B46" s="11"/>
      <c r="C46" s="12"/>
      <c r="D46" s="12"/>
      <c r="E46" s="11"/>
      <c r="F46" s="13"/>
      <c r="G46" s="12"/>
      <c r="H46" s="13"/>
      <c r="I46" s="13"/>
    </row>
    <row r="47" spans="2:9">
      <c r="B47" s="11"/>
      <c r="C47" s="12"/>
      <c r="D47" s="12"/>
      <c r="E47" s="11"/>
      <c r="F47" s="13"/>
      <c r="G47" s="12"/>
      <c r="H47" s="13"/>
      <c r="I47" s="13"/>
    </row>
    <row r="48" spans="2:9">
      <c r="B48" s="11"/>
      <c r="C48" s="12"/>
      <c r="D48" s="12"/>
      <c r="E48" s="11"/>
      <c r="F48" s="13"/>
      <c r="G48" s="12"/>
      <c r="H48" s="13"/>
      <c r="I48" s="13"/>
    </row>
    <row r="49" spans="2:9">
      <c r="B49" s="11"/>
      <c r="C49" s="12"/>
      <c r="D49" s="12"/>
      <c r="E49" s="11"/>
      <c r="F49" s="13"/>
      <c r="G49" s="12"/>
      <c r="H49" s="13"/>
      <c r="I49" s="13"/>
    </row>
    <row r="50" spans="2:9">
      <c r="B50" s="11"/>
      <c r="C50" s="12"/>
      <c r="D50" s="12"/>
      <c r="E50" s="11"/>
      <c r="F50" s="13"/>
      <c r="G50" s="12"/>
      <c r="H50" s="13"/>
      <c r="I50" s="13"/>
    </row>
    <row r="51" spans="2:9">
      <c r="B51" s="11"/>
      <c r="C51" s="12"/>
      <c r="D51" s="12"/>
      <c r="E51" s="11"/>
      <c r="F51" s="13"/>
      <c r="G51" s="12"/>
      <c r="H51" s="13"/>
      <c r="I51" s="13"/>
    </row>
    <row r="52" spans="2:9">
      <c r="B52" s="11"/>
      <c r="C52" s="12"/>
      <c r="D52" s="12"/>
      <c r="E52" s="11"/>
      <c r="F52" s="13"/>
      <c r="G52" s="12"/>
      <c r="H52" s="13"/>
      <c r="I52" s="13"/>
    </row>
    <row r="53" spans="2:9">
      <c r="B53" s="11"/>
      <c r="C53" s="12"/>
      <c r="D53" s="12"/>
      <c r="E53" s="11"/>
      <c r="F53" s="13"/>
      <c r="G53" s="12"/>
      <c r="H53" s="13"/>
      <c r="I53" s="13"/>
    </row>
    <row r="54" spans="2:9">
      <c r="B54" s="11"/>
      <c r="C54" s="12"/>
      <c r="D54" s="12"/>
      <c r="E54" s="11"/>
      <c r="F54" s="13"/>
      <c r="G54" s="12"/>
      <c r="H54" s="13"/>
      <c r="I54" s="13"/>
    </row>
    <row r="55" spans="2:9">
      <c r="B55" s="11"/>
      <c r="C55" s="12"/>
      <c r="D55" s="12"/>
      <c r="E55" s="11"/>
      <c r="F55" s="13"/>
      <c r="G55" s="12"/>
      <c r="H55" s="13"/>
      <c r="I55" s="13"/>
    </row>
    <row r="56" spans="2:9">
      <c r="B56" s="11"/>
      <c r="C56" s="12"/>
      <c r="D56" s="12"/>
      <c r="E56" s="11"/>
      <c r="F56" s="13"/>
      <c r="G56" s="12"/>
      <c r="H56" s="13"/>
      <c r="I56" s="13"/>
    </row>
    <row r="57" spans="2:9">
      <c r="B57" s="11"/>
      <c r="C57" s="12"/>
      <c r="D57" s="12"/>
      <c r="E57" s="11"/>
      <c r="F57" s="13"/>
      <c r="G57" s="12"/>
      <c r="H57" s="13"/>
      <c r="I57" s="13"/>
    </row>
    <row r="58" spans="2:9">
      <c r="B58" s="11"/>
      <c r="C58" s="12"/>
      <c r="D58" s="12"/>
      <c r="E58" s="11"/>
      <c r="F58" s="13"/>
      <c r="G58" s="12"/>
      <c r="H58" s="13"/>
      <c r="I58" s="13"/>
    </row>
    <row r="59" spans="2:9">
      <c r="B59" s="11"/>
      <c r="C59" s="12"/>
      <c r="D59" s="12"/>
      <c r="E59" s="11"/>
      <c r="F59" s="13"/>
      <c r="G59" s="12"/>
      <c r="H59" s="13"/>
      <c r="I59" s="13"/>
    </row>
    <row r="60" spans="2:9">
      <c r="B60" s="11"/>
      <c r="C60" s="12"/>
      <c r="D60" s="12"/>
      <c r="E60" s="11"/>
      <c r="F60" s="13"/>
      <c r="G60" s="12"/>
      <c r="H60" s="13"/>
      <c r="I60" s="13"/>
    </row>
    <row r="61" spans="2:9">
      <c r="B61" s="11"/>
      <c r="C61" s="12"/>
      <c r="D61" s="12"/>
      <c r="E61" s="11"/>
      <c r="F61" s="13"/>
      <c r="G61" s="12"/>
      <c r="H61" s="13"/>
      <c r="I61" s="13"/>
    </row>
    <row r="62" spans="2:9">
      <c r="B62" s="11"/>
      <c r="C62" s="12"/>
      <c r="D62" s="12"/>
      <c r="E62" s="11"/>
      <c r="F62" s="13"/>
      <c r="G62" s="12"/>
      <c r="H62" s="13"/>
      <c r="I62" s="13"/>
    </row>
    <row r="63" spans="2:9">
      <c r="B63" s="11"/>
      <c r="C63" s="12"/>
      <c r="D63" s="12"/>
      <c r="E63" s="11"/>
      <c r="F63" s="13"/>
      <c r="G63" s="12"/>
      <c r="H63" s="13"/>
      <c r="I63" s="13"/>
    </row>
    <row r="64" spans="2:9">
      <c r="B64" s="11"/>
      <c r="C64" s="12"/>
      <c r="D64" s="12"/>
      <c r="E64" s="11"/>
      <c r="F64" s="13"/>
      <c r="G64" s="12"/>
      <c r="H64" s="13"/>
      <c r="I64" s="13"/>
    </row>
    <row r="65" spans="2:9">
      <c r="B65" s="11"/>
      <c r="C65" s="12"/>
      <c r="D65" s="12"/>
      <c r="E65" s="11"/>
      <c r="F65" s="13"/>
      <c r="G65" s="12"/>
      <c r="H65" s="13"/>
      <c r="I65" s="13"/>
    </row>
    <row r="66" spans="2:9">
      <c r="B66" s="11"/>
      <c r="C66" s="12"/>
      <c r="D66" s="12"/>
      <c r="E66" s="11"/>
      <c r="F66" s="13"/>
      <c r="G66" s="12"/>
      <c r="H66" s="13"/>
      <c r="I66" s="13"/>
    </row>
    <row r="67" spans="2:9">
      <c r="B67" s="11"/>
      <c r="C67" s="12"/>
      <c r="D67" s="12"/>
      <c r="E67" s="11"/>
      <c r="F67" s="13"/>
      <c r="G67" s="12"/>
      <c r="H67" s="13"/>
      <c r="I67" s="13"/>
    </row>
    <row r="68" spans="2:9">
      <c r="B68" s="11"/>
      <c r="C68" s="12"/>
      <c r="D68" s="12"/>
      <c r="E68" s="11"/>
      <c r="F68" s="13"/>
      <c r="G68" s="12"/>
      <c r="H68" s="13"/>
      <c r="I68" s="13"/>
    </row>
    <row r="69" spans="2:9">
      <c r="B69" s="11"/>
      <c r="C69" s="12"/>
      <c r="D69" s="12"/>
      <c r="E69" s="11"/>
      <c r="F69" s="13"/>
      <c r="G69" s="12"/>
      <c r="H69" s="13"/>
      <c r="I69" s="13"/>
    </row>
    <row r="70" spans="2:9">
      <c r="B70" s="11"/>
      <c r="C70" s="12"/>
      <c r="D70" s="12"/>
      <c r="E70" s="11"/>
      <c r="F70" s="13"/>
      <c r="G70" s="12"/>
      <c r="H70" s="13"/>
      <c r="I70" s="13"/>
    </row>
    <row r="71" spans="2:9">
      <c r="B71" s="11"/>
      <c r="C71" s="12"/>
      <c r="D71" s="12"/>
      <c r="E71" s="11"/>
      <c r="F71" s="13"/>
      <c r="G71" s="12"/>
      <c r="H71" s="13"/>
      <c r="I71" s="13"/>
    </row>
    <row r="72" spans="2:9">
      <c r="B72" s="11"/>
      <c r="C72" s="12"/>
      <c r="D72" s="12"/>
      <c r="E72" s="11"/>
      <c r="F72" s="13"/>
      <c r="G72" s="12"/>
      <c r="H72" s="13"/>
      <c r="I72" s="13"/>
    </row>
    <row r="73" spans="2:9">
      <c r="B73" s="11"/>
      <c r="C73" s="12"/>
      <c r="D73" s="12"/>
      <c r="E73" s="11"/>
      <c r="F73" s="13"/>
      <c r="G73" s="12"/>
      <c r="H73" s="13"/>
      <c r="I73" s="13"/>
    </row>
    <row r="74" spans="2:9">
      <c r="B74" s="11"/>
      <c r="C74" s="12"/>
      <c r="D74" s="12"/>
      <c r="E74" s="11"/>
      <c r="F74" s="13"/>
      <c r="G74" s="12"/>
      <c r="H74" s="13"/>
      <c r="I74" s="13"/>
    </row>
    <row r="75" spans="2:9">
      <c r="B75" s="11"/>
      <c r="C75" s="12"/>
      <c r="D75" s="12"/>
      <c r="E75" s="11"/>
      <c r="F75" s="13"/>
      <c r="G75" s="12"/>
      <c r="H75" s="13"/>
      <c r="I75" s="13"/>
    </row>
    <row r="76" spans="2:9">
      <c r="B76" s="11"/>
      <c r="C76" s="12"/>
      <c r="D76" s="12"/>
      <c r="E76" s="11"/>
      <c r="F76" s="13"/>
      <c r="G76" s="12"/>
      <c r="H76" s="13"/>
      <c r="I76" s="13"/>
    </row>
    <row r="77" spans="2:9">
      <c r="B77" s="11"/>
      <c r="C77" s="12"/>
      <c r="D77" s="12"/>
      <c r="E77" s="11"/>
      <c r="F77" s="13"/>
      <c r="G77" s="12"/>
      <c r="H77" s="13"/>
      <c r="I77" s="13"/>
    </row>
    <row r="78" spans="2:9">
      <c r="B78" s="11"/>
      <c r="C78" s="12"/>
      <c r="D78" s="12"/>
      <c r="E78" s="11"/>
      <c r="F78" s="13"/>
      <c r="G78" s="12"/>
      <c r="H78" s="13"/>
      <c r="I78" s="13"/>
    </row>
    <row r="79" spans="2:9">
      <c r="B79" s="11"/>
      <c r="C79" s="12"/>
      <c r="D79" s="12"/>
      <c r="E79" s="11"/>
      <c r="F79" s="13"/>
      <c r="G79" s="12"/>
      <c r="H79" s="13"/>
      <c r="I79" s="13"/>
    </row>
    <row r="80" spans="2:9">
      <c r="B80" s="11"/>
      <c r="C80" s="12"/>
      <c r="D80" s="12"/>
      <c r="E80" s="11"/>
      <c r="F80" s="13"/>
      <c r="G80" s="12"/>
      <c r="H80" s="13"/>
      <c r="I80" s="13"/>
    </row>
    <row r="81" spans="2:9">
      <c r="B81" s="11"/>
      <c r="C81" s="12"/>
      <c r="D81" s="12"/>
      <c r="E81" s="11"/>
      <c r="F81" s="13"/>
      <c r="G81" s="12"/>
      <c r="H81" s="13"/>
      <c r="I81" s="13"/>
    </row>
    <row r="82" spans="2:9">
      <c r="B82" s="11"/>
      <c r="C82" s="12"/>
      <c r="D82" s="12"/>
      <c r="E82" s="11"/>
      <c r="F82" s="13"/>
      <c r="G82" s="12"/>
      <c r="H82" s="13"/>
      <c r="I82" s="13"/>
    </row>
    <row r="83" spans="2:9">
      <c r="B83" s="11"/>
      <c r="C83" s="12"/>
      <c r="D83" s="12"/>
      <c r="E83" s="11"/>
      <c r="F83" s="13"/>
      <c r="G83" s="12"/>
      <c r="H83" s="13"/>
      <c r="I83" s="13"/>
    </row>
    <row r="84" spans="2:9">
      <c r="B84" s="11"/>
      <c r="C84" s="12"/>
      <c r="D84" s="12"/>
      <c r="E84" s="11"/>
      <c r="F84" s="13"/>
      <c r="G84" s="12"/>
      <c r="H84" s="13"/>
      <c r="I84" s="13"/>
    </row>
    <row r="85" spans="2:9">
      <c r="B85" s="11"/>
      <c r="C85" s="12"/>
      <c r="D85" s="12"/>
      <c r="E85" s="11"/>
      <c r="F85" s="13"/>
      <c r="G85" s="12"/>
      <c r="H85" s="13"/>
      <c r="I85" s="13"/>
    </row>
    <row r="86" spans="2:9">
      <c r="B86" s="11"/>
      <c r="C86" s="12"/>
      <c r="D86" s="12"/>
      <c r="E86" s="11"/>
      <c r="F86" s="13"/>
      <c r="G86" s="12"/>
      <c r="H86" s="13"/>
      <c r="I86" s="13"/>
    </row>
    <row r="87" spans="2:9">
      <c r="B87" s="11"/>
      <c r="C87" s="12"/>
      <c r="D87" s="12"/>
      <c r="E87" s="11"/>
      <c r="F87" s="13"/>
      <c r="G87" s="12"/>
      <c r="H87" s="13"/>
      <c r="I87" s="13"/>
    </row>
    <row r="88" spans="2:9">
      <c r="B88" s="11"/>
      <c r="C88" s="12"/>
      <c r="D88" s="12"/>
      <c r="E88" s="11"/>
      <c r="F88" s="13"/>
      <c r="G88" s="12"/>
      <c r="H88" s="13"/>
      <c r="I88" s="13"/>
    </row>
    <row r="89" spans="2:9">
      <c r="B89" s="11"/>
      <c r="C89" s="12"/>
      <c r="D89" s="12"/>
      <c r="E89" s="11"/>
      <c r="F89" s="13"/>
      <c r="G89" s="12"/>
      <c r="H89" s="13"/>
      <c r="I89" s="13"/>
    </row>
    <row r="90" spans="2:9">
      <c r="B90" s="11"/>
      <c r="C90" s="12"/>
      <c r="D90" s="12"/>
      <c r="E90" s="11"/>
      <c r="F90" s="13"/>
      <c r="G90" s="12"/>
      <c r="H90" s="13"/>
      <c r="I90" s="13"/>
    </row>
    <row r="91" spans="2:9">
      <c r="B91" s="11"/>
      <c r="C91" s="12"/>
      <c r="D91" s="12"/>
      <c r="E91" s="11"/>
      <c r="F91" s="13"/>
      <c r="G91" s="12"/>
      <c r="H91" s="13"/>
      <c r="I91" s="13"/>
    </row>
    <row r="92" spans="2:9">
      <c r="B92" s="11"/>
      <c r="C92" s="12"/>
      <c r="D92" s="12"/>
      <c r="E92" s="11"/>
      <c r="F92" s="13"/>
      <c r="G92" s="12"/>
      <c r="H92" s="13"/>
      <c r="I92" s="13"/>
    </row>
    <row r="93" spans="2:9">
      <c r="B93" s="11"/>
      <c r="C93" s="12"/>
      <c r="D93" s="12"/>
      <c r="E93" s="11"/>
      <c r="F93" s="13"/>
      <c r="G93" s="12"/>
      <c r="H93" s="13"/>
      <c r="I93" s="13"/>
    </row>
    <row r="94" spans="2:9">
      <c r="B94" s="11"/>
      <c r="C94" s="12"/>
      <c r="D94" s="12"/>
      <c r="E94" s="11"/>
      <c r="G94" s="12"/>
      <c r="H94" s="13"/>
      <c r="I94" s="13"/>
    </row>
  </sheetData>
  <phoneticPr fontId="3" type="noConversion"/>
  <hyperlinks>
    <hyperlink ref="A1" location="目錄!A1" display="回到目錄"/>
  </hyperlinks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1"/>
  <dimension ref="A1:O2"/>
  <sheetViews>
    <sheetView workbookViewId="0">
      <selection activeCell="B1" sqref="B1"/>
    </sheetView>
  </sheetViews>
  <sheetFormatPr defaultRowHeight="13.8"/>
  <cols>
    <col min="1" max="1" width="7.453125" style="1" bestFit="1" customWidth="1"/>
    <col min="2" max="2" width="8.54296875" style="1" bestFit="1" customWidth="1"/>
    <col min="3" max="3" width="7.90625" style="1" bestFit="1" customWidth="1"/>
    <col min="4" max="4" width="12.08984375" style="1" bestFit="1" customWidth="1"/>
    <col min="5" max="11" width="12.81640625" style="1" bestFit="1" customWidth="1"/>
    <col min="12" max="12" width="10" style="1" bestFit="1" customWidth="1"/>
    <col min="13" max="13" width="7" style="1" bestFit="1" customWidth="1"/>
    <col min="14" max="14" width="10.36328125" style="1" bestFit="1" customWidth="1"/>
    <col min="15" max="15" width="7.81640625" style="1" bestFit="1" customWidth="1"/>
    <col min="16" max="16384" width="8.7265625" style="1"/>
  </cols>
  <sheetData>
    <row r="1" spans="1:15">
      <c r="A1" s="63" t="s">
        <v>36</v>
      </c>
      <c r="B1" s="80" t="s">
        <v>171</v>
      </c>
      <c r="C1" s="80" t="s">
        <v>3728</v>
      </c>
      <c r="D1" s="80" t="s">
        <v>3197</v>
      </c>
      <c r="E1" s="80" t="s">
        <v>3198</v>
      </c>
      <c r="F1" s="80" t="s">
        <v>3199</v>
      </c>
      <c r="G1" s="80" t="s">
        <v>3200</v>
      </c>
      <c r="H1" s="80" t="s">
        <v>3201</v>
      </c>
      <c r="I1" s="80" t="s">
        <v>3202</v>
      </c>
      <c r="J1" s="80" t="s">
        <v>3203</v>
      </c>
      <c r="K1" s="80" t="s">
        <v>3204</v>
      </c>
      <c r="L1" s="80" t="s">
        <v>0</v>
      </c>
      <c r="M1" s="80" t="s">
        <v>1</v>
      </c>
      <c r="N1" s="80" t="s">
        <v>19</v>
      </c>
      <c r="O1" s="80" t="s">
        <v>2</v>
      </c>
    </row>
    <row r="2" spans="1:15">
      <c r="B2" s="1" t="s">
        <v>3226</v>
      </c>
      <c r="C2" s="1" t="s">
        <v>154</v>
      </c>
      <c r="D2" s="1" t="s">
        <v>3217</v>
      </c>
      <c r="E2" s="1">
        <v>400</v>
      </c>
      <c r="F2" s="1">
        <v>400</v>
      </c>
      <c r="G2" s="1">
        <v>400</v>
      </c>
      <c r="H2" s="1">
        <v>400</v>
      </c>
      <c r="I2" s="1">
        <v>200</v>
      </c>
      <c r="J2" s="1">
        <v>200</v>
      </c>
      <c r="K2" s="1" t="s">
        <v>546</v>
      </c>
      <c r="M2" s="1" t="s">
        <v>523</v>
      </c>
      <c r="O2" s="1" t="s">
        <v>523</v>
      </c>
    </row>
  </sheetData>
  <phoneticPr fontId="3" type="noConversion"/>
  <hyperlinks>
    <hyperlink ref="A1" location="目錄!A1" display="回到目錄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9"/>
  <sheetViews>
    <sheetView workbookViewId="0">
      <selection activeCell="B4" sqref="B4:G5"/>
    </sheetView>
  </sheetViews>
  <sheetFormatPr defaultColWidth="11.1796875" defaultRowHeight="13.8"/>
  <cols>
    <col min="1" max="1" width="7.453125" style="10" bestFit="1" customWidth="1"/>
    <col min="2" max="2" width="4.36328125" style="14" bestFit="1" customWidth="1"/>
    <col min="3" max="3" width="24.1796875" style="10" customWidth="1"/>
    <col min="4" max="4" width="10" style="10" bestFit="1" customWidth="1"/>
    <col min="5" max="5" width="7.54296875" style="14" bestFit="1" customWidth="1"/>
    <col min="6" max="6" width="10" style="15" bestFit="1" customWidth="1"/>
    <col min="7" max="7" width="15.6328125" style="10" bestFit="1" customWidth="1"/>
    <col min="8" max="8" width="30.7265625" style="15" bestFit="1" customWidth="1"/>
    <col min="9" max="9" width="10.08984375" style="15" bestFit="1" customWidth="1"/>
    <col min="10" max="11" width="3.26953125" style="14" bestFit="1" customWidth="1"/>
    <col min="12" max="12" width="4.26953125" style="10" bestFit="1" customWidth="1"/>
    <col min="13" max="13" width="9.81640625" style="10" customWidth="1"/>
    <col min="14" max="19" width="6.6328125" style="10" customWidth="1"/>
    <col min="20" max="23" width="14.453125" style="10" customWidth="1"/>
    <col min="24" max="16384" width="11.1796875" style="10"/>
  </cols>
  <sheetData>
    <row r="1" spans="1:19">
      <c r="A1" s="23" t="s">
        <v>36</v>
      </c>
      <c r="B1" s="5" t="s">
        <v>5</v>
      </c>
      <c r="C1" s="6" t="s">
        <v>3</v>
      </c>
      <c r="D1" s="6" t="s">
        <v>4</v>
      </c>
      <c r="E1" s="7" t="s">
        <v>6</v>
      </c>
      <c r="F1" s="9" t="s">
        <v>13</v>
      </c>
      <c r="G1" s="8" t="s">
        <v>7</v>
      </c>
      <c r="H1" s="9" t="s">
        <v>8</v>
      </c>
      <c r="I1" s="9" t="s">
        <v>139</v>
      </c>
      <c r="L1" s="72" t="s">
        <v>350</v>
      </c>
      <c r="M1" s="72" t="s">
        <v>4711</v>
      </c>
      <c r="N1" s="72" t="s">
        <v>470</v>
      </c>
      <c r="O1" s="72" t="s">
        <v>471</v>
      </c>
      <c r="P1" s="72" t="s">
        <v>472</v>
      </c>
      <c r="Q1" s="72" t="s">
        <v>473</v>
      </c>
      <c r="R1" s="72" t="s">
        <v>474</v>
      </c>
      <c r="S1" s="73" t="s">
        <v>475</v>
      </c>
    </row>
    <row r="2" spans="1:19">
      <c r="B2" s="11" t="s">
        <v>14</v>
      </c>
      <c r="C2" s="13" t="s">
        <v>171</v>
      </c>
      <c r="D2" s="18" t="s">
        <v>111</v>
      </c>
      <c r="E2" s="11"/>
      <c r="F2" s="12"/>
      <c r="G2" s="12" t="s">
        <v>4719</v>
      </c>
      <c r="H2" s="16"/>
      <c r="I2" s="16"/>
      <c r="L2" s="36"/>
      <c r="M2" s="34"/>
      <c r="N2" s="36" t="str">
        <f>"EXEC sp_dropextendedproperty @name = N'MS_Description', @level0type=N'SCHEMA',@level0name=N'"&amp;$L$1&amp;"', @level1type=N'TABLE',@level1name=N'"&amp;$M$1&amp;"', @level2type=N'COLUMN',@level2name=N'"&amp;$C2&amp;"'"</f>
        <v>EXEC sp_dropextendedproperty @name = N'MS_Description', @level0type=N'SCHEMA',@level0name=N'dbo', @level1type=N'TABLE',@level1name=N'LifeInsAmtLimitInvBgn', @level2type=N'COLUMN',@level2name=N'PlanCode'</v>
      </c>
      <c r="O2" s="36" t="str">
        <f>"EXEC sp_dropextendedproperty @name = N'Rule', @level0type=N'SCHEMA',@level0name=N'"&amp;$L$1&amp;"', @level1type=N'TABLE',@level1name=N'"&amp;$M$1&amp;"', @level2type=N'COLUMN',@level2name=N'"&amp;$C2&amp;"'"</f>
        <v>EXEC sp_dropextendedproperty @name = N'Rule', @level0type=N'SCHEMA',@level0name=N'dbo', @level1type=N'TABLE',@level1name=N'LifeInsAmtLimitInvBgn', @level2type=N'COLUMN',@level2name=N'PlanCode'</v>
      </c>
      <c r="P2" s="36" t="str">
        <f>"EXEC sp_dropextendedproperty @name = N'Memo', @level0type=N'SCHEMA',@level0name=N'"&amp;$L$1&amp;"', @level1type=N'TABLE',@level1name=N'"&amp;$M$1&amp;"', @level2type=N'COLUMN',@level2name=N'"&amp;$C2&amp;"'"</f>
        <v>EXEC sp_dropextendedproperty @name = N'Memo', @level0type=N'SCHEMA',@level0name=N'dbo', @level1type=N'TABLE',@level1name=N'LifeInsAmtLimitInvBgn', @level2type=N'COLUMN',@level2name=N'PlanCode'</v>
      </c>
      <c r="Q2" s="36" t="str">
        <f>"set @OldWording = N'"&amp;SUBSTITUTE($G2,CHAR(10),"")&amp;"'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@level2type=N'COLUMN',@level2name=N'"&amp;$C2&amp;"'"</f>
        <v>set @OldWording = N'險種代碼' set @NewWording = REPLACE(@OldWording,'***',char(13)+char(10)) EXEC sys.sp_addextendedproperty @name=N'MS_Description', @value=@NewWording , @level0type=N'SCHEMA',@level0name=N'dbo', @level1type=N'TABLE',@level1name=N'LifeInsAmtLimitInvBgn', @level2type=N'COLUMN',@level2name=N'PlanCode'</v>
      </c>
      <c r="R2" s="32" t="str">
        <f>"set @OldWording = N'"&amp;SUBSTITUTE($H2,CHAR(10),"")&amp;"'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@name=N'Rule', @value=@NewWording , @level0type=N'SCHEMA',@level0name=N'dbo', @level1type=N'TABLE',@level1name=N'LifeInsAmtLimitInvBgn', @level2type=N'COLUMN',@level2name=N'PlanCode'</v>
      </c>
      <c r="S2" s="36" t="str">
        <f>"set @OldWording = N'"&amp;SUBSTITUTE($I2,CHAR(10),"")&amp;"' set @NewWording = REPLACE(@OldWording,'***',char(13)+char(10)) "&amp;"EXEC sys.sp_addextendedproperty @name=N'Memo',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@name=N'Memo', @value=@NewWording , @level0type=N'SCHEMA',@level0name=N'dbo', @level1type=N'TABLE',@level1name=N'LifeInsAmtLimitInvBgn', @level2type=N'COLUMN',@level2name=N'PlanCode'</v>
      </c>
    </row>
    <row r="3" spans="1:19" ht="27.6">
      <c r="B3" s="11" t="s">
        <v>14</v>
      </c>
      <c r="C3" s="15" t="s">
        <v>3728</v>
      </c>
      <c r="D3" s="15" t="s">
        <v>21</v>
      </c>
      <c r="F3" s="10"/>
      <c r="G3" s="10" t="s">
        <v>4720</v>
      </c>
      <c r="H3" s="16" t="s">
        <v>3652</v>
      </c>
      <c r="I3" s="16"/>
      <c r="L3" s="14"/>
      <c r="M3" s="14"/>
      <c r="N3" s="14"/>
      <c r="O3" s="14"/>
      <c r="P3" s="14"/>
    </row>
    <row r="4" spans="1:19">
      <c r="B4" s="11" t="s">
        <v>14</v>
      </c>
      <c r="C4" s="13" t="s">
        <v>4073</v>
      </c>
      <c r="D4" s="18" t="s">
        <v>4721</v>
      </c>
      <c r="E4" s="11"/>
      <c r="F4" s="12"/>
      <c r="G4" s="18" t="s">
        <v>4723</v>
      </c>
      <c r="H4" s="16"/>
      <c r="I4" s="27"/>
      <c r="L4" s="14"/>
      <c r="M4" s="14"/>
      <c r="N4" s="14"/>
      <c r="O4" s="14"/>
      <c r="P4" s="14"/>
    </row>
    <row r="5" spans="1:19">
      <c r="B5" s="11" t="s">
        <v>14</v>
      </c>
      <c r="C5" s="12" t="s">
        <v>4910</v>
      </c>
      <c r="D5" s="18" t="s">
        <v>4721</v>
      </c>
      <c r="E5" s="11"/>
      <c r="G5" s="10" t="s">
        <v>4724</v>
      </c>
      <c r="H5" s="16"/>
      <c r="I5" s="16"/>
    </row>
    <row r="6" spans="1:19">
      <c r="C6" s="12" t="s">
        <v>4731</v>
      </c>
      <c r="D6" s="13" t="s">
        <v>44</v>
      </c>
      <c r="E6" s="11" t="s">
        <v>16</v>
      </c>
      <c r="G6" s="10" t="s">
        <v>4730</v>
      </c>
      <c r="H6" s="15" t="s">
        <v>4725</v>
      </c>
    </row>
    <row r="7" spans="1:19">
      <c r="B7" s="11"/>
      <c r="C7" s="12" t="s">
        <v>0</v>
      </c>
      <c r="D7" s="12" t="s">
        <v>11</v>
      </c>
      <c r="E7" s="11" t="s">
        <v>16</v>
      </c>
      <c r="F7" s="13" t="s">
        <v>20</v>
      </c>
      <c r="G7" s="12" t="s">
        <v>30</v>
      </c>
      <c r="H7" s="13"/>
      <c r="I7" s="13"/>
    </row>
    <row r="8" spans="1:19">
      <c r="B8" s="11"/>
      <c r="C8" s="12" t="s">
        <v>1</v>
      </c>
      <c r="D8" s="12" t="s">
        <v>37</v>
      </c>
      <c r="E8" s="11"/>
      <c r="F8" s="13"/>
      <c r="G8" s="12" t="s">
        <v>31</v>
      </c>
      <c r="H8" s="13"/>
      <c r="I8" s="13"/>
    </row>
    <row r="9" spans="1:19">
      <c r="B9" s="11"/>
      <c r="C9" s="12" t="s">
        <v>19</v>
      </c>
      <c r="D9" s="12" t="s">
        <v>11</v>
      </c>
      <c r="E9" s="11" t="s">
        <v>16</v>
      </c>
      <c r="F9" s="13" t="s">
        <v>20</v>
      </c>
      <c r="G9" s="12" t="s">
        <v>32</v>
      </c>
      <c r="H9" s="13"/>
      <c r="I9" s="13"/>
    </row>
    <row r="10" spans="1:19">
      <c r="B10" s="11"/>
      <c r="C10" s="12" t="s">
        <v>2</v>
      </c>
      <c r="D10" s="12" t="s">
        <v>37</v>
      </c>
      <c r="E10" s="11"/>
      <c r="F10" s="13"/>
      <c r="G10" s="12" t="s">
        <v>33</v>
      </c>
      <c r="H10" s="13"/>
      <c r="I10" s="13"/>
    </row>
    <row r="11" spans="1:19">
      <c r="B11" s="11"/>
      <c r="C11" s="12"/>
      <c r="D11" s="12"/>
      <c r="E11" s="11"/>
      <c r="F11" s="13"/>
      <c r="G11" s="12"/>
      <c r="H11" s="13"/>
      <c r="I11" s="13"/>
    </row>
    <row r="12" spans="1:19">
      <c r="B12" s="11"/>
      <c r="C12" s="12"/>
      <c r="D12" s="12"/>
      <c r="E12" s="11"/>
      <c r="F12" s="13"/>
      <c r="G12" s="12"/>
      <c r="H12" s="13"/>
      <c r="I12" s="13"/>
    </row>
    <row r="13" spans="1:19">
      <c r="B13" s="11"/>
      <c r="C13" s="12"/>
      <c r="D13" s="12"/>
      <c r="E13" s="11"/>
      <c r="F13" s="13"/>
      <c r="G13" s="12"/>
      <c r="H13" s="13"/>
      <c r="I13" s="13"/>
    </row>
    <row r="14" spans="1:19">
      <c r="B14" s="11"/>
      <c r="C14" s="12"/>
      <c r="D14" s="12"/>
      <c r="E14" s="11"/>
      <c r="F14" s="13"/>
      <c r="G14" s="12"/>
      <c r="H14" s="13"/>
      <c r="I14" s="13"/>
    </row>
    <row r="15" spans="1:19">
      <c r="B15" s="11"/>
      <c r="C15" s="12"/>
      <c r="D15" s="12"/>
      <c r="E15" s="11"/>
      <c r="F15" s="13"/>
      <c r="G15" s="12"/>
      <c r="H15" s="13"/>
      <c r="I15" s="13"/>
    </row>
    <row r="16" spans="1:19">
      <c r="B16" s="11"/>
      <c r="C16" s="12"/>
      <c r="D16" s="12"/>
      <c r="E16" s="11"/>
      <c r="F16" s="13"/>
      <c r="G16" s="12"/>
      <c r="H16" s="13"/>
      <c r="I16" s="13"/>
    </row>
    <row r="17" spans="2:9">
      <c r="B17" s="11"/>
      <c r="C17" s="12"/>
      <c r="D17" s="12"/>
      <c r="E17" s="11"/>
      <c r="F17" s="13"/>
      <c r="G17" s="12"/>
      <c r="H17" s="13"/>
      <c r="I17" s="13"/>
    </row>
    <row r="18" spans="2:9">
      <c r="B18" s="11"/>
      <c r="C18" s="12"/>
      <c r="D18" s="12"/>
      <c r="E18" s="11"/>
      <c r="F18" s="13"/>
      <c r="G18" s="12"/>
      <c r="H18" s="13"/>
      <c r="I18" s="13"/>
    </row>
    <row r="19" spans="2:9">
      <c r="B19" s="11"/>
      <c r="C19" s="12"/>
      <c r="D19" s="12"/>
      <c r="E19" s="11"/>
      <c r="F19" s="13"/>
      <c r="G19" s="12"/>
      <c r="H19" s="13"/>
      <c r="I19" s="13"/>
    </row>
    <row r="20" spans="2:9">
      <c r="B20" s="11"/>
      <c r="C20" s="12"/>
      <c r="D20" s="12"/>
      <c r="E20" s="11"/>
      <c r="F20" s="13"/>
      <c r="G20" s="12"/>
      <c r="H20" s="13"/>
      <c r="I20" s="13"/>
    </row>
    <row r="21" spans="2:9">
      <c r="B21" s="11"/>
      <c r="C21" s="12"/>
      <c r="D21" s="12"/>
      <c r="E21" s="11"/>
      <c r="F21" s="13"/>
      <c r="G21" s="12"/>
      <c r="H21" s="13"/>
      <c r="I21" s="13"/>
    </row>
    <row r="22" spans="2:9">
      <c r="B22" s="11"/>
      <c r="C22" s="12"/>
      <c r="D22" s="12"/>
      <c r="E22" s="11"/>
      <c r="F22" s="13"/>
      <c r="G22" s="12"/>
      <c r="H22" s="13"/>
      <c r="I22" s="13"/>
    </row>
    <row r="23" spans="2:9">
      <c r="B23" s="11"/>
      <c r="C23" s="12"/>
      <c r="D23" s="12"/>
      <c r="E23" s="11"/>
      <c r="F23" s="13"/>
      <c r="G23" s="12"/>
      <c r="H23" s="13"/>
      <c r="I23" s="13"/>
    </row>
    <row r="24" spans="2:9">
      <c r="B24" s="11"/>
      <c r="C24" s="12"/>
      <c r="D24" s="12"/>
      <c r="E24" s="11"/>
      <c r="F24" s="13"/>
      <c r="G24" s="12"/>
      <c r="H24" s="13"/>
      <c r="I24" s="13"/>
    </row>
    <row r="25" spans="2:9">
      <c r="B25" s="11"/>
      <c r="C25" s="12"/>
      <c r="D25" s="12"/>
      <c r="E25" s="11"/>
      <c r="F25" s="13"/>
      <c r="G25" s="12"/>
      <c r="H25" s="13"/>
      <c r="I25" s="13"/>
    </row>
    <row r="26" spans="2:9">
      <c r="B26" s="11"/>
      <c r="C26" s="12"/>
      <c r="D26" s="12"/>
      <c r="E26" s="11"/>
      <c r="F26" s="13"/>
      <c r="G26" s="12"/>
      <c r="H26" s="13"/>
      <c r="I26" s="13"/>
    </row>
    <row r="27" spans="2:9">
      <c r="B27" s="11"/>
      <c r="C27" s="12"/>
      <c r="D27" s="12"/>
      <c r="E27" s="11"/>
      <c r="F27" s="13"/>
      <c r="G27" s="12"/>
      <c r="H27" s="13"/>
      <c r="I27" s="13"/>
    </row>
    <row r="28" spans="2:9">
      <c r="B28" s="11"/>
      <c r="C28" s="12"/>
      <c r="D28" s="12"/>
      <c r="E28" s="11"/>
      <c r="F28" s="13"/>
      <c r="G28" s="12"/>
      <c r="H28" s="13"/>
      <c r="I28" s="13"/>
    </row>
    <row r="29" spans="2:9">
      <c r="B29" s="11"/>
      <c r="C29" s="12"/>
      <c r="D29" s="12"/>
      <c r="E29" s="11"/>
      <c r="F29" s="13"/>
      <c r="G29" s="12"/>
      <c r="H29" s="13"/>
      <c r="I29" s="13"/>
    </row>
    <row r="30" spans="2:9">
      <c r="B30" s="11"/>
      <c r="C30" s="12"/>
      <c r="D30" s="12"/>
      <c r="E30" s="11"/>
      <c r="F30" s="13"/>
      <c r="G30" s="12"/>
      <c r="H30" s="13"/>
      <c r="I30" s="13"/>
    </row>
    <row r="31" spans="2:9">
      <c r="B31" s="11"/>
      <c r="C31" s="12"/>
      <c r="D31" s="12"/>
      <c r="E31" s="11"/>
      <c r="F31" s="13"/>
      <c r="G31" s="12"/>
      <c r="H31" s="13"/>
      <c r="I31" s="13"/>
    </row>
    <row r="32" spans="2:9">
      <c r="B32" s="11"/>
      <c r="C32" s="12"/>
      <c r="D32" s="12"/>
      <c r="E32" s="11"/>
      <c r="F32" s="13"/>
      <c r="G32" s="12"/>
      <c r="H32" s="13"/>
      <c r="I32" s="13"/>
    </row>
    <row r="33" spans="2:9">
      <c r="B33" s="11"/>
      <c r="C33" s="12"/>
      <c r="D33" s="12"/>
      <c r="E33" s="11"/>
      <c r="F33" s="13"/>
      <c r="G33" s="12"/>
      <c r="H33" s="13"/>
      <c r="I33" s="13"/>
    </row>
    <row r="34" spans="2:9">
      <c r="B34" s="11"/>
      <c r="C34" s="12"/>
      <c r="D34" s="12"/>
      <c r="E34" s="11"/>
      <c r="F34" s="13"/>
      <c r="G34" s="12"/>
      <c r="H34" s="13"/>
      <c r="I34" s="13"/>
    </row>
    <row r="35" spans="2:9">
      <c r="B35" s="11"/>
      <c r="C35" s="12"/>
      <c r="D35" s="12"/>
      <c r="E35" s="11"/>
      <c r="F35" s="13"/>
      <c r="G35" s="12"/>
      <c r="H35" s="13"/>
      <c r="I35" s="13"/>
    </row>
    <row r="36" spans="2:9">
      <c r="B36" s="11"/>
      <c r="C36" s="12"/>
      <c r="D36" s="12"/>
      <c r="E36" s="11"/>
      <c r="F36" s="13"/>
      <c r="G36" s="12"/>
      <c r="H36" s="13"/>
      <c r="I36" s="13"/>
    </row>
    <row r="37" spans="2:9">
      <c r="B37" s="11"/>
      <c r="C37" s="12"/>
      <c r="D37" s="12"/>
      <c r="E37" s="11"/>
      <c r="F37" s="13"/>
      <c r="G37" s="12"/>
      <c r="H37" s="13"/>
      <c r="I37" s="13"/>
    </row>
    <row r="38" spans="2:9">
      <c r="B38" s="11"/>
      <c r="C38" s="12"/>
      <c r="D38" s="12"/>
      <c r="E38" s="11"/>
      <c r="F38" s="13"/>
      <c r="G38" s="12"/>
      <c r="H38" s="13"/>
      <c r="I38" s="13"/>
    </row>
    <row r="39" spans="2:9">
      <c r="B39" s="11"/>
      <c r="C39" s="12"/>
      <c r="D39" s="12"/>
      <c r="E39" s="11"/>
      <c r="F39" s="13"/>
      <c r="G39" s="12"/>
      <c r="H39" s="13"/>
      <c r="I39" s="13"/>
    </row>
    <row r="40" spans="2:9">
      <c r="B40" s="11"/>
      <c r="C40" s="12"/>
      <c r="D40" s="12"/>
      <c r="E40" s="11"/>
      <c r="F40" s="13"/>
      <c r="G40" s="12"/>
      <c r="H40" s="13"/>
      <c r="I40" s="13"/>
    </row>
    <row r="41" spans="2:9">
      <c r="B41" s="11"/>
      <c r="C41" s="12"/>
      <c r="D41" s="12"/>
      <c r="E41" s="11"/>
      <c r="F41" s="13"/>
      <c r="G41" s="12"/>
      <c r="H41" s="13"/>
      <c r="I41" s="13"/>
    </row>
    <row r="42" spans="2:9">
      <c r="B42" s="11"/>
      <c r="C42" s="12"/>
      <c r="D42" s="12"/>
      <c r="E42" s="11"/>
      <c r="F42" s="13"/>
      <c r="G42" s="12"/>
      <c r="H42" s="13"/>
      <c r="I42" s="13"/>
    </row>
    <row r="43" spans="2:9">
      <c r="B43" s="11"/>
      <c r="C43" s="12"/>
      <c r="D43" s="12"/>
      <c r="E43" s="11"/>
      <c r="F43" s="13"/>
      <c r="G43" s="12"/>
      <c r="H43" s="13"/>
      <c r="I43" s="13"/>
    </row>
    <row r="44" spans="2:9">
      <c r="B44" s="11"/>
      <c r="C44" s="12"/>
      <c r="D44" s="12"/>
      <c r="E44" s="11"/>
      <c r="F44" s="13"/>
      <c r="G44" s="12"/>
      <c r="H44" s="13"/>
      <c r="I44" s="13"/>
    </row>
    <row r="45" spans="2:9">
      <c r="B45" s="11"/>
      <c r="C45" s="12"/>
      <c r="D45" s="12"/>
      <c r="E45" s="11"/>
      <c r="F45" s="13"/>
      <c r="G45" s="12"/>
      <c r="H45" s="13"/>
      <c r="I45" s="13"/>
    </row>
    <row r="46" spans="2:9">
      <c r="B46" s="11"/>
      <c r="C46" s="12"/>
      <c r="D46" s="12"/>
      <c r="E46" s="11"/>
      <c r="F46" s="13"/>
      <c r="G46" s="12"/>
      <c r="H46" s="13"/>
      <c r="I46" s="13"/>
    </row>
    <row r="47" spans="2:9">
      <c r="B47" s="11"/>
      <c r="C47" s="12"/>
      <c r="D47" s="12"/>
      <c r="E47" s="11"/>
      <c r="F47" s="13"/>
      <c r="G47" s="12"/>
      <c r="H47" s="13"/>
      <c r="I47" s="13"/>
    </row>
    <row r="48" spans="2:9">
      <c r="B48" s="11"/>
      <c r="C48" s="12"/>
      <c r="D48" s="12"/>
      <c r="E48" s="11"/>
      <c r="F48" s="13"/>
      <c r="G48" s="12"/>
      <c r="H48" s="13"/>
      <c r="I48" s="13"/>
    </row>
    <row r="49" spans="2:9">
      <c r="B49" s="11"/>
      <c r="C49" s="12"/>
      <c r="D49" s="12"/>
      <c r="E49" s="11"/>
      <c r="F49" s="13"/>
      <c r="G49" s="12"/>
      <c r="H49" s="13"/>
      <c r="I49" s="13"/>
    </row>
    <row r="50" spans="2:9">
      <c r="B50" s="11"/>
      <c r="C50" s="12"/>
      <c r="D50" s="12"/>
      <c r="E50" s="11"/>
      <c r="F50" s="13"/>
      <c r="G50" s="12"/>
      <c r="H50" s="13"/>
      <c r="I50" s="13"/>
    </row>
    <row r="51" spans="2:9">
      <c r="B51" s="11"/>
      <c r="C51" s="12"/>
      <c r="D51" s="12"/>
      <c r="E51" s="11"/>
      <c r="F51" s="13"/>
      <c r="G51" s="12"/>
      <c r="H51" s="13"/>
      <c r="I51" s="13"/>
    </row>
    <row r="52" spans="2:9">
      <c r="B52" s="11"/>
      <c r="C52" s="12"/>
      <c r="D52" s="12"/>
      <c r="E52" s="11"/>
      <c r="F52" s="13"/>
      <c r="G52" s="12"/>
      <c r="H52" s="13"/>
      <c r="I52" s="13"/>
    </row>
    <row r="53" spans="2:9">
      <c r="B53" s="11"/>
      <c r="C53" s="12"/>
      <c r="D53" s="12"/>
      <c r="E53" s="11"/>
      <c r="F53" s="13"/>
      <c r="G53" s="12"/>
      <c r="H53" s="13"/>
      <c r="I53" s="13"/>
    </row>
    <row r="54" spans="2:9">
      <c r="B54" s="11"/>
      <c r="C54" s="12"/>
      <c r="D54" s="12"/>
      <c r="E54" s="11"/>
      <c r="F54" s="13"/>
      <c r="G54" s="12"/>
      <c r="H54" s="13"/>
      <c r="I54" s="13"/>
    </row>
    <row r="55" spans="2:9">
      <c r="B55" s="11"/>
      <c r="C55" s="12"/>
      <c r="D55" s="12"/>
      <c r="E55" s="11"/>
      <c r="F55" s="13"/>
      <c r="G55" s="12"/>
      <c r="H55" s="13"/>
      <c r="I55" s="13"/>
    </row>
    <row r="56" spans="2:9">
      <c r="B56" s="11"/>
      <c r="C56" s="12"/>
      <c r="D56" s="12"/>
      <c r="E56" s="11"/>
      <c r="F56" s="13"/>
      <c r="G56" s="12"/>
      <c r="H56" s="13"/>
      <c r="I56" s="13"/>
    </row>
    <row r="57" spans="2:9">
      <c r="B57" s="11"/>
      <c r="C57" s="12"/>
      <c r="D57" s="12"/>
      <c r="E57" s="11"/>
      <c r="F57" s="13"/>
      <c r="G57" s="12"/>
      <c r="H57" s="13"/>
      <c r="I57" s="13"/>
    </row>
    <row r="58" spans="2:9">
      <c r="B58" s="11"/>
      <c r="C58" s="12"/>
      <c r="D58" s="12"/>
      <c r="E58" s="11"/>
      <c r="F58" s="13"/>
      <c r="G58" s="12"/>
      <c r="H58" s="13"/>
      <c r="I58" s="13"/>
    </row>
    <row r="59" spans="2:9">
      <c r="B59" s="11"/>
      <c r="C59" s="12"/>
      <c r="D59" s="12"/>
      <c r="E59" s="11"/>
      <c r="F59" s="13"/>
      <c r="G59" s="12"/>
      <c r="H59" s="13"/>
      <c r="I59" s="13"/>
    </row>
    <row r="60" spans="2:9">
      <c r="B60" s="11"/>
      <c r="C60" s="12"/>
      <c r="D60" s="12"/>
      <c r="E60" s="11"/>
      <c r="F60" s="13"/>
      <c r="G60" s="12"/>
      <c r="H60" s="13"/>
      <c r="I60" s="13"/>
    </row>
    <row r="61" spans="2:9">
      <c r="B61" s="11"/>
      <c r="C61" s="12"/>
      <c r="D61" s="12"/>
      <c r="E61" s="11"/>
      <c r="F61" s="13"/>
      <c r="G61" s="12"/>
      <c r="H61" s="13"/>
      <c r="I61" s="13"/>
    </row>
    <row r="62" spans="2:9">
      <c r="B62" s="11"/>
      <c r="C62" s="12"/>
      <c r="D62" s="12"/>
      <c r="E62" s="11"/>
      <c r="F62" s="13"/>
      <c r="G62" s="12"/>
      <c r="H62" s="13"/>
      <c r="I62" s="13"/>
    </row>
    <row r="63" spans="2:9">
      <c r="B63" s="11"/>
      <c r="C63" s="12"/>
      <c r="D63" s="12"/>
      <c r="E63" s="11"/>
      <c r="F63" s="13"/>
      <c r="G63" s="12"/>
      <c r="H63" s="13"/>
      <c r="I63" s="13"/>
    </row>
    <row r="64" spans="2:9">
      <c r="B64" s="11"/>
      <c r="C64" s="12"/>
      <c r="D64" s="12"/>
      <c r="E64" s="11"/>
      <c r="F64" s="13"/>
      <c r="G64" s="12"/>
      <c r="H64" s="13"/>
      <c r="I64" s="13"/>
    </row>
    <row r="65" spans="2:9">
      <c r="B65" s="11"/>
      <c r="C65" s="12"/>
      <c r="D65" s="12"/>
      <c r="E65" s="11"/>
      <c r="F65" s="13"/>
      <c r="G65" s="12"/>
      <c r="H65" s="13"/>
      <c r="I65" s="13"/>
    </row>
    <row r="66" spans="2:9">
      <c r="B66" s="11"/>
      <c r="C66" s="12"/>
      <c r="D66" s="12"/>
      <c r="E66" s="11"/>
      <c r="F66" s="13"/>
      <c r="G66" s="12"/>
      <c r="H66" s="13"/>
      <c r="I66" s="13"/>
    </row>
    <row r="67" spans="2:9">
      <c r="B67" s="11"/>
      <c r="C67" s="12"/>
      <c r="D67" s="12"/>
      <c r="E67" s="11"/>
      <c r="F67" s="13"/>
      <c r="G67" s="12"/>
      <c r="H67" s="13"/>
      <c r="I67" s="13"/>
    </row>
    <row r="68" spans="2:9">
      <c r="B68" s="11"/>
      <c r="C68" s="12"/>
      <c r="D68" s="12"/>
      <c r="E68" s="11"/>
      <c r="F68" s="13"/>
      <c r="G68" s="12"/>
      <c r="H68" s="13"/>
      <c r="I68" s="13"/>
    </row>
    <row r="69" spans="2:9">
      <c r="B69" s="11"/>
      <c r="C69" s="12"/>
      <c r="D69" s="12"/>
      <c r="E69" s="11"/>
      <c r="F69" s="13"/>
      <c r="G69" s="12"/>
      <c r="H69" s="13"/>
      <c r="I69" s="13"/>
    </row>
    <row r="70" spans="2:9">
      <c r="B70" s="11"/>
      <c r="C70" s="12"/>
      <c r="D70" s="12"/>
      <c r="E70" s="11"/>
      <c r="F70" s="13"/>
      <c r="G70" s="12"/>
      <c r="H70" s="13"/>
      <c r="I70" s="13"/>
    </row>
    <row r="71" spans="2:9">
      <c r="B71" s="11"/>
      <c r="C71" s="12"/>
      <c r="D71" s="12"/>
      <c r="E71" s="11"/>
      <c r="F71" s="13"/>
      <c r="G71" s="12"/>
      <c r="H71" s="13"/>
      <c r="I71" s="13"/>
    </row>
    <row r="72" spans="2:9">
      <c r="B72" s="11"/>
      <c r="C72" s="12"/>
      <c r="D72" s="12"/>
      <c r="E72" s="11"/>
      <c r="F72" s="13"/>
      <c r="G72" s="12"/>
      <c r="H72" s="13"/>
      <c r="I72" s="13"/>
    </row>
    <row r="73" spans="2:9">
      <c r="B73" s="11"/>
      <c r="C73" s="12"/>
      <c r="D73" s="12"/>
      <c r="E73" s="11"/>
      <c r="F73" s="13"/>
      <c r="G73" s="12"/>
      <c r="H73" s="13"/>
      <c r="I73" s="13"/>
    </row>
    <row r="74" spans="2:9">
      <c r="B74" s="11"/>
      <c r="C74" s="12"/>
      <c r="D74" s="12"/>
      <c r="E74" s="11"/>
      <c r="F74" s="13"/>
      <c r="G74" s="12"/>
      <c r="H74" s="13"/>
      <c r="I74" s="13"/>
    </row>
    <row r="75" spans="2:9">
      <c r="B75" s="11"/>
      <c r="C75" s="12"/>
      <c r="D75" s="12"/>
      <c r="E75" s="11"/>
      <c r="F75" s="13"/>
      <c r="G75" s="12"/>
      <c r="H75" s="13"/>
      <c r="I75" s="13"/>
    </row>
    <row r="76" spans="2:9">
      <c r="B76" s="11"/>
      <c r="C76" s="12"/>
      <c r="D76" s="12"/>
      <c r="E76" s="11"/>
      <c r="F76" s="13"/>
      <c r="G76" s="12"/>
      <c r="H76" s="13"/>
      <c r="I76" s="13"/>
    </row>
    <row r="77" spans="2:9">
      <c r="B77" s="11"/>
      <c r="C77" s="12"/>
      <c r="D77" s="12"/>
      <c r="E77" s="11"/>
      <c r="F77" s="13"/>
      <c r="G77" s="12"/>
      <c r="H77" s="13"/>
      <c r="I77" s="13"/>
    </row>
    <row r="78" spans="2:9">
      <c r="B78" s="11"/>
      <c r="C78" s="12"/>
      <c r="D78" s="12"/>
      <c r="E78" s="11"/>
      <c r="F78" s="13"/>
      <c r="G78" s="12"/>
      <c r="H78" s="13"/>
      <c r="I78" s="13"/>
    </row>
    <row r="79" spans="2:9">
      <c r="B79" s="11"/>
      <c r="C79" s="12"/>
      <c r="D79" s="12"/>
      <c r="E79" s="11"/>
      <c r="F79" s="13"/>
      <c r="G79" s="12"/>
      <c r="H79" s="13"/>
      <c r="I79" s="13"/>
    </row>
    <row r="80" spans="2:9">
      <c r="B80" s="11"/>
      <c r="C80" s="12"/>
      <c r="D80" s="12"/>
      <c r="E80" s="11"/>
      <c r="F80" s="13"/>
      <c r="G80" s="12"/>
      <c r="H80" s="13"/>
      <c r="I80" s="13"/>
    </row>
    <row r="81" spans="2:9">
      <c r="B81" s="11"/>
      <c r="C81" s="12"/>
      <c r="D81" s="12"/>
      <c r="E81" s="11"/>
      <c r="F81" s="13"/>
      <c r="G81" s="12"/>
      <c r="H81" s="13"/>
      <c r="I81" s="13"/>
    </row>
    <row r="82" spans="2:9">
      <c r="B82" s="11"/>
      <c r="C82" s="12"/>
      <c r="D82" s="12"/>
      <c r="E82" s="11"/>
      <c r="F82" s="13"/>
      <c r="G82" s="12"/>
      <c r="H82" s="13"/>
      <c r="I82" s="13"/>
    </row>
    <row r="83" spans="2:9">
      <c r="B83" s="11"/>
      <c r="C83" s="12"/>
      <c r="D83" s="12"/>
      <c r="E83" s="11"/>
      <c r="F83" s="13"/>
      <c r="G83" s="12"/>
      <c r="H83" s="13"/>
      <c r="I83" s="13"/>
    </row>
    <row r="84" spans="2:9">
      <c r="B84" s="11"/>
      <c r="C84" s="12"/>
      <c r="D84" s="12"/>
      <c r="E84" s="11"/>
      <c r="F84" s="13"/>
      <c r="G84" s="12"/>
      <c r="H84" s="13"/>
      <c r="I84" s="13"/>
    </row>
    <row r="85" spans="2:9">
      <c r="B85" s="11"/>
      <c r="C85" s="12"/>
      <c r="D85" s="12"/>
      <c r="E85" s="11"/>
      <c r="F85" s="13"/>
      <c r="G85" s="12"/>
      <c r="H85" s="13"/>
      <c r="I85" s="13"/>
    </row>
    <row r="86" spans="2:9">
      <c r="B86" s="11"/>
      <c r="C86" s="12"/>
      <c r="D86" s="12"/>
      <c r="E86" s="11"/>
      <c r="F86" s="13"/>
      <c r="G86" s="12"/>
      <c r="H86" s="13"/>
      <c r="I86" s="13"/>
    </row>
    <row r="87" spans="2:9">
      <c r="B87" s="11"/>
      <c r="C87" s="12"/>
      <c r="D87" s="12"/>
      <c r="E87" s="11"/>
      <c r="F87" s="13"/>
      <c r="G87" s="12"/>
      <c r="H87" s="13"/>
      <c r="I87" s="13"/>
    </row>
    <row r="88" spans="2:9">
      <c r="B88" s="11"/>
      <c r="C88" s="12"/>
      <c r="D88" s="12"/>
      <c r="E88" s="11"/>
      <c r="F88" s="13"/>
      <c r="G88" s="12"/>
      <c r="H88" s="13"/>
      <c r="I88" s="13"/>
    </row>
    <row r="89" spans="2:9">
      <c r="B89" s="11"/>
      <c r="C89" s="12"/>
      <c r="D89" s="12"/>
      <c r="E89" s="11"/>
      <c r="G89" s="12"/>
      <c r="H89" s="13"/>
      <c r="I89" s="13"/>
    </row>
  </sheetData>
  <phoneticPr fontId="3" type="noConversion"/>
  <hyperlinks>
    <hyperlink ref="A1" location="目錄!A1" display="回到目錄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/>
  </sheetViews>
  <sheetFormatPr defaultRowHeight="13.8"/>
  <cols>
    <col min="1" max="1" width="7.453125" style="39" bestFit="1" customWidth="1"/>
    <col min="2" max="2" width="8.54296875" style="39" customWidth="1"/>
    <col min="3" max="3" width="8.81640625" style="39" bestFit="1" customWidth="1"/>
    <col min="4" max="4" width="7.26953125" style="39" bestFit="1" customWidth="1"/>
    <col min="5" max="5" width="7.08984375" style="39" bestFit="1" customWidth="1"/>
    <col min="6" max="6" width="22.90625" style="39" customWidth="1"/>
    <col min="7" max="7" width="10" style="39" bestFit="1" customWidth="1"/>
    <col min="8" max="8" width="7" style="39" customWidth="1"/>
    <col min="9" max="9" width="10.36328125" style="39" bestFit="1" customWidth="1"/>
    <col min="10" max="10" width="7.81640625" style="39" customWidth="1"/>
    <col min="11" max="16384" width="8.7265625" style="39"/>
  </cols>
  <sheetData>
    <row r="1" spans="1:10">
      <c r="A1" s="69" t="s">
        <v>36</v>
      </c>
      <c r="B1" s="80" t="s">
        <v>80</v>
      </c>
      <c r="C1" s="80" t="s">
        <v>4706</v>
      </c>
      <c r="D1" s="80" t="s">
        <v>4074</v>
      </c>
      <c r="E1" s="80" t="s">
        <v>4076</v>
      </c>
      <c r="F1" s="80" t="s">
        <v>4732</v>
      </c>
      <c r="G1" s="80" t="s">
        <v>0</v>
      </c>
      <c r="H1" s="80" t="s">
        <v>1</v>
      </c>
      <c r="I1" s="80" t="s">
        <v>19</v>
      </c>
      <c r="J1" s="80" t="s">
        <v>2</v>
      </c>
    </row>
    <row r="2" spans="1:10">
      <c r="B2" s="39" t="s">
        <v>4704</v>
      </c>
      <c r="C2" s="39" t="s">
        <v>4705</v>
      </c>
      <c r="D2" s="39">
        <v>15</v>
      </c>
      <c r="E2" s="39">
        <v>30</v>
      </c>
      <c r="F2" s="39">
        <v>1.9</v>
      </c>
      <c r="H2" s="39" t="s">
        <v>522</v>
      </c>
      <c r="J2" s="39" t="s">
        <v>522</v>
      </c>
    </row>
    <row r="3" spans="1:10">
      <c r="B3" s="39" t="s">
        <v>4704</v>
      </c>
      <c r="C3" s="39" t="s">
        <v>4705</v>
      </c>
      <c r="D3" s="39">
        <v>31</v>
      </c>
      <c r="E3" s="39">
        <v>40</v>
      </c>
      <c r="F3" s="39">
        <v>1.6</v>
      </c>
      <c r="H3" s="39" t="s">
        <v>522</v>
      </c>
      <c r="J3" s="39" t="s">
        <v>522</v>
      </c>
    </row>
    <row r="4" spans="1:10">
      <c r="B4" s="39" t="s">
        <v>4704</v>
      </c>
      <c r="C4" s="39" t="s">
        <v>4705</v>
      </c>
      <c r="D4" s="39">
        <v>41</v>
      </c>
      <c r="E4" s="39">
        <v>50</v>
      </c>
      <c r="F4" s="39">
        <v>1.4</v>
      </c>
      <c r="H4" s="39" t="s">
        <v>522</v>
      </c>
      <c r="J4" s="39" t="s">
        <v>522</v>
      </c>
    </row>
    <row r="5" spans="1:10">
      <c r="B5" s="39" t="s">
        <v>4704</v>
      </c>
      <c r="C5" s="39" t="s">
        <v>4705</v>
      </c>
      <c r="D5" s="39">
        <v>51</v>
      </c>
      <c r="E5" s="39">
        <v>60</v>
      </c>
      <c r="F5" s="39">
        <v>1.2</v>
      </c>
      <c r="H5" s="39" t="s">
        <v>522</v>
      </c>
      <c r="J5" s="39" t="s">
        <v>522</v>
      </c>
    </row>
    <row r="6" spans="1:10">
      <c r="B6" s="39" t="s">
        <v>4704</v>
      </c>
      <c r="C6" s="39" t="s">
        <v>4705</v>
      </c>
      <c r="D6" s="39">
        <v>61</v>
      </c>
      <c r="E6" s="39">
        <v>70</v>
      </c>
      <c r="F6" s="39">
        <v>1.1000000000000001</v>
      </c>
      <c r="H6" s="39" t="s">
        <v>522</v>
      </c>
      <c r="J6" s="39" t="s">
        <v>522</v>
      </c>
    </row>
    <row r="7" spans="1:10">
      <c r="B7" s="39" t="s">
        <v>4704</v>
      </c>
      <c r="C7" s="39" t="s">
        <v>4705</v>
      </c>
      <c r="D7" s="39">
        <v>71</v>
      </c>
      <c r="E7" s="39">
        <v>80</v>
      </c>
      <c r="F7" s="39">
        <v>1.02</v>
      </c>
      <c r="H7" s="39" t="s">
        <v>522</v>
      </c>
      <c r="J7" s="39" t="s">
        <v>522</v>
      </c>
    </row>
    <row r="8" spans="1:10">
      <c r="B8" s="39" t="s">
        <v>4704</v>
      </c>
      <c r="C8" s="39" t="s">
        <v>3154</v>
      </c>
      <c r="D8" s="39">
        <v>15</v>
      </c>
      <c r="E8" s="39">
        <v>30</v>
      </c>
      <c r="F8" s="39">
        <v>0.9</v>
      </c>
      <c r="H8" s="39" t="s">
        <v>522</v>
      </c>
      <c r="J8" s="39" t="s">
        <v>522</v>
      </c>
    </row>
    <row r="9" spans="1:10">
      <c r="B9" s="39" t="s">
        <v>4704</v>
      </c>
      <c r="C9" s="39" t="s">
        <v>3154</v>
      </c>
      <c r="D9" s="39">
        <v>31</v>
      </c>
      <c r="E9" s="39">
        <v>40</v>
      </c>
      <c r="F9" s="39">
        <v>0.6</v>
      </c>
      <c r="H9" s="39" t="s">
        <v>522</v>
      </c>
      <c r="J9" s="39" t="s">
        <v>522</v>
      </c>
    </row>
    <row r="10" spans="1:10">
      <c r="B10" s="39" t="s">
        <v>4704</v>
      </c>
      <c r="C10" s="39" t="s">
        <v>3154</v>
      </c>
      <c r="D10" s="39">
        <v>41</v>
      </c>
      <c r="E10" s="39">
        <v>50</v>
      </c>
      <c r="F10" s="39">
        <v>0.4</v>
      </c>
      <c r="H10" s="39" t="s">
        <v>522</v>
      </c>
      <c r="J10" s="39" t="s">
        <v>522</v>
      </c>
    </row>
    <row r="11" spans="1:10">
      <c r="B11" s="39" t="s">
        <v>4704</v>
      </c>
      <c r="C11" s="39" t="s">
        <v>3154</v>
      </c>
      <c r="D11" s="39">
        <v>51</v>
      </c>
      <c r="E11" s="39">
        <v>60</v>
      </c>
      <c r="F11" s="39">
        <v>0.2</v>
      </c>
      <c r="H11" s="39" t="s">
        <v>522</v>
      </c>
      <c r="J11" s="39" t="s">
        <v>522</v>
      </c>
    </row>
    <row r="12" spans="1:10">
      <c r="B12" s="39" t="s">
        <v>4704</v>
      </c>
      <c r="C12" s="39" t="s">
        <v>3154</v>
      </c>
      <c r="D12" s="39">
        <v>61</v>
      </c>
      <c r="E12" s="39">
        <v>70</v>
      </c>
      <c r="F12" s="39">
        <v>0.1</v>
      </c>
      <c r="H12" s="39" t="s">
        <v>522</v>
      </c>
      <c r="J12" s="39" t="s">
        <v>522</v>
      </c>
    </row>
    <row r="13" spans="1:10">
      <c r="B13" s="39" t="s">
        <v>4704</v>
      </c>
      <c r="C13" s="39" t="s">
        <v>3154</v>
      </c>
      <c r="D13" s="39">
        <v>71</v>
      </c>
      <c r="E13" s="39">
        <v>80</v>
      </c>
      <c r="F13" s="39">
        <v>0.02</v>
      </c>
      <c r="H13" s="39" t="s">
        <v>522</v>
      </c>
      <c r="J13" s="39" t="s">
        <v>522</v>
      </c>
    </row>
  </sheetData>
  <phoneticPr fontId="3" type="noConversion"/>
  <hyperlinks>
    <hyperlink ref="A1" location="目錄!A1" display="回到目錄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2"/>
  <sheetViews>
    <sheetView workbookViewId="0">
      <selection activeCell="H14" sqref="H14"/>
    </sheetView>
  </sheetViews>
  <sheetFormatPr defaultColWidth="11.1796875" defaultRowHeight="13.8"/>
  <cols>
    <col min="1" max="1" width="7.453125" style="10" bestFit="1" customWidth="1"/>
    <col min="2" max="2" width="4.36328125" style="14" bestFit="1" customWidth="1"/>
    <col min="3" max="3" width="20.90625" style="10" bestFit="1" customWidth="1"/>
    <col min="4" max="4" width="10" style="10" bestFit="1" customWidth="1"/>
    <col min="5" max="5" width="7.54296875" style="14" bestFit="1" customWidth="1"/>
    <col min="6" max="6" width="10" style="15" bestFit="1" customWidth="1"/>
    <col min="7" max="7" width="15.6328125" style="10" bestFit="1" customWidth="1"/>
    <col min="8" max="8" width="33.54296875" style="15" customWidth="1"/>
    <col min="9" max="9" width="10.08984375" style="15" bestFit="1" customWidth="1"/>
    <col min="10" max="11" width="3.26953125" style="14" bestFit="1" customWidth="1"/>
    <col min="12" max="12" width="4.26953125" style="10" bestFit="1" customWidth="1"/>
    <col min="13" max="13" width="9.81640625" style="10" customWidth="1"/>
    <col min="14" max="19" width="6.6328125" style="10" customWidth="1"/>
    <col min="20" max="23" width="14.453125" style="10" customWidth="1"/>
    <col min="24" max="16384" width="11.1796875" style="10"/>
  </cols>
  <sheetData>
    <row r="1" spans="1:19">
      <c r="A1" s="23" t="s">
        <v>36</v>
      </c>
      <c r="B1" s="5" t="s">
        <v>5</v>
      </c>
      <c r="C1" s="6" t="s">
        <v>3</v>
      </c>
      <c r="D1" s="6" t="s">
        <v>4</v>
      </c>
      <c r="E1" s="7" t="s">
        <v>6</v>
      </c>
      <c r="F1" s="9" t="s">
        <v>13</v>
      </c>
      <c r="G1" s="8" t="s">
        <v>7</v>
      </c>
      <c r="H1" s="9" t="s">
        <v>8</v>
      </c>
      <c r="I1" s="9" t="s">
        <v>139</v>
      </c>
      <c r="L1" s="72" t="s">
        <v>350</v>
      </c>
      <c r="M1" s="72" t="s">
        <v>4712</v>
      </c>
      <c r="N1" s="72" t="s">
        <v>470</v>
      </c>
      <c r="O1" s="72" t="s">
        <v>471</v>
      </c>
      <c r="P1" s="72" t="s">
        <v>472</v>
      </c>
      <c r="Q1" s="72" t="s">
        <v>473</v>
      </c>
      <c r="R1" s="72" t="s">
        <v>474</v>
      </c>
      <c r="S1" s="73" t="s">
        <v>475</v>
      </c>
    </row>
    <row r="2" spans="1:19">
      <c r="B2" s="11" t="s">
        <v>14</v>
      </c>
      <c r="C2" s="13" t="s">
        <v>171</v>
      </c>
      <c r="D2" s="18" t="s">
        <v>111</v>
      </c>
      <c r="E2" s="11"/>
      <c r="F2" s="12"/>
      <c r="G2" s="12" t="s">
        <v>4719</v>
      </c>
      <c r="H2" s="16"/>
      <c r="I2" s="16"/>
      <c r="L2" s="36"/>
      <c r="M2" s="34"/>
      <c r="N2" s="36" t="str">
        <f>"EXEC sp_dropextendedproperty @name = N'MS_Description', @level0type=N'SCHEMA',@level0name=N'"&amp;$L$1&amp;"', @level1type=N'TABLE',@level1name=N'"&amp;$M$1&amp;"', @level2type=N'COLUMN',@level2name=N'"&amp;$C2&amp;"'"</f>
        <v>EXEC sp_dropextendedproperty @name = N'MS_Description', @level0type=N'SCHEMA',@level0name=N'dbo', @level1type=N'TABLE',@level1name=N'LifeInsAmtLimitInvEnd', @level2type=N'COLUMN',@level2name=N'PlanCode'</v>
      </c>
      <c r="O2" s="36" t="str">
        <f>"EXEC sp_dropextendedproperty @name = N'Rule', @level0type=N'SCHEMA',@level0name=N'"&amp;$L$1&amp;"', @level1type=N'TABLE',@level1name=N'"&amp;$M$1&amp;"', @level2type=N'COLUMN',@level2name=N'"&amp;$C2&amp;"'"</f>
        <v>EXEC sp_dropextendedproperty @name = N'Rule', @level0type=N'SCHEMA',@level0name=N'dbo', @level1type=N'TABLE',@level1name=N'LifeInsAmtLimitInvEnd', @level2type=N'COLUMN',@level2name=N'PlanCode'</v>
      </c>
      <c r="P2" s="36" t="str">
        <f>"EXEC sp_dropextendedproperty @name = N'Memo', @level0type=N'SCHEMA',@level0name=N'"&amp;$L$1&amp;"', @level1type=N'TABLE',@level1name=N'"&amp;$M$1&amp;"', @level2type=N'COLUMN',@level2name=N'"&amp;$C2&amp;"'"</f>
        <v>EXEC sp_dropextendedproperty @name = N'Memo', @level0type=N'SCHEMA',@level0name=N'dbo', @level1type=N'TABLE',@level1name=N'LifeInsAmtLimitInvEnd', @level2type=N'COLUMN',@level2name=N'PlanCode'</v>
      </c>
      <c r="Q2" s="36" t="str">
        <f>"set @OldWording = N'"&amp;SUBSTITUTE($G2,CHAR(10),"")&amp;"'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@level2type=N'COLUMN',@level2name=N'"&amp;$C2&amp;"'"</f>
        <v>set @OldWording = N'險種代碼' set @NewWording = REPLACE(@OldWording,'***',char(13)+char(10)) EXEC sys.sp_addextendedproperty @name=N'MS_Description', @value=@NewWording , @level0type=N'SCHEMA',@level0name=N'dbo', @level1type=N'TABLE',@level1name=N'LifeInsAmtLimitInvEnd', @level2type=N'COLUMN',@level2name=N'PlanCode'</v>
      </c>
      <c r="R2" s="32" t="str">
        <f>"set @OldWording = N'"&amp;SUBSTITUTE($H2,CHAR(10),"")&amp;"'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@name=N'Rule', @value=@NewWording , @level0type=N'SCHEMA',@level0name=N'dbo', @level1type=N'TABLE',@level1name=N'LifeInsAmtLimitInvEnd', @level2type=N'COLUMN',@level2name=N'PlanCode'</v>
      </c>
      <c r="S2" s="36" t="str">
        <f>"set @OldWording = N'"&amp;SUBSTITUTE($I2,CHAR(10),"")&amp;"' set @NewWording = REPLACE(@OldWording,'***',char(13)+char(10)) "&amp;"EXEC sys.sp_addextendedproperty @name=N'Memo',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@name=N'Memo', @value=@NewWording , @level0type=N'SCHEMA',@level0name=N'dbo', @level1type=N'TABLE',@level1name=N'LifeInsAmtLimitInvEnd', @level2type=N'COLUMN',@level2name=N'PlanCode'</v>
      </c>
    </row>
    <row r="3" spans="1:19" ht="27.6">
      <c r="B3" s="11" t="s">
        <v>14</v>
      </c>
      <c r="C3" s="15" t="s">
        <v>3728</v>
      </c>
      <c r="D3" s="15" t="s">
        <v>21</v>
      </c>
      <c r="F3" s="10"/>
      <c r="G3" s="10" t="s">
        <v>4720</v>
      </c>
      <c r="H3" s="16" t="s">
        <v>3652</v>
      </c>
      <c r="I3" s="16"/>
      <c r="L3" s="14"/>
      <c r="M3" s="14"/>
      <c r="N3" s="14"/>
      <c r="O3" s="14"/>
      <c r="P3" s="14"/>
    </row>
    <row r="4" spans="1:19">
      <c r="B4" s="11" t="s">
        <v>14</v>
      </c>
      <c r="C4" s="13" t="s">
        <v>4073</v>
      </c>
      <c r="D4" s="18" t="s">
        <v>367</v>
      </c>
      <c r="E4" s="11"/>
      <c r="F4" s="12"/>
      <c r="G4" s="18" t="s">
        <v>4723</v>
      </c>
      <c r="H4" s="16"/>
      <c r="I4" s="27"/>
      <c r="L4" s="14"/>
      <c r="M4" s="14"/>
      <c r="N4" s="14"/>
      <c r="O4" s="14"/>
      <c r="P4" s="14"/>
    </row>
    <row r="5" spans="1:19">
      <c r="B5" s="11" t="s">
        <v>14</v>
      </c>
      <c r="C5" s="12" t="s">
        <v>4910</v>
      </c>
      <c r="D5" s="18" t="s">
        <v>367</v>
      </c>
      <c r="E5" s="11"/>
      <c r="G5" s="10" t="s">
        <v>4724</v>
      </c>
      <c r="H5" s="16"/>
      <c r="I5" s="27"/>
      <c r="L5" s="14"/>
      <c r="M5" s="14"/>
      <c r="N5" s="14"/>
      <c r="O5" s="14"/>
      <c r="P5" s="14"/>
    </row>
    <row r="6" spans="1:19" ht="41.4">
      <c r="B6" s="11"/>
      <c r="C6" s="13" t="s">
        <v>4992</v>
      </c>
      <c r="D6" s="15" t="s">
        <v>21</v>
      </c>
      <c r="E6" s="11"/>
      <c r="F6" s="12"/>
      <c r="G6" s="12" t="s">
        <v>5001</v>
      </c>
      <c r="H6" s="16" t="s">
        <v>5002</v>
      </c>
      <c r="I6" s="27"/>
      <c r="L6" s="14"/>
      <c r="M6" s="14"/>
      <c r="N6" s="14"/>
      <c r="O6" s="14"/>
      <c r="P6" s="14"/>
    </row>
    <row r="7" spans="1:19">
      <c r="C7" s="12" t="s">
        <v>4911</v>
      </c>
      <c r="D7" s="13" t="s">
        <v>23</v>
      </c>
      <c r="E7" s="11" t="s">
        <v>16</v>
      </c>
      <c r="G7" s="10" t="s">
        <v>4707</v>
      </c>
      <c r="H7" s="16"/>
      <c r="I7" s="16"/>
    </row>
    <row r="8" spans="1:19">
      <c r="C8" s="12" t="s">
        <v>4728</v>
      </c>
      <c r="D8" s="13" t="s">
        <v>23</v>
      </c>
      <c r="E8" s="11" t="s">
        <v>16</v>
      </c>
      <c r="G8" s="10" t="s">
        <v>4708</v>
      </c>
      <c r="H8" s="15" t="s">
        <v>4722</v>
      </c>
    </row>
    <row r="9" spans="1:19">
      <c r="B9" s="11"/>
      <c r="C9" s="13" t="s">
        <v>4733</v>
      </c>
      <c r="D9" s="13" t="s">
        <v>44</v>
      </c>
      <c r="E9" s="11" t="s">
        <v>16</v>
      </c>
      <c r="F9" s="13"/>
      <c r="G9" s="10" t="s">
        <v>4734</v>
      </c>
      <c r="H9" s="15" t="s">
        <v>4726</v>
      </c>
    </row>
    <row r="10" spans="1:19">
      <c r="B10" s="11"/>
      <c r="C10" s="12" t="s">
        <v>0</v>
      </c>
      <c r="D10" s="12" t="s">
        <v>11</v>
      </c>
      <c r="E10" s="11" t="s">
        <v>16</v>
      </c>
      <c r="F10" s="13" t="s">
        <v>20</v>
      </c>
      <c r="G10" s="12" t="s">
        <v>30</v>
      </c>
      <c r="H10" s="13"/>
      <c r="I10" s="13"/>
    </row>
    <row r="11" spans="1:19">
      <c r="B11" s="11"/>
      <c r="C11" s="12" t="s">
        <v>1</v>
      </c>
      <c r="D11" s="12" t="s">
        <v>37</v>
      </c>
      <c r="E11" s="11"/>
      <c r="F11" s="13"/>
      <c r="G11" s="12" t="s">
        <v>31</v>
      </c>
      <c r="H11" s="13"/>
      <c r="I11" s="13"/>
    </row>
    <row r="12" spans="1:19">
      <c r="B12" s="11"/>
      <c r="C12" s="12" t="s">
        <v>19</v>
      </c>
      <c r="D12" s="12" t="s">
        <v>11</v>
      </c>
      <c r="E12" s="11" t="s">
        <v>16</v>
      </c>
      <c r="F12" s="13" t="s">
        <v>20</v>
      </c>
      <c r="G12" s="12" t="s">
        <v>32</v>
      </c>
      <c r="H12" s="13"/>
      <c r="I12" s="13"/>
    </row>
    <row r="13" spans="1:19">
      <c r="B13" s="11"/>
      <c r="C13" s="12" t="s">
        <v>2</v>
      </c>
      <c r="D13" s="12" t="s">
        <v>37</v>
      </c>
      <c r="E13" s="11"/>
      <c r="F13" s="13"/>
      <c r="G13" s="12" t="s">
        <v>33</v>
      </c>
      <c r="H13" s="13"/>
      <c r="I13" s="13"/>
    </row>
    <row r="14" spans="1:19">
      <c r="B14" s="11"/>
      <c r="C14" s="12"/>
      <c r="D14" s="12"/>
      <c r="E14" s="11"/>
      <c r="F14" s="13"/>
      <c r="G14" s="12"/>
      <c r="H14" s="13"/>
      <c r="I14" s="13"/>
    </row>
    <row r="15" spans="1:19">
      <c r="B15" s="11"/>
      <c r="C15" s="12"/>
      <c r="D15" s="12"/>
      <c r="E15" s="11"/>
      <c r="F15" s="13"/>
      <c r="G15" s="12"/>
      <c r="H15" s="13"/>
      <c r="I15" s="13"/>
    </row>
    <row r="16" spans="1:19">
      <c r="B16" s="11"/>
      <c r="C16" s="12"/>
      <c r="D16" s="12"/>
      <c r="E16" s="11"/>
      <c r="F16" s="13"/>
      <c r="G16" s="12"/>
      <c r="H16" s="13"/>
      <c r="I16" s="13"/>
    </row>
    <row r="17" spans="2:9">
      <c r="B17" s="11"/>
      <c r="C17" s="12"/>
      <c r="D17" s="12"/>
      <c r="E17" s="11"/>
      <c r="F17" s="13"/>
      <c r="G17" s="12"/>
      <c r="H17" s="13"/>
      <c r="I17" s="13"/>
    </row>
    <row r="18" spans="2:9">
      <c r="B18" s="11"/>
      <c r="C18" s="12"/>
      <c r="D18" s="12"/>
      <c r="E18" s="11"/>
      <c r="F18" s="13"/>
      <c r="G18" s="12"/>
      <c r="H18" s="13"/>
      <c r="I18" s="13"/>
    </row>
    <row r="19" spans="2:9">
      <c r="B19" s="11"/>
      <c r="C19" s="12"/>
      <c r="D19" s="12"/>
      <c r="E19" s="11"/>
      <c r="F19" s="13"/>
      <c r="G19" s="12"/>
      <c r="H19" s="13"/>
      <c r="I19" s="13"/>
    </row>
    <row r="20" spans="2:9">
      <c r="B20" s="11"/>
      <c r="C20" s="12"/>
      <c r="D20" s="12"/>
      <c r="E20" s="11"/>
      <c r="F20" s="13"/>
      <c r="G20" s="12"/>
      <c r="H20" s="13"/>
      <c r="I20" s="13"/>
    </row>
    <row r="21" spans="2:9">
      <c r="B21" s="11"/>
      <c r="C21" s="12"/>
      <c r="D21" s="12"/>
      <c r="E21" s="11"/>
      <c r="F21" s="13"/>
      <c r="G21" s="12"/>
      <c r="H21" s="13"/>
      <c r="I21" s="13"/>
    </row>
    <row r="22" spans="2:9">
      <c r="B22" s="11"/>
      <c r="C22" s="12"/>
      <c r="D22" s="12"/>
      <c r="E22" s="11"/>
      <c r="F22" s="13"/>
      <c r="G22" s="12"/>
      <c r="H22" s="13"/>
      <c r="I22" s="13"/>
    </row>
    <row r="23" spans="2:9">
      <c r="B23" s="11"/>
      <c r="C23" s="12"/>
      <c r="D23" s="12"/>
      <c r="E23" s="11"/>
      <c r="F23" s="13"/>
      <c r="G23" s="12"/>
      <c r="H23" s="13"/>
      <c r="I23" s="13"/>
    </row>
    <row r="24" spans="2:9">
      <c r="B24" s="11"/>
      <c r="C24" s="12"/>
      <c r="D24" s="12"/>
      <c r="E24" s="11"/>
      <c r="F24" s="13"/>
      <c r="G24" s="12"/>
      <c r="H24" s="13"/>
      <c r="I24" s="13"/>
    </row>
    <row r="25" spans="2:9">
      <c r="B25" s="11"/>
      <c r="C25" s="12"/>
      <c r="D25" s="12"/>
      <c r="E25" s="11"/>
      <c r="F25" s="13"/>
      <c r="G25" s="12"/>
      <c r="H25" s="13"/>
      <c r="I25" s="13"/>
    </row>
    <row r="26" spans="2:9">
      <c r="B26" s="11"/>
      <c r="C26" s="12"/>
      <c r="D26" s="12"/>
      <c r="E26" s="11"/>
      <c r="F26" s="13"/>
      <c r="G26" s="12"/>
      <c r="H26" s="13"/>
      <c r="I26" s="13"/>
    </row>
    <row r="27" spans="2:9">
      <c r="B27" s="11"/>
      <c r="C27" s="12"/>
      <c r="D27" s="12"/>
      <c r="E27" s="11"/>
      <c r="F27" s="13"/>
      <c r="G27" s="12"/>
      <c r="H27" s="13"/>
      <c r="I27" s="13"/>
    </row>
    <row r="28" spans="2:9">
      <c r="B28" s="11"/>
      <c r="C28" s="12"/>
      <c r="D28" s="12"/>
      <c r="E28" s="11"/>
      <c r="F28" s="13"/>
      <c r="G28" s="12"/>
      <c r="H28" s="13"/>
      <c r="I28" s="13"/>
    </row>
    <row r="29" spans="2:9">
      <c r="B29" s="11"/>
      <c r="C29" s="12"/>
      <c r="D29" s="12"/>
      <c r="E29" s="11"/>
      <c r="F29" s="13"/>
      <c r="G29" s="12"/>
      <c r="H29" s="13"/>
      <c r="I29" s="13"/>
    </row>
    <row r="30" spans="2:9">
      <c r="B30" s="11"/>
      <c r="C30" s="12"/>
      <c r="D30" s="12"/>
      <c r="E30" s="11"/>
      <c r="F30" s="13"/>
      <c r="G30" s="12"/>
      <c r="H30" s="13"/>
      <c r="I30" s="13"/>
    </row>
    <row r="31" spans="2:9">
      <c r="B31" s="11"/>
      <c r="C31" s="12"/>
      <c r="D31" s="12"/>
      <c r="E31" s="11"/>
      <c r="F31" s="13"/>
      <c r="G31" s="12"/>
      <c r="H31" s="13"/>
      <c r="I31" s="13"/>
    </row>
    <row r="32" spans="2:9">
      <c r="B32" s="11"/>
      <c r="C32" s="12"/>
      <c r="D32" s="12"/>
      <c r="E32" s="11"/>
      <c r="F32" s="13"/>
      <c r="G32" s="12"/>
      <c r="H32" s="13"/>
      <c r="I32" s="13"/>
    </row>
    <row r="33" spans="2:9">
      <c r="B33" s="11"/>
      <c r="C33" s="12"/>
      <c r="D33" s="12"/>
      <c r="E33" s="11"/>
      <c r="F33" s="13"/>
      <c r="G33" s="12"/>
      <c r="H33" s="13"/>
      <c r="I33" s="13"/>
    </row>
    <row r="34" spans="2:9">
      <c r="B34" s="11"/>
      <c r="C34" s="12"/>
      <c r="D34" s="12"/>
      <c r="E34" s="11"/>
      <c r="F34" s="13"/>
      <c r="G34" s="12"/>
      <c r="H34" s="13"/>
      <c r="I34" s="13"/>
    </row>
    <row r="35" spans="2:9">
      <c r="B35" s="11"/>
      <c r="C35" s="12"/>
      <c r="D35" s="12"/>
      <c r="E35" s="11"/>
      <c r="F35" s="13"/>
      <c r="G35" s="12"/>
      <c r="H35" s="13"/>
      <c r="I35" s="13"/>
    </row>
    <row r="36" spans="2:9">
      <c r="B36" s="11"/>
      <c r="C36" s="12"/>
      <c r="D36" s="12"/>
      <c r="E36" s="11"/>
      <c r="F36" s="13"/>
      <c r="G36" s="12"/>
      <c r="H36" s="13"/>
      <c r="I36" s="13"/>
    </row>
    <row r="37" spans="2:9">
      <c r="B37" s="11"/>
      <c r="C37" s="12"/>
      <c r="D37" s="12"/>
      <c r="E37" s="11"/>
      <c r="F37" s="13"/>
      <c r="G37" s="12"/>
      <c r="H37" s="13"/>
      <c r="I37" s="13"/>
    </row>
    <row r="38" spans="2:9">
      <c r="B38" s="11"/>
      <c r="C38" s="12"/>
      <c r="D38" s="12"/>
      <c r="E38" s="11"/>
      <c r="F38" s="13"/>
      <c r="G38" s="12"/>
      <c r="H38" s="13"/>
      <c r="I38" s="13"/>
    </row>
    <row r="39" spans="2:9">
      <c r="B39" s="11"/>
      <c r="C39" s="12"/>
      <c r="D39" s="12"/>
      <c r="E39" s="11"/>
      <c r="F39" s="13"/>
      <c r="G39" s="12"/>
      <c r="H39" s="13"/>
      <c r="I39" s="13"/>
    </row>
    <row r="40" spans="2:9">
      <c r="B40" s="11"/>
      <c r="C40" s="12"/>
      <c r="D40" s="12"/>
      <c r="E40" s="11"/>
      <c r="F40" s="13"/>
      <c r="G40" s="12"/>
      <c r="H40" s="13"/>
      <c r="I40" s="13"/>
    </row>
    <row r="41" spans="2:9">
      <c r="B41" s="11"/>
      <c r="C41" s="12"/>
      <c r="D41" s="12"/>
      <c r="E41" s="11"/>
      <c r="F41" s="13"/>
      <c r="G41" s="12"/>
      <c r="H41" s="13"/>
      <c r="I41" s="13"/>
    </row>
    <row r="42" spans="2:9">
      <c r="B42" s="11"/>
      <c r="C42" s="12"/>
      <c r="D42" s="12"/>
      <c r="E42" s="11"/>
      <c r="F42" s="13"/>
      <c r="G42" s="12"/>
      <c r="H42" s="13"/>
      <c r="I42" s="13"/>
    </row>
    <row r="43" spans="2:9">
      <c r="B43" s="11"/>
      <c r="C43" s="12"/>
      <c r="D43" s="12"/>
      <c r="E43" s="11"/>
      <c r="F43" s="13"/>
      <c r="G43" s="12"/>
      <c r="H43" s="13"/>
      <c r="I43" s="13"/>
    </row>
    <row r="44" spans="2:9">
      <c r="B44" s="11"/>
      <c r="C44" s="12"/>
      <c r="D44" s="12"/>
      <c r="E44" s="11"/>
      <c r="F44" s="13"/>
      <c r="G44" s="12"/>
      <c r="H44" s="13"/>
      <c r="I44" s="13"/>
    </row>
    <row r="45" spans="2:9">
      <c r="B45" s="11"/>
      <c r="C45" s="12"/>
      <c r="D45" s="12"/>
      <c r="E45" s="11"/>
      <c r="F45" s="13"/>
      <c r="G45" s="12"/>
      <c r="H45" s="13"/>
      <c r="I45" s="13"/>
    </row>
    <row r="46" spans="2:9">
      <c r="B46" s="11"/>
      <c r="C46" s="12"/>
      <c r="D46" s="12"/>
      <c r="E46" s="11"/>
      <c r="F46" s="13"/>
      <c r="G46" s="12"/>
      <c r="H46" s="13"/>
      <c r="I46" s="13"/>
    </row>
    <row r="47" spans="2:9">
      <c r="B47" s="11"/>
      <c r="C47" s="12"/>
      <c r="D47" s="12"/>
      <c r="E47" s="11"/>
      <c r="F47" s="13"/>
      <c r="G47" s="12"/>
      <c r="H47" s="13"/>
      <c r="I47" s="13"/>
    </row>
    <row r="48" spans="2:9">
      <c r="B48" s="11"/>
      <c r="C48" s="12"/>
      <c r="D48" s="12"/>
      <c r="E48" s="11"/>
      <c r="F48" s="13"/>
      <c r="G48" s="12"/>
      <c r="H48" s="13"/>
      <c r="I48" s="13"/>
    </row>
    <row r="49" spans="2:9">
      <c r="B49" s="11"/>
      <c r="C49" s="12"/>
      <c r="D49" s="12"/>
      <c r="E49" s="11"/>
      <c r="F49" s="13"/>
      <c r="G49" s="12"/>
      <c r="H49" s="13"/>
      <c r="I49" s="13"/>
    </row>
    <row r="50" spans="2:9">
      <c r="B50" s="11"/>
      <c r="C50" s="12"/>
      <c r="D50" s="12"/>
      <c r="E50" s="11"/>
      <c r="F50" s="13"/>
      <c r="G50" s="12"/>
      <c r="H50" s="13"/>
      <c r="I50" s="13"/>
    </row>
    <row r="51" spans="2:9">
      <c r="B51" s="11"/>
      <c r="C51" s="12"/>
      <c r="D51" s="12"/>
      <c r="E51" s="11"/>
      <c r="F51" s="13"/>
      <c r="G51" s="12"/>
      <c r="H51" s="13"/>
      <c r="I51" s="13"/>
    </row>
    <row r="52" spans="2:9">
      <c r="B52" s="11"/>
      <c r="C52" s="12"/>
      <c r="D52" s="12"/>
      <c r="E52" s="11"/>
      <c r="F52" s="13"/>
      <c r="G52" s="12"/>
      <c r="H52" s="13"/>
      <c r="I52" s="13"/>
    </row>
    <row r="53" spans="2:9">
      <c r="B53" s="11"/>
      <c r="C53" s="12"/>
      <c r="D53" s="12"/>
      <c r="E53" s="11"/>
      <c r="F53" s="13"/>
      <c r="G53" s="12"/>
      <c r="H53" s="13"/>
      <c r="I53" s="13"/>
    </row>
    <row r="54" spans="2:9">
      <c r="B54" s="11"/>
      <c r="C54" s="12"/>
      <c r="D54" s="12"/>
      <c r="E54" s="11"/>
      <c r="F54" s="13"/>
      <c r="G54" s="12"/>
      <c r="H54" s="13"/>
      <c r="I54" s="13"/>
    </row>
    <row r="55" spans="2:9">
      <c r="B55" s="11"/>
      <c r="C55" s="12"/>
      <c r="D55" s="12"/>
      <c r="E55" s="11"/>
      <c r="F55" s="13"/>
      <c r="G55" s="12"/>
      <c r="H55" s="13"/>
      <c r="I55" s="13"/>
    </row>
    <row r="56" spans="2:9">
      <c r="B56" s="11"/>
      <c r="C56" s="12"/>
      <c r="D56" s="12"/>
      <c r="E56" s="11"/>
      <c r="F56" s="13"/>
      <c r="G56" s="12"/>
      <c r="H56" s="13"/>
      <c r="I56" s="13"/>
    </row>
    <row r="57" spans="2:9">
      <c r="B57" s="11"/>
      <c r="C57" s="12"/>
      <c r="D57" s="12"/>
      <c r="E57" s="11"/>
      <c r="F57" s="13"/>
      <c r="G57" s="12"/>
      <c r="H57" s="13"/>
      <c r="I57" s="13"/>
    </row>
    <row r="58" spans="2:9">
      <c r="B58" s="11"/>
      <c r="C58" s="12"/>
      <c r="D58" s="12"/>
      <c r="E58" s="11"/>
      <c r="F58" s="13"/>
      <c r="G58" s="12"/>
      <c r="H58" s="13"/>
      <c r="I58" s="13"/>
    </row>
    <row r="59" spans="2:9">
      <c r="B59" s="11"/>
      <c r="C59" s="12"/>
      <c r="D59" s="12"/>
      <c r="E59" s="11"/>
      <c r="F59" s="13"/>
      <c r="G59" s="12"/>
      <c r="H59" s="13"/>
      <c r="I59" s="13"/>
    </row>
    <row r="60" spans="2:9">
      <c r="B60" s="11"/>
      <c r="C60" s="12"/>
      <c r="D60" s="12"/>
      <c r="E60" s="11"/>
      <c r="F60" s="13"/>
      <c r="G60" s="12"/>
      <c r="H60" s="13"/>
      <c r="I60" s="13"/>
    </row>
    <row r="61" spans="2:9">
      <c r="B61" s="11"/>
      <c r="C61" s="12"/>
      <c r="D61" s="12"/>
      <c r="E61" s="11"/>
      <c r="F61" s="13"/>
      <c r="G61" s="12"/>
      <c r="H61" s="13"/>
      <c r="I61" s="13"/>
    </row>
    <row r="62" spans="2:9">
      <c r="B62" s="11"/>
      <c r="C62" s="12"/>
      <c r="D62" s="12"/>
      <c r="E62" s="11"/>
      <c r="F62" s="13"/>
      <c r="G62" s="12"/>
      <c r="H62" s="13"/>
      <c r="I62" s="13"/>
    </row>
    <row r="63" spans="2:9">
      <c r="B63" s="11"/>
      <c r="C63" s="12"/>
      <c r="D63" s="12"/>
      <c r="E63" s="11"/>
      <c r="F63" s="13"/>
      <c r="G63" s="12"/>
      <c r="H63" s="13"/>
      <c r="I63" s="13"/>
    </row>
    <row r="64" spans="2:9">
      <c r="B64" s="11"/>
      <c r="C64" s="12"/>
      <c r="D64" s="12"/>
      <c r="E64" s="11"/>
      <c r="F64" s="13"/>
      <c r="G64" s="12"/>
      <c r="H64" s="13"/>
      <c r="I64" s="13"/>
    </row>
    <row r="65" spans="2:9">
      <c r="B65" s="11"/>
      <c r="C65" s="12"/>
      <c r="D65" s="12"/>
      <c r="E65" s="11"/>
      <c r="F65" s="13"/>
      <c r="G65" s="12"/>
      <c r="H65" s="13"/>
      <c r="I65" s="13"/>
    </row>
    <row r="66" spans="2:9">
      <c r="B66" s="11"/>
      <c r="C66" s="12"/>
      <c r="D66" s="12"/>
      <c r="E66" s="11"/>
      <c r="F66" s="13"/>
      <c r="G66" s="12"/>
      <c r="H66" s="13"/>
      <c r="I66" s="13"/>
    </row>
    <row r="67" spans="2:9">
      <c r="B67" s="11"/>
      <c r="C67" s="12"/>
      <c r="D67" s="12"/>
      <c r="E67" s="11"/>
      <c r="F67" s="13"/>
      <c r="G67" s="12"/>
      <c r="H67" s="13"/>
      <c r="I67" s="13"/>
    </row>
    <row r="68" spans="2:9">
      <c r="B68" s="11"/>
      <c r="C68" s="12"/>
      <c r="D68" s="12"/>
      <c r="E68" s="11"/>
      <c r="F68" s="13"/>
      <c r="G68" s="12"/>
      <c r="H68" s="13"/>
      <c r="I68" s="13"/>
    </row>
    <row r="69" spans="2:9">
      <c r="B69" s="11"/>
      <c r="C69" s="12"/>
      <c r="D69" s="12"/>
      <c r="E69" s="11"/>
      <c r="F69" s="13"/>
      <c r="G69" s="12"/>
      <c r="H69" s="13"/>
      <c r="I69" s="13"/>
    </row>
    <row r="70" spans="2:9">
      <c r="B70" s="11"/>
      <c r="C70" s="12"/>
      <c r="D70" s="12"/>
      <c r="E70" s="11"/>
      <c r="F70" s="13"/>
      <c r="G70" s="12"/>
      <c r="H70" s="13"/>
      <c r="I70" s="13"/>
    </row>
    <row r="71" spans="2:9">
      <c r="B71" s="11"/>
      <c r="C71" s="12"/>
      <c r="D71" s="12"/>
      <c r="E71" s="11"/>
      <c r="F71" s="13"/>
      <c r="G71" s="12"/>
      <c r="H71" s="13"/>
      <c r="I71" s="13"/>
    </row>
    <row r="72" spans="2:9">
      <c r="B72" s="11"/>
      <c r="C72" s="12"/>
      <c r="D72" s="12"/>
      <c r="E72" s="11"/>
      <c r="F72" s="13"/>
      <c r="G72" s="12"/>
      <c r="H72" s="13"/>
      <c r="I72" s="13"/>
    </row>
    <row r="73" spans="2:9">
      <c r="B73" s="11"/>
      <c r="C73" s="12"/>
      <c r="D73" s="12"/>
      <c r="E73" s="11"/>
      <c r="F73" s="13"/>
      <c r="G73" s="12"/>
      <c r="H73" s="13"/>
      <c r="I73" s="13"/>
    </row>
    <row r="74" spans="2:9">
      <c r="B74" s="11"/>
      <c r="C74" s="12"/>
      <c r="D74" s="12"/>
      <c r="E74" s="11"/>
      <c r="F74" s="13"/>
      <c r="G74" s="12"/>
      <c r="H74" s="13"/>
      <c r="I74" s="13"/>
    </row>
    <row r="75" spans="2:9">
      <c r="B75" s="11"/>
      <c r="C75" s="12"/>
      <c r="D75" s="12"/>
      <c r="E75" s="11"/>
      <c r="F75" s="13"/>
      <c r="G75" s="12"/>
      <c r="H75" s="13"/>
      <c r="I75" s="13"/>
    </row>
    <row r="76" spans="2:9">
      <c r="B76" s="11"/>
      <c r="C76" s="12"/>
      <c r="D76" s="12"/>
      <c r="E76" s="11"/>
      <c r="F76" s="13"/>
      <c r="G76" s="12"/>
      <c r="H76" s="13"/>
      <c r="I76" s="13"/>
    </row>
    <row r="77" spans="2:9">
      <c r="B77" s="11"/>
      <c r="C77" s="12"/>
      <c r="D77" s="12"/>
      <c r="E77" s="11"/>
      <c r="F77" s="13"/>
      <c r="G77" s="12"/>
      <c r="H77" s="13"/>
      <c r="I77" s="13"/>
    </row>
    <row r="78" spans="2:9">
      <c r="B78" s="11"/>
      <c r="C78" s="12"/>
      <c r="D78" s="12"/>
      <c r="E78" s="11"/>
      <c r="F78" s="13"/>
      <c r="G78" s="12"/>
      <c r="H78" s="13"/>
      <c r="I78" s="13"/>
    </row>
    <row r="79" spans="2:9">
      <c r="B79" s="11"/>
      <c r="C79" s="12"/>
      <c r="D79" s="12"/>
      <c r="E79" s="11"/>
      <c r="F79" s="13"/>
      <c r="G79" s="12"/>
      <c r="H79" s="13"/>
      <c r="I79" s="13"/>
    </row>
    <row r="80" spans="2:9">
      <c r="B80" s="11"/>
      <c r="C80" s="12"/>
      <c r="D80" s="12"/>
      <c r="E80" s="11"/>
      <c r="F80" s="13"/>
      <c r="G80" s="12"/>
      <c r="H80" s="13"/>
      <c r="I80" s="13"/>
    </row>
    <row r="81" spans="2:9">
      <c r="B81" s="11"/>
      <c r="C81" s="12"/>
      <c r="D81" s="12"/>
      <c r="E81" s="11"/>
      <c r="F81" s="13"/>
      <c r="G81" s="12"/>
      <c r="H81" s="13"/>
      <c r="I81" s="13"/>
    </row>
    <row r="82" spans="2:9">
      <c r="B82" s="11"/>
      <c r="C82" s="12"/>
      <c r="D82" s="12"/>
      <c r="E82" s="11"/>
      <c r="F82" s="13"/>
      <c r="G82" s="12"/>
      <c r="H82" s="13"/>
      <c r="I82" s="13"/>
    </row>
    <row r="83" spans="2:9">
      <c r="B83" s="11"/>
      <c r="C83" s="12"/>
      <c r="D83" s="12"/>
      <c r="E83" s="11"/>
      <c r="F83" s="13"/>
      <c r="G83" s="12"/>
      <c r="H83" s="13"/>
      <c r="I83" s="13"/>
    </row>
    <row r="84" spans="2:9">
      <c r="B84" s="11"/>
      <c r="C84" s="12"/>
      <c r="D84" s="12"/>
      <c r="E84" s="11"/>
      <c r="F84" s="13"/>
      <c r="G84" s="12"/>
      <c r="H84" s="13"/>
      <c r="I84" s="13"/>
    </row>
    <row r="85" spans="2:9">
      <c r="B85" s="11"/>
      <c r="C85" s="12"/>
      <c r="D85" s="12"/>
      <c r="E85" s="11"/>
      <c r="F85" s="13"/>
      <c r="G85" s="12"/>
      <c r="H85" s="13"/>
      <c r="I85" s="13"/>
    </row>
    <row r="86" spans="2:9">
      <c r="B86" s="11"/>
      <c r="C86" s="12"/>
      <c r="D86" s="12"/>
      <c r="E86" s="11"/>
      <c r="F86" s="13"/>
      <c r="G86" s="12"/>
      <c r="H86" s="13"/>
      <c r="I86" s="13"/>
    </row>
    <row r="87" spans="2:9">
      <c r="B87" s="11"/>
      <c r="C87" s="12"/>
      <c r="D87" s="12"/>
      <c r="E87" s="11"/>
      <c r="F87" s="13"/>
      <c r="G87" s="12"/>
      <c r="H87" s="13"/>
      <c r="I87" s="13"/>
    </row>
    <row r="88" spans="2:9">
      <c r="B88" s="11"/>
      <c r="C88" s="12"/>
      <c r="D88" s="12"/>
      <c r="E88" s="11"/>
      <c r="F88" s="13"/>
      <c r="G88" s="12"/>
      <c r="H88" s="13"/>
      <c r="I88" s="13"/>
    </row>
    <row r="89" spans="2:9">
      <c r="B89" s="11"/>
      <c r="C89" s="12"/>
      <c r="D89" s="12"/>
      <c r="E89" s="11"/>
      <c r="F89" s="13"/>
      <c r="G89" s="12"/>
      <c r="H89" s="13"/>
      <c r="I89" s="13"/>
    </row>
    <row r="90" spans="2:9">
      <c r="B90" s="11"/>
      <c r="C90" s="12"/>
      <c r="D90" s="12"/>
      <c r="E90" s="11"/>
      <c r="F90" s="13"/>
      <c r="G90" s="12"/>
      <c r="H90" s="13"/>
      <c r="I90" s="13"/>
    </row>
    <row r="91" spans="2:9">
      <c r="B91" s="11"/>
      <c r="C91" s="12"/>
      <c r="D91" s="12"/>
      <c r="E91" s="11"/>
      <c r="F91" s="13"/>
      <c r="G91" s="12"/>
      <c r="H91" s="13"/>
      <c r="I91" s="13"/>
    </row>
    <row r="92" spans="2:9">
      <c r="B92" s="11"/>
      <c r="C92" s="12"/>
      <c r="D92" s="12"/>
      <c r="E92" s="11"/>
      <c r="G92" s="12"/>
      <c r="H92" s="13"/>
      <c r="I92" s="13"/>
    </row>
  </sheetData>
  <phoneticPr fontId="3" type="noConversion"/>
  <hyperlinks>
    <hyperlink ref="A1" location="目錄!A1" display="回到目錄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/>
  </sheetViews>
  <sheetFormatPr defaultRowHeight="13.8"/>
  <cols>
    <col min="1" max="1" width="7.453125" style="39" bestFit="1" customWidth="1"/>
    <col min="2" max="2" width="8.54296875" style="39" customWidth="1"/>
    <col min="3" max="3" width="8.81640625" style="39" bestFit="1" customWidth="1"/>
    <col min="4" max="4" width="8.81640625" style="39" customWidth="1"/>
    <col min="5" max="5" width="8.6328125" style="39" bestFit="1" customWidth="1"/>
    <col min="6" max="6" width="9.54296875" style="39" bestFit="1" customWidth="1"/>
    <col min="7" max="7" width="16.08984375" style="39" customWidth="1"/>
    <col min="8" max="8" width="11.26953125" style="39" bestFit="1" customWidth="1"/>
    <col min="9" max="9" width="22.36328125" style="39" bestFit="1" customWidth="1"/>
    <col min="10" max="10" width="10" style="39" bestFit="1" customWidth="1"/>
    <col min="11" max="11" width="7" style="39" customWidth="1"/>
    <col min="12" max="12" width="10.36328125" style="39" bestFit="1" customWidth="1"/>
    <col min="13" max="13" width="7.81640625" style="39" customWidth="1"/>
    <col min="14" max="16384" width="8.7265625" style="39"/>
  </cols>
  <sheetData>
    <row r="1" spans="1:13">
      <c r="A1" s="69" t="s">
        <v>36</v>
      </c>
      <c r="B1" s="80" t="s">
        <v>80</v>
      </c>
      <c r="C1" s="80" t="s">
        <v>4706</v>
      </c>
      <c r="D1" s="80" t="s">
        <v>4995</v>
      </c>
      <c r="E1" s="80" t="s">
        <v>4996</v>
      </c>
      <c r="F1" s="80" t="s">
        <v>4992</v>
      </c>
      <c r="G1" s="80" t="s">
        <v>4710</v>
      </c>
      <c r="H1" s="80" t="s">
        <v>4729</v>
      </c>
      <c r="I1" s="80" t="s">
        <v>4733</v>
      </c>
      <c r="J1" s="80" t="s">
        <v>0</v>
      </c>
      <c r="K1" s="80" t="s">
        <v>1</v>
      </c>
      <c r="L1" s="80" t="s">
        <v>19</v>
      </c>
      <c r="M1" s="80" t="s">
        <v>2</v>
      </c>
    </row>
    <row r="2" spans="1:13">
      <c r="B2" s="39" t="s">
        <v>4704</v>
      </c>
      <c r="C2" s="39" t="s">
        <v>4705</v>
      </c>
      <c r="D2" s="39">
        <v>15</v>
      </c>
      <c r="E2" s="39">
        <v>40</v>
      </c>
      <c r="F2" s="39" t="s">
        <v>4993</v>
      </c>
      <c r="G2" s="39">
        <v>20</v>
      </c>
      <c r="H2" s="39">
        <v>600000000</v>
      </c>
      <c r="I2" s="39" t="s">
        <v>4997</v>
      </c>
      <c r="K2" s="39" t="s">
        <v>522</v>
      </c>
      <c r="M2" s="39" t="s">
        <v>522</v>
      </c>
    </row>
    <row r="3" spans="1:13">
      <c r="B3" s="39" t="s">
        <v>4704</v>
      </c>
      <c r="C3" s="39" t="s">
        <v>4705</v>
      </c>
      <c r="D3" s="39">
        <v>41</v>
      </c>
      <c r="E3" s="39">
        <v>64</v>
      </c>
      <c r="F3" s="39" t="s">
        <v>4994</v>
      </c>
      <c r="G3" s="39" t="s">
        <v>4997</v>
      </c>
      <c r="H3" s="39" t="s">
        <v>4997</v>
      </c>
      <c r="I3" s="39">
        <v>1.5</v>
      </c>
      <c r="K3" s="39" t="s">
        <v>522</v>
      </c>
      <c r="M3" s="39" t="s">
        <v>522</v>
      </c>
    </row>
    <row r="4" spans="1:13">
      <c r="B4" s="39" t="s">
        <v>4704</v>
      </c>
      <c r="C4" s="39" t="s">
        <v>4705</v>
      </c>
      <c r="D4" s="39">
        <v>65</v>
      </c>
      <c r="E4" s="39">
        <v>70</v>
      </c>
      <c r="F4" s="39" t="s">
        <v>4994</v>
      </c>
      <c r="G4" s="39" t="s">
        <v>4997</v>
      </c>
      <c r="H4" s="39" t="s">
        <v>4997</v>
      </c>
      <c r="I4" s="39">
        <v>1.1000000000000001</v>
      </c>
      <c r="K4" s="39" t="s">
        <v>522</v>
      </c>
      <c r="M4" s="39" t="s">
        <v>522</v>
      </c>
    </row>
    <row r="5" spans="1:13">
      <c r="B5" s="39" t="s">
        <v>4704</v>
      </c>
      <c r="C5" s="39" t="s">
        <v>4705</v>
      </c>
      <c r="D5" s="39">
        <v>71</v>
      </c>
      <c r="E5" s="39">
        <v>80</v>
      </c>
      <c r="F5" s="39" t="s">
        <v>4994</v>
      </c>
      <c r="G5" s="39" t="s">
        <v>4997</v>
      </c>
      <c r="H5" s="39" t="s">
        <v>4997</v>
      </c>
      <c r="I5" s="39">
        <v>1.02</v>
      </c>
      <c r="K5" s="39" t="s">
        <v>522</v>
      </c>
      <c r="M5" s="39" t="s">
        <v>522</v>
      </c>
    </row>
    <row r="6" spans="1:13">
      <c r="B6" s="39" t="s">
        <v>4704</v>
      </c>
      <c r="C6" s="39" t="s">
        <v>4998</v>
      </c>
      <c r="D6" s="39">
        <v>15</v>
      </c>
      <c r="E6" s="39">
        <v>40</v>
      </c>
      <c r="F6" s="39" t="s">
        <v>4999</v>
      </c>
      <c r="G6" s="39">
        <v>20</v>
      </c>
      <c r="H6" s="39">
        <v>300000000</v>
      </c>
      <c r="I6" s="39" t="s">
        <v>4997</v>
      </c>
      <c r="K6" s="39" t="s">
        <v>522</v>
      </c>
      <c r="M6" s="39" t="s">
        <v>522</v>
      </c>
    </row>
    <row r="7" spans="1:13">
      <c r="B7" s="39" t="s">
        <v>4704</v>
      </c>
      <c r="C7" s="39" t="s">
        <v>4998</v>
      </c>
      <c r="D7" s="39">
        <v>41</v>
      </c>
      <c r="E7" s="39">
        <v>80</v>
      </c>
      <c r="F7" s="39" t="s">
        <v>5000</v>
      </c>
      <c r="G7" s="39" t="s">
        <v>4997</v>
      </c>
      <c r="H7" s="39" t="s">
        <v>4997</v>
      </c>
      <c r="I7" s="39">
        <v>0.5</v>
      </c>
      <c r="K7" s="39" t="s">
        <v>522</v>
      </c>
      <c r="M7" s="39" t="s">
        <v>522</v>
      </c>
    </row>
  </sheetData>
  <phoneticPr fontId="3" type="noConversion"/>
  <hyperlinks>
    <hyperlink ref="A1" location="目錄!A1" display="回到目錄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9"/>
  <sheetViews>
    <sheetView workbookViewId="0"/>
  </sheetViews>
  <sheetFormatPr defaultColWidth="11.1796875" defaultRowHeight="13.8"/>
  <cols>
    <col min="1" max="1" width="7.453125" style="10" bestFit="1" customWidth="1"/>
    <col min="2" max="2" width="4.36328125" style="14" bestFit="1" customWidth="1"/>
    <col min="3" max="3" width="20.90625" style="10" bestFit="1" customWidth="1"/>
    <col min="4" max="4" width="10" style="10" bestFit="1" customWidth="1"/>
    <col min="5" max="5" width="7.54296875" style="14" bestFit="1" customWidth="1"/>
    <col min="6" max="6" width="10" style="15" bestFit="1" customWidth="1"/>
    <col min="7" max="7" width="15.6328125" style="10" bestFit="1" customWidth="1"/>
    <col min="8" max="8" width="33.54296875" style="15" customWidth="1"/>
    <col min="9" max="9" width="10.08984375" style="15" bestFit="1" customWidth="1"/>
    <col min="10" max="11" width="3.26953125" style="14" bestFit="1" customWidth="1"/>
    <col min="12" max="12" width="4.26953125" style="10" bestFit="1" customWidth="1"/>
    <col min="13" max="13" width="9.81640625" style="10" customWidth="1"/>
    <col min="14" max="19" width="6.6328125" style="10" customWidth="1"/>
    <col min="20" max="23" width="14.453125" style="10" customWidth="1"/>
    <col min="24" max="16384" width="11.1796875" style="10"/>
  </cols>
  <sheetData>
    <row r="1" spans="1:19">
      <c r="A1" s="23" t="s">
        <v>36</v>
      </c>
      <c r="B1" s="5" t="s">
        <v>5</v>
      </c>
      <c r="C1" s="6" t="s">
        <v>3</v>
      </c>
      <c r="D1" s="6" t="s">
        <v>4</v>
      </c>
      <c r="E1" s="7" t="s">
        <v>6</v>
      </c>
      <c r="F1" s="9" t="s">
        <v>13</v>
      </c>
      <c r="G1" s="8" t="s">
        <v>7</v>
      </c>
      <c r="H1" s="9" t="s">
        <v>8</v>
      </c>
      <c r="I1" s="9" t="s">
        <v>139</v>
      </c>
      <c r="L1" s="72" t="s">
        <v>240</v>
      </c>
      <c r="M1" s="72" t="s">
        <v>4769</v>
      </c>
      <c r="N1" s="72" t="s">
        <v>470</v>
      </c>
      <c r="O1" s="72" t="s">
        <v>471</v>
      </c>
      <c r="P1" s="72" t="s">
        <v>472</v>
      </c>
      <c r="Q1" s="72" t="s">
        <v>473</v>
      </c>
      <c r="R1" s="72" t="s">
        <v>474</v>
      </c>
      <c r="S1" s="73" t="s">
        <v>475</v>
      </c>
    </row>
    <row r="2" spans="1:19">
      <c r="B2" s="11" t="s">
        <v>14</v>
      </c>
      <c r="C2" s="13" t="s">
        <v>171</v>
      </c>
      <c r="D2" s="18" t="s">
        <v>111</v>
      </c>
      <c r="E2" s="11"/>
      <c r="F2" s="12"/>
      <c r="G2" s="12" t="s">
        <v>4719</v>
      </c>
      <c r="H2" s="16"/>
      <c r="I2" s="16"/>
      <c r="L2" s="36"/>
      <c r="M2" s="34"/>
      <c r="N2" s="36" t="str">
        <f>"EXEC sp_dropextendedproperty @name = N'MS_Description', @level0type=N'SCHEMA',@level0name=N'"&amp;$L$1&amp;"', @level1type=N'TABLE',@level1name=N'"&amp;$M$1&amp;"', @level2type=N'COLUMN',@level2name=N'"&amp;$C2&amp;"'"</f>
        <v>EXEC sp_dropextendedproperty @name = N'MS_Description', @level0type=N'SCHEMA',@level0name=N'dbo', @level1type=N'TABLE',@level1name=N'LifeInsAnnuityAccYearLimit', @level2type=N'COLUMN',@level2name=N'PlanCode'</v>
      </c>
      <c r="O2" s="36" t="str">
        <f>"EXEC sp_dropextendedproperty @name = N'Rule', @level0type=N'SCHEMA',@level0name=N'"&amp;$L$1&amp;"', @level1type=N'TABLE',@level1name=N'"&amp;$M$1&amp;"', @level2type=N'COLUMN',@level2name=N'"&amp;$C2&amp;"'"</f>
        <v>EXEC sp_dropextendedproperty @name = N'Rule', @level0type=N'SCHEMA',@level0name=N'dbo', @level1type=N'TABLE',@level1name=N'LifeInsAnnuityAccYearLimit', @level2type=N'COLUMN',@level2name=N'PlanCode'</v>
      </c>
      <c r="P2" s="36" t="str">
        <f>"EXEC sp_dropextendedproperty @name = N'Memo', @level0type=N'SCHEMA',@level0name=N'"&amp;$L$1&amp;"', @level1type=N'TABLE',@level1name=N'"&amp;$M$1&amp;"', @level2type=N'COLUMN',@level2name=N'"&amp;$C2&amp;"'"</f>
        <v>EXEC sp_dropextendedproperty @name = N'Memo', @level0type=N'SCHEMA',@level0name=N'dbo', @level1type=N'TABLE',@level1name=N'LifeInsAnnuityAccYearLimit', @level2type=N'COLUMN',@level2name=N'PlanCode'</v>
      </c>
      <c r="Q2" s="36" t="str">
        <f>"set @OldWording = N'"&amp;SUBSTITUTE($G2,CHAR(10),"")&amp;"'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@level2type=N'COLUMN',@level2name=N'"&amp;$C2&amp;"'"</f>
        <v>set @OldWording = N'險種代碼' set @NewWording = REPLACE(@OldWording,'***',char(13)+char(10)) EXEC sys.sp_addextendedproperty @name=N'MS_Description', @value=@NewWording , @level0type=N'SCHEMA',@level0name=N'dbo', @level1type=N'TABLE',@level1name=N'LifeInsAnnuityAccYearLimit', @level2type=N'COLUMN',@level2name=N'PlanCode'</v>
      </c>
      <c r="R2" s="32" t="str">
        <f>"set @OldWording = N'"&amp;SUBSTITUTE($H2,CHAR(10),"")&amp;"'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@name=N'Rule', @value=@NewWording , @level0type=N'SCHEMA',@level0name=N'dbo', @level1type=N'TABLE',@level1name=N'LifeInsAnnuityAccYearLimit', @level2type=N'COLUMN',@level2name=N'PlanCode'</v>
      </c>
      <c r="S2" s="36" t="str">
        <f>"set @OldWording = N'"&amp;SUBSTITUTE($I2,CHAR(10),"")&amp;"' set @NewWording = REPLACE(@OldWording,'***',char(13)+char(10)) "&amp;"EXEC sys.sp_addextendedproperty @name=N'Memo',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@name=N'Memo', @value=@NewWording , @level0type=N'SCHEMA',@level0name=N'dbo', @level1type=N'TABLE',@level1name=N'LifeInsAnnuityAccYearLimit', @level2type=N'COLUMN',@level2name=N'PlanCode'</v>
      </c>
    </row>
    <row r="3" spans="1:19" ht="27.6">
      <c r="B3" s="11" t="s">
        <v>14</v>
      </c>
      <c r="C3" s="15" t="s">
        <v>3728</v>
      </c>
      <c r="D3" s="15" t="s">
        <v>21</v>
      </c>
      <c r="F3" s="10"/>
      <c r="G3" s="10" t="s">
        <v>4720</v>
      </c>
      <c r="H3" s="16" t="s">
        <v>3652</v>
      </c>
      <c r="I3" s="16"/>
      <c r="L3" s="14"/>
      <c r="M3" s="14"/>
      <c r="N3" s="14"/>
      <c r="O3" s="14"/>
      <c r="P3" s="14"/>
    </row>
    <row r="4" spans="1:19">
      <c r="B4" s="11"/>
      <c r="C4" s="13" t="s">
        <v>4773</v>
      </c>
      <c r="D4" s="18" t="s">
        <v>367</v>
      </c>
      <c r="E4" s="11"/>
      <c r="F4" s="12"/>
      <c r="G4" s="12" t="s">
        <v>4774</v>
      </c>
      <c r="H4" s="16"/>
      <c r="I4" s="27"/>
      <c r="L4" s="14"/>
      <c r="M4" s="14"/>
      <c r="N4" s="14"/>
      <c r="O4" s="14"/>
      <c r="P4" s="14"/>
    </row>
    <row r="5" spans="1:19">
      <c r="C5" s="12" t="s">
        <v>4074</v>
      </c>
      <c r="D5" s="18" t="s">
        <v>367</v>
      </c>
      <c r="E5" s="11"/>
      <c r="F5" s="12"/>
      <c r="G5" s="18" t="s">
        <v>4077</v>
      </c>
      <c r="H5" s="16"/>
      <c r="I5" s="16"/>
    </row>
    <row r="6" spans="1:19">
      <c r="C6" s="12" t="s">
        <v>4076</v>
      </c>
      <c r="D6" s="18" t="s">
        <v>367</v>
      </c>
      <c r="E6" s="11"/>
      <c r="G6" s="10" t="s">
        <v>4078</v>
      </c>
    </row>
    <row r="7" spans="1:19">
      <c r="B7" s="11"/>
      <c r="C7" s="12" t="s">
        <v>0</v>
      </c>
      <c r="D7" s="12" t="s">
        <v>11</v>
      </c>
      <c r="E7" s="11" t="s">
        <v>16</v>
      </c>
      <c r="F7" s="13" t="s">
        <v>20</v>
      </c>
      <c r="G7" s="12" t="s">
        <v>30</v>
      </c>
      <c r="H7" s="13"/>
      <c r="I7" s="13"/>
    </row>
    <row r="8" spans="1:19">
      <c r="B8" s="11"/>
      <c r="C8" s="12" t="s">
        <v>1</v>
      </c>
      <c r="D8" s="12" t="s">
        <v>37</v>
      </c>
      <c r="E8" s="11"/>
      <c r="F8" s="13"/>
      <c r="G8" s="12" t="s">
        <v>31</v>
      </c>
      <c r="H8" s="13"/>
      <c r="I8" s="13"/>
    </row>
    <row r="9" spans="1:19">
      <c r="B9" s="11"/>
      <c r="C9" s="12" t="s">
        <v>19</v>
      </c>
      <c r="D9" s="12" t="s">
        <v>11</v>
      </c>
      <c r="E9" s="11" t="s">
        <v>16</v>
      </c>
      <c r="F9" s="13" t="s">
        <v>20</v>
      </c>
      <c r="G9" s="12" t="s">
        <v>32</v>
      </c>
      <c r="H9" s="13"/>
      <c r="I9" s="13"/>
    </row>
    <row r="10" spans="1:19">
      <c r="B10" s="11"/>
      <c r="C10" s="12" t="s">
        <v>2</v>
      </c>
      <c r="D10" s="12" t="s">
        <v>37</v>
      </c>
      <c r="E10" s="11"/>
      <c r="F10" s="13"/>
      <c r="G10" s="12" t="s">
        <v>33</v>
      </c>
      <c r="H10" s="13"/>
      <c r="I10" s="13"/>
    </row>
    <row r="11" spans="1:19">
      <c r="B11" s="11"/>
      <c r="C11" s="12"/>
      <c r="D11" s="12"/>
      <c r="E11" s="11"/>
      <c r="F11" s="13"/>
      <c r="G11" s="12"/>
      <c r="H11" s="13"/>
      <c r="I11" s="13"/>
    </row>
    <row r="12" spans="1:19">
      <c r="B12" s="11"/>
      <c r="C12" s="12"/>
      <c r="D12" s="12"/>
      <c r="E12" s="11"/>
      <c r="F12" s="13"/>
      <c r="G12" s="12"/>
      <c r="H12" s="13"/>
      <c r="I12" s="13"/>
    </row>
    <row r="13" spans="1:19">
      <c r="B13" s="11"/>
      <c r="C13" s="12"/>
      <c r="D13" s="12"/>
      <c r="E13" s="11"/>
      <c r="F13" s="13"/>
      <c r="G13" s="12"/>
      <c r="H13" s="13"/>
      <c r="I13" s="13"/>
    </row>
    <row r="14" spans="1:19">
      <c r="B14" s="11"/>
      <c r="C14" s="12"/>
      <c r="D14" s="12"/>
      <c r="E14" s="11"/>
      <c r="F14" s="13"/>
      <c r="G14" s="12"/>
      <c r="H14" s="13"/>
      <c r="I14" s="13"/>
    </row>
    <row r="15" spans="1:19">
      <c r="B15" s="11"/>
      <c r="C15" s="12"/>
      <c r="D15" s="12"/>
      <c r="E15" s="11"/>
      <c r="F15" s="13"/>
      <c r="G15" s="12"/>
      <c r="H15" s="13"/>
      <c r="I15" s="13"/>
    </row>
    <row r="16" spans="1:19">
      <c r="B16" s="11"/>
      <c r="C16" s="12"/>
      <c r="D16" s="12"/>
      <c r="E16" s="11"/>
      <c r="F16" s="13"/>
      <c r="G16" s="12"/>
      <c r="H16" s="13"/>
      <c r="I16" s="13"/>
    </row>
    <row r="17" spans="2:9">
      <c r="B17" s="11"/>
      <c r="C17" s="12"/>
      <c r="D17" s="12"/>
      <c r="E17" s="11"/>
      <c r="F17" s="13"/>
      <c r="G17" s="12"/>
      <c r="H17" s="13"/>
      <c r="I17" s="13"/>
    </row>
    <row r="18" spans="2:9">
      <c r="B18" s="11"/>
      <c r="C18" s="12"/>
      <c r="D18" s="12"/>
      <c r="E18" s="11"/>
      <c r="F18" s="13"/>
      <c r="G18" s="12"/>
      <c r="H18" s="13"/>
      <c r="I18" s="13"/>
    </row>
    <row r="19" spans="2:9">
      <c r="B19" s="11"/>
      <c r="C19" s="12"/>
      <c r="D19" s="12"/>
      <c r="E19" s="11"/>
      <c r="F19" s="13"/>
      <c r="G19" s="12"/>
      <c r="H19" s="13"/>
      <c r="I19" s="13"/>
    </row>
    <row r="20" spans="2:9">
      <c r="B20" s="11"/>
      <c r="C20" s="12"/>
      <c r="D20" s="12"/>
      <c r="E20" s="11"/>
      <c r="F20" s="13"/>
      <c r="G20" s="12"/>
      <c r="H20" s="13"/>
      <c r="I20" s="13"/>
    </row>
    <row r="21" spans="2:9">
      <c r="B21" s="11"/>
      <c r="C21" s="12"/>
      <c r="D21" s="12"/>
      <c r="E21" s="11"/>
      <c r="F21" s="13"/>
      <c r="G21" s="12"/>
      <c r="H21" s="13"/>
      <c r="I21" s="13"/>
    </row>
    <row r="22" spans="2:9">
      <c r="B22" s="11"/>
      <c r="C22" s="12"/>
      <c r="D22" s="12"/>
      <c r="E22" s="11"/>
      <c r="F22" s="13"/>
      <c r="G22" s="12"/>
      <c r="H22" s="13"/>
      <c r="I22" s="13"/>
    </row>
    <row r="23" spans="2:9">
      <c r="B23" s="11"/>
      <c r="C23" s="12"/>
      <c r="D23" s="12"/>
      <c r="E23" s="11"/>
      <c r="F23" s="13"/>
      <c r="G23" s="12"/>
      <c r="H23" s="13"/>
      <c r="I23" s="13"/>
    </row>
    <row r="24" spans="2:9">
      <c r="B24" s="11"/>
      <c r="C24" s="12"/>
      <c r="D24" s="12"/>
      <c r="E24" s="11"/>
      <c r="F24" s="13"/>
      <c r="G24" s="12"/>
      <c r="H24" s="13"/>
      <c r="I24" s="13"/>
    </row>
    <row r="25" spans="2:9">
      <c r="B25" s="11"/>
      <c r="C25" s="12"/>
      <c r="D25" s="12"/>
      <c r="E25" s="11"/>
      <c r="F25" s="13"/>
      <c r="G25" s="12"/>
      <c r="H25" s="13"/>
      <c r="I25" s="13"/>
    </row>
    <row r="26" spans="2:9">
      <c r="B26" s="11"/>
      <c r="C26" s="12"/>
      <c r="D26" s="12"/>
      <c r="E26" s="11"/>
      <c r="F26" s="13"/>
      <c r="G26" s="12"/>
      <c r="H26" s="13"/>
      <c r="I26" s="13"/>
    </row>
    <row r="27" spans="2:9">
      <c r="B27" s="11"/>
      <c r="C27" s="12"/>
      <c r="D27" s="12"/>
      <c r="E27" s="11"/>
      <c r="F27" s="13"/>
      <c r="G27" s="12"/>
      <c r="H27" s="13"/>
      <c r="I27" s="13"/>
    </row>
    <row r="28" spans="2:9">
      <c r="B28" s="11"/>
      <c r="C28" s="12"/>
      <c r="D28" s="12"/>
      <c r="E28" s="11"/>
      <c r="F28" s="13"/>
      <c r="G28" s="12"/>
      <c r="H28" s="13"/>
      <c r="I28" s="13"/>
    </row>
    <row r="29" spans="2:9">
      <c r="B29" s="11"/>
      <c r="C29" s="12"/>
      <c r="D29" s="12"/>
      <c r="E29" s="11"/>
      <c r="F29" s="13"/>
      <c r="G29" s="12"/>
      <c r="H29" s="13"/>
      <c r="I29" s="13"/>
    </row>
    <row r="30" spans="2:9">
      <c r="B30" s="11"/>
      <c r="C30" s="12"/>
      <c r="D30" s="12"/>
      <c r="E30" s="11"/>
      <c r="F30" s="13"/>
      <c r="G30" s="12"/>
      <c r="H30" s="13"/>
      <c r="I30" s="13"/>
    </row>
    <row r="31" spans="2:9">
      <c r="B31" s="11"/>
      <c r="C31" s="12"/>
      <c r="D31" s="12"/>
      <c r="E31" s="11"/>
      <c r="F31" s="13"/>
      <c r="G31" s="12"/>
      <c r="H31" s="13"/>
      <c r="I31" s="13"/>
    </row>
    <row r="32" spans="2:9">
      <c r="B32" s="11"/>
      <c r="C32" s="12"/>
      <c r="D32" s="12"/>
      <c r="E32" s="11"/>
      <c r="F32" s="13"/>
      <c r="G32" s="12"/>
      <c r="H32" s="13"/>
      <c r="I32" s="13"/>
    </row>
    <row r="33" spans="2:9">
      <c r="B33" s="11"/>
      <c r="C33" s="12"/>
      <c r="D33" s="12"/>
      <c r="E33" s="11"/>
      <c r="F33" s="13"/>
      <c r="G33" s="12"/>
      <c r="H33" s="13"/>
      <c r="I33" s="13"/>
    </row>
    <row r="34" spans="2:9">
      <c r="B34" s="11"/>
      <c r="C34" s="12"/>
      <c r="D34" s="12"/>
      <c r="E34" s="11"/>
      <c r="F34" s="13"/>
      <c r="G34" s="12"/>
      <c r="H34" s="13"/>
      <c r="I34" s="13"/>
    </row>
    <row r="35" spans="2:9">
      <c r="B35" s="11"/>
      <c r="C35" s="12"/>
      <c r="D35" s="12"/>
      <c r="E35" s="11"/>
      <c r="F35" s="13"/>
      <c r="G35" s="12"/>
      <c r="H35" s="13"/>
      <c r="I35" s="13"/>
    </row>
    <row r="36" spans="2:9">
      <c r="B36" s="11"/>
      <c r="C36" s="12"/>
      <c r="D36" s="12"/>
      <c r="E36" s="11"/>
      <c r="F36" s="13"/>
      <c r="G36" s="12"/>
      <c r="H36" s="13"/>
      <c r="I36" s="13"/>
    </row>
    <row r="37" spans="2:9">
      <c r="B37" s="11"/>
      <c r="C37" s="12"/>
      <c r="D37" s="12"/>
      <c r="E37" s="11"/>
      <c r="F37" s="13"/>
      <c r="G37" s="12"/>
      <c r="H37" s="13"/>
      <c r="I37" s="13"/>
    </row>
    <row r="38" spans="2:9">
      <c r="B38" s="11"/>
      <c r="C38" s="12"/>
      <c r="D38" s="12"/>
      <c r="E38" s="11"/>
      <c r="F38" s="13"/>
      <c r="G38" s="12"/>
      <c r="H38" s="13"/>
      <c r="I38" s="13"/>
    </row>
    <row r="39" spans="2:9">
      <c r="B39" s="11"/>
      <c r="C39" s="12"/>
      <c r="D39" s="12"/>
      <c r="E39" s="11"/>
      <c r="F39" s="13"/>
      <c r="G39" s="12"/>
      <c r="H39" s="13"/>
      <c r="I39" s="13"/>
    </row>
    <row r="40" spans="2:9">
      <c r="B40" s="11"/>
      <c r="C40" s="12"/>
      <c r="D40" s="12"/>
      <c r="E40" s="11"/>
      <c r="F40" s="13"/>
      <c r="G40" s="12"/>
      <c r="H40" s="13"/>
      <c r="I40" s="13"/>
    </row>
    <row r="41" spans="2:9">
      <c r="B41" s="11"/>
      <c r="C41" s="12"/>
      <c r="D41" s="12"/>
      <c r="E41" s="11"/>
      <c r="F41" s="13"/>
      <c r="G41" s="12"/>
      <c r="H41" s="13"/>
      <c r="I41" s="13"/>
    </row>
    <row r="42" spans="2:9">
      <c r="B42" s="11"/>
      <c r="C42" s="12"/>
      <c r="D42" s="12"/>
      <c r="E42" s="11"/>
      <c r="F42" s="13"/>
      <c r="G42" s="12"/>
      <c r="H42" s="13"/>
      <c r="I42" s="13"/>
    </row>
    <row r="43" spans="2:9">
      <c r="B43" s="11"/>
      <c r="C43" s="12"/>
      <c r="D43" s="12"/>
      <c r="E43" s="11"/>
      <c r="F43" s="13"/>
      <c r="G43" s="12"/>
      <c r="H43" s="13"/>
      <c r="I43" s="13"/>
    </row>
    <row r="44" spans="2:9">
      <c r="B44" s="11"/>
      <c r="C44" s="12"/>
      <c r="D44" s="12"/>
      <c r="E44" s="11"/>
      <c r="F44" s="13"/>
      <c r="G44" s="12"/>
      <c r="H44" s="13"/>
      <c r="I44" s="13"/>
    </row>
    <row r="45" spans="2:9">
      <c r="B45" s="11"/>
      <c r="C45" s="12"/>
      <c r="D45" s="12"/>
      <c r="E45" s="11"/>
      <c r="F45" s="13"/>
      <c r="G45" s="12"/>
      <c r="H45" s="13"/>
      <c r="I45" s="13"/>
    </row>
    <row r="46" spans="2:9">
      <c r="B46" s="11"/>
      <c r="C46" s="12"/>
      <c r="D46" s="12"/>
      <c r="E46" s="11"/>
      <c r="F46" s="13"/>
      <c r="G46" s="12"/>
      <c r="H46" s="13"/>
      <c r="I46" s="13"/>
    </row>
    <row r="47" spans="2:9">
      <c r="B47" s="11"/>
      <c r="C47" s="12"/>
      <c r="D47" s="12"/>
      <c r="E47" s="11"/>
      <c r="F47" s="13"/>
      <c r="G47" s="12"/>
      <c r="H47" s="13"/>
      <c r="I47" s="13"/>
    </row>
    <row r="48" spans="2:9">
      <c r="B48" s="11"/>
      <c r="C48" s="12"/>
      <c r="D48" s="12"/>
      <c r="E48" s="11"/>
      <c r="F48" s="13"/>
      <c r="G48" s="12"/>
      <c r="H48" s="13"/>
      <c r="I48" s="13"/>
    </row>
    <row r="49" spans="2:9">
      <c r="B49" s="11"/>
      <c r="C49" s="12"/>
      <c r="D49" s="12"/>
      <c r="E49" s="11"/>
      <c r="F49" s="13"/>
      <c r="G49" s="12"/>
      <c r="H49" s="13"/>
      <c r="I49" s="13"/>
    </row>
    <row r="50" spans="2:9">
      <c r="B50" s="11"/>
      <c r="C50" s="12"/>
      <c r="D50" s="12"/>
      <c r="E50" s="11"/>
      <c r="F50" s="13"/>
      <c r="G50" s="12"/>
      <c r="H50" s="13"/>
      <c r="I50" s="13"/>
    </row>
    <row r="51" spans="2:9">
      <c r="B51" s="11"/>
      <c r="C51" s="12"/>
      <c r="D51" s="12"/>
      <c r="E51" s="11"/>
      <c r="F51" s="13"/>
      <c r="G51" s="12"/>
      <c r="H51" s="13"/>
      <c r="I51" s="13"/>
    </row>
    <row r="52" spans="2:9">
      <c r="B52" s="11"/>
      <c r="C52" s="12"/>
      <c r="D52" s="12"/>
      <c r="E52" s="11"/>
      <c r="F52" s="13"/>
      <c r="G52" s="12"/>
      <c r="H52" s="13"/>
      <c r="I52" s="13"/>
    </row>
    <row r="53" spans="2:9">
      <c r="B53" s="11"/>
      <c r="C53" s="12"/>
      <c r="D53" s="12"/>
      <c r="E53" s="11"/>
      <c r="F53" s="13"/>
      <c r="G53" s="12"/>
      <c r="H53" s="13"/>
      <c r="I53" s="13"/>
    </row>
    <row r="54" spans="2:9">
      <c r="B54" s="11"/>
      <c r="C54" s="12"/>
      <c r="D54" s="12"/>
      <c r="E54" s="11"/>
      <c r="F54" s="13"/>
      <c r="G54" s="12"/>
      <c r="H54" s="13"/>
      <c r="I54" s="13"/>
    </row>
    <row r="55" spans="2:9">
      <c r="B55" s="11"/>
      <c r="C55" s="12"/>
      <c r="D55" s="12"/>
      <c r="E55" s="11"/>
      <c r="F55" s="13"/>
      <c r="G55" s="12"/>
      <c r="H55" s="13"/>
      <c r="I55" s="13"/>
    </row>
    <row r="56" spans="2:9">
      <c r="B56" s="11"/>
      <c r="C56" s="12"/>
      <c r="D56" s="12"/>
      <c r="E56" s="11"/>
      <c r="F56" s="13"/>
      <c r="G56" s="12"/>
      <c r="H56" s="13"/>
      <c r="I56" s="13"/>
    </row>
    <row r="57" spans="2:9">
      <c r="B57" s="11"/>
      <c r="C57" s="12"/>
      <c r="D57" s="12"/>
      <c r="E57" s="11"/>
      <c r="F57" s="13"/>
      <c r="G57" s="12"/>
      <c r="H57" s="13"/>
      <c r="I57" s="13"/>
    </row>
    <row r="58" spans="2:9">
      <c r="B58" s="11"/>
      <c r="C58" s="12"/>
      <c r="D58" s="12"/>
      <c r="E58" s="11"/>
      <c r="F58" s="13"/>
      <c r="G58" s="12"/>
      <c r="H58" s="13"/>
      <c r="I58" s="13"/>
    </row>
    <row r="59" spans="2:9">
      <c r="B59" s="11"/>
      <c r="C59" s="12"/>
      <c r="D59" s="12"/>
      <c r="E59" s="11"/>
      <c r="F59" s="13"/>
      <c r="G59" s="12"/>
      <c r="H59" s="13"/>
      <c r="I59" s="13"/>
    </row>
    <row r="60" spans="2:9">
      <c r="B60" s="11"/>
      <c r="C60" s="12"/>
      <c r="D60" s="12"/>
      <c r="E60" s="11"/>
      <c r="F60" s="13"/>
      <c r="G60" s="12"/>
      <c r="H60" s="13"/>
      <c r="I60" s="13"/>
    </row>
    <row r="61" spans="2:9">
      <c r="B61" s="11"/>
      <c r="C61" s="12"/>
      <c r="D61" s="12"/>
      <c r="E61" s="11"/>
      <c r="F61" s="13"/>
      <c r="G61" s="12"/>
      <c r="H61" s="13"/>
      <c r="I61" s="13"/>
    </row>
    <row r="62" spans="2:9">
      <c r="B62" s="11"/>
      <c r="C62" s="12"/>
      <c r="D62" s="12"/>
      <c r="E62" s="11"/>
      <c r="F62" s="13"/>
      <c r="G62" s="12"/>
      <c r="H62" s="13"/>
      <c r="I62" s="13"/>
    </row>
    <row r="63" spans="2:9">
      <c r="B63" s="11"/>
      <c r="C63" s="12"/>
      <c r="D63" s="12"/>
      <c r="E63" s="11"/>
      <c r="F63" s="13"/>
      <c r="G63" s="12"/>
      <c r="H63" s="13"/>
      <c r="I63" s="13"/>
    </row>
    <row r="64" spans="2:9">
      <c r="B64" s="11"/>
      <c r="C64" s="12"/>
      <c r="D64" s="12"/>
      <c r="E64" s="11"/>
      <c r="F64" s="13"/>
      <c r="G64" s="12"/>
      <c r="H64" s="13"/>
      <c r="I64" s="13"/>
    </row>
    <row r="65" spans="2:9">
      <c r="B65" s="11"/>
      <c r="C65" s="12"/>
      <c r="D65" s="12"/>
      <c r="E65" s="11"/>
      <c r="F65" s="13"/>
      <c r="G65" s="12"/>
      <c r="H65" s="13"/>
      <c r="I65" s="13"/>
    </row>
    <row r="66" spans="2:9">
      <c r="B66" s="11"/>
      <c r="C66" s="12"/>
      <c r="D66" s="12"/>
      <c r="E66" s="11"/>
      <c r="F66" s="13"/>
      <c r="G66" s="12"/>
      <c r="H66" s="13"/>
      <c r="I66" s="13"/>
    </row>
    <row r="67" spans="2:9">
      <c r="B67" s="11"/>
      <c r="C67" s="12"/>
      <c r="D67" s="12"/>
      <c r="E67" s="11"/>
      <c r="F67" s="13"/>
      <c r="G67" s="12"/>
      <c r="H67" s="13"/>
      <c r="I67" s="13"/>
    </row>
    <row r="68" spans="2:9">
      <c r="B68" s="11"/>
      <c r="C68" s="12"/>
      <c r="D68" s="12"/>
      <c r="E68" s="11"/>
      <c r="F68" s="13"/>
      <c r="G68" s="12"/>
      <c r="H68" s="13"/>
      <c r="I68" s="13"/>
    </row>
    <row r="69" spans="2:9">
      <c r="B69" s="11"/>
      <c r="C69" s="12"/>
      <c r="D69" s="12"/>
      <c r="E69" s="11"/>
      <c r="F69" s="13"/>
      <c r="G69" s="12"/>
      <c r="H69" s="13"/>
      <c r="I69" s="13"/>
    </row>
    <row r="70" spans="2:9">
      <c r="B70" s="11"/>
      <c r="C70" s="12"/>
      <c r="D70" s="12"/>
      <c r="E70" s="11"/>
      <c r="F70" s="13"/>
      <c r="G70" s="12"/>
      <c r="H70" s="13"/>
      <c r="I70" s="13"/>
    </row>
    <row r="71" spans="2:9">
      <c r="B71" s="11"/>
      <c r="C71" s="12"/>
      <c r="D71" s="12"/>
      <c r="E71" s="11"/>
      <c r="F71" s="13"/>
      <c r="G71" s="12"/>
      <c r="H71" s="13"/>
      <c r="I71" s="13"/>
    </row>
    <row r="72" spans="2:9">
      <c r="B72" s="11"/>
      <c r="C72" s="12"/>
      <c r="D72" s="12"/>
      <c r="E72" s="11"/>
      <c r="F72" s="13"/>
      <c r="G72" s="12"/>
      <c r="H72" s="13"/>
      <c r="I72" s="13"/>
    </row>
    <row r="73" spans="2:9">
      <c r="B73" s="11"/>
      <c r="C73" s="12"/>
      <c r="D73" s="12"/>
      <c r="E73" s="11"/>
      <c r="F73" s="13"/>
      <c r="G73" s="12"/>
      <c r="H73" s="13"/>
      <c r="I73" s="13"/>
    </row>
    <row r="74" spans="2:9">
      <c r="B74" s="11"/>
      <c r="C74" s="12"/>
      <c r="D74" s="12"/>
      <c r="E74" s="11"/>
      <c r="F74" s="13"/>
      <c r="G74" s="12"/>
      <c r="H74" s="13"/>
      <c r="I74" s="13"/>
    </row>
    <row r="75" spans="2:9">
      <c r="B75" s="11"/>
      <c r="C75" s="12"/>
      <c r="D75" s="12"/>
      <c r="E75" s="11"/>
      <c r="F75" s="13"/>
      <c r="G75" s="12"/>
      <c r="H75" s="13"/>
      <c r="I75" s="13"/>
    </row>
    <row r="76" spans="2:9">
      <c r="B76" s="11"/>
      <c r="C76" s="12"/>
      <c r="D76" s="12"/>
      <c r="E76" s="11"/>
      <c r="F76" s="13"/>
      <c r="G76" s="12"/>
      <c r="H76" s="13"/>
      <c r="I76" s="13"/>
    </row>
    <row r="77" spans="2:9">
      <c r="B77" s="11"/>
      <c r="C77" s="12"/>
      <c r="D77" s="12"/>
      <c r="E77" s="11"/>
      <c r="F77" s="13"/>
      <c r="G77" s="12"/>
      <c r="H77" s="13"/>
      <c r="I77" s="13"/>
    </row>
    <row r="78" spans="2:9">
      <c r="B78" s="11"/>
      <c r="C78" s="12"/>
      <c r="D78" s="12"/>
      <c r="E78" s="11"/>
      <c r="F78" s="13"/>
      <c r="G78" s="12"/>
      <c r="H78" s="13"/>
      <c r="I78" s="13"/>
    </row>
    <row r="79" spans="2:9">
      <c r="B79" s="11"/>
      <c r="C79" s="12"/>
      <c r="D79" s="12"/>
      <c r="E79" s="11"/>
      <c r="F79" s="13"/>
      <c r="G79" s="12"/>
      <c r="H79" s="13"/>
      <c r="I79" s="13"/>
    </row>
    <row r="80" spans="2:9">
      <c r="B80" s="11"/>
      <c r="C80" s="12"/>
      <c r="D80" s="12"/>
      <c r="E80" s="11"/>
      <c r="F80" s="13"/>
      <c r="G80" s="12"/>
      <c r="H80" s="13"/>
      <c r="I80" s="13"/>
    </row>
    <row r="81" spans="2:9">
      <c r="B81" s="11"/>
      <c r="C81" s="12"/>
      <c r="D81" s="12"/>
      <c r="E81" s="11"/>
      <c r="F81" s="13"/>
      <c r="G81" s="12"/>
      <c r="H81" s="13"/>
      <c r="I81" s="13"/>
    </row>
    <row r="82" spans="2:9">
      <c r="B82" s="11"/>
      <c r="C82" s="12"/>
      <c r="D82" s="12"/>
      <c r="E82" s="11"/>
      <c r="F82" s="13"/>
      <c r="G82" s="12"/>
      <c r="H82" s="13"/>
      <c r="I82" s="13"/>
    </row>
    <row r="83" spans="2:9">
      <c r="B83" s="11"/>
      <c r="C83" s="12"/>
      <c r="D83" s="12"/>
      <c r="E83" s="11"/>
      <c r="F83" s="13"/>
      <c r="G83" s="12"/>
      <c r="H83" s="13"/>
      <c r="I83" s="13"/>
    </row>
    <row r="84" spans="2:9">
      <c r="B84" s="11"/>
      <c r="C84" s="12"/>
      <c r="D84" s="12"/>
      <c r="E84" s="11"/>
      <c r="F84" s="13"/>
      <c r="G84" s="12"/>
      <c r="H84" s="13"/>
      <c r="I84" s="13"/>
    </row>
    <row r="85" spans="2:9">
      <c r="B85" s="11"/>
      <c r="C85" s="12"/>
      <c r="D85" s="12"/>
      <c r="E85" s="11"/>
      <c r="F85" s="13"/>
      <c r="G85" s="12"/>
      <c r="H85" s="13"/>
      <c r="I85" s="13"/>
    </row>
    <row r="86" spans="2:9">
      <c r="B86" s="11"/>
      <c r="C86" s="12"/>
      <c r="D86" s="12"/>
      <c r="E86" s="11"/>
      <c r="F86" s="13"/>
      <c r="G86" s="12"/>
      <c r="H86" s="13"/>
      <c r="I86" s="13"/>
    </row>
    <row r="87" spans="2:9">
      <c r="B87" s="11"/>
      <c r="C87" s="12"/>
      <c r="D87" s="12"/>
      <c r="E87" s="11"/>
      <c r="F87" s="13"/>
      <c r="G87" s="12"/>
      <c r="H87" s="13"/>
      <c r="I87" s="13"/>
    </row>
    <row r="88" spans="2:9">
      <c r="B88" s="11"/>
      <c r="C88" s="12"/>
      <c r="D88" s="12"/>
      <c r="E88" s="11"/>
      <c r="F88" s="13"/>
      <c r="G88" s="12"/>
      <c r="H88" s="13"/>
      <c r="I88" s="13"/>
    </row>
    <row r="89" spans="2:9">
      <c r="B89" s="11"/>
      <c r="C89" s="12"/>
      <c r="D89" s="12"/>
      <c r="E89" s="11"/>
      <c r="G89" s="12"/>
      <c r="H89" s="13"/>
      <c r="I89" s="13"/>
    </row>
  </sheetData>
  <phoneticPr fontId="3" type="noConversion"/>
  <hyperlinks>
    <hyperlink ref="A1" location="目錄!A1" display="回到目錄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RowHeight="13.8"/>
  <cols>
    <col min="1" max="1" width="7.453125" style="39" bestFit="1" customWidth="1"/>
    <col min="2" max="2" width="8.54296875" style="39" customWidth="1"/>
    <col min="3" max="3" width="8.81640625" style="39" bestFit="1" customWidth="1"/>
    <col min="4" max="4" width="17" style="39" bestFit="1" customWidth="1"/>
    <col min="5" max="5" width="7.26953125" style="39" bestFit="1" customWidth="1"/>
    <col min="6" max="6" width="7.08984375" style="39" bestFit="1" customWidth="1"/>
    <col min="7" max="7" width="10" style="39" bestFit="1" customWidth="1"/>
    <col min="8" max="8" width="7" style="39" customWidth="1"/>
    <col min="9" max="9" width="10.36328125" style="39" bestFit="1" customWidth="1"/>
    <col min="10" max="10" width="7.81640625" style="39" customWidth="1"/>
    <col min="11" max="16384" width="8.7265625" style="39"/>
  </cols>
  <sheetData>
    <row r="1" spans="1:10">
      <c r="A1" s="69" t="s">
        <v>36</v>
      </c>
      <c r="B1" s="80" t="s">
        <v>80</v>
      </c>
      <c r="C1" s="80" t="s">
        <v>4706</v>
      </c>
      <c r="D1" s="80" t="s">
        <v>4770</v>
      </c>
      <c r="E1" s="80" t="s">
        <v>4073</v>
      </c>
      <c r="F1" s="80" t="s">
        <v>4075</v>
      </c>
      <c r="G1" s="80" t="s">
        <v>0</v>
      </c>
      <c r="H1" s="80" t="s">
        <v>1</v>
      </c>
      <c r="I1" s="80" t="s">
        <v>19</v>
      </c>
      <c r="J1" s="80" t="s">
        <v>2</v>
      </c>
    </row>
    <row r="2" spans="1:10">
      <c r="B2" s="39" t="s">
        <v>4771</v>
      </c>
      <c r="C2" s="39" t="s">
        <v>4772</v>
      </c>
      <c r="D2" s="39">
        <v>10</v>
      </c>
      <c r="E2" s="39">
        <v>50</v>
      </c>
      <c r="F2" s="39">
        <v>90</v>
      </c>
      <c r="H2" s="39" t="s">
        <v>522</v>
      </c>
      <c r="J2" s="39" t="s">
        <v>522</v>
      </c>
    </row>
  </sheetData>
  <phoneticPr fontId="3" type="noConversion"/>
  <hyperlinks>
    <hyperlink ref="A1" location="目錄!A1" display="回到目錄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"/>
  <dimension ref="A1:S92"/>
  <sheetViews>
    <sheetView workbookViewId="0"/>
  </sheetViews>
  <sheetFormatPr defaultColWidth="11.1796875" defaultRowHeight="13.8"/>
  <cols>
    <col min="1" max="1" width="7.453125" style="10" bestFit="1" customWidth="1"/>
    <col min="2" max="2" width="4.36328125" style="14" bestFit="1" customWidth="1"/>
    <col min="3" max="3" width="13.7265625" style="10" bestFit="1" customWidth="1"/>
    <col min="4" max="4" width="10" style="10" bestFit="1" customWidth="1"/>
    <col min="5" max="5" width="7.54296875" style="14" bestFit="1" customWidth="1"/>
    <col min="6" max="6" width="10" style="1" bestFit="1" customWidth="1"/>
    <col min="7" max="7" width="12.26953125" style="10" bestFit="1" customWidth="1"/>
    <col min="8" max="8" width="10.26953125" style="15" customWidth="1"/>
    <col min="9" max="9" width="10.08984375" style="10" bestFit="1" customWidth="1"/>
    <col min="10" max="11" width="6.6328125" style="15" customWidth="1"/>
    <col min="12" max="12" width="4.26953125" style="15" bestFit="1" customWidth="1"/>
    <col min="13" max="13" width="18.81640625" style="10" bestFit="1" customWidth="1"/>
    <col min="14" max="15" width="6.6328125" style="10" customWidth="1"/>
    <col min="16" max="19" width="14.453125" style="10" customWidth="1"/>
    <col min="20" max="16384" width="11.1796875" style="10"/>
  </cols>
  <sheetData>
    <row r="1" spans="1:19">
      <c r="A1" s="23" t="s">
        <v>36</v>
      </c>
      <c r="B1" s="5" t="s">
        <v>5</v>
      </c>
      <c r="C1" s="6" t="s">
        <v>3</v>
      </c>
      <c r="D1" s="6" t="s">
        <v>4</v>
      </c>
      <c r="E1" s="7" t="s">
        <v>6</v>
      </c>
      <c r="F1" s="3" t="s">
        <v>13</v>
      </c>
      <c r="G1" s="8" t="s">
        <v>7</v>
      </c>
      <c r="H1" s="9" t="s">
        <v>8</v>
      </c>
      <c r="I1" s="9" t="s">
        <v>139</v>
      </c>
      <c r="L1" s="72" t="s">
        <v>240</v>
      </c>
      <c r="M1" s="72" t="s">
        <v>490</v>
      </c>
      <c r="N1" s="72" t="s">
        <v>470</v>
      </c>
      <c r="O1" s="72" t="s">
        <v>471</v>
      </c>
      <c r="P1" s="72" t="s">
        <v>472</v>
      </c>
      <c r="Q1" s="72" t="s">
        <v>473</v>
      </c>
      <c r="R1" s="72" t="s">
        <v>474</v>
      </c>
      <c r="S1" s="73" t="s">
        <v>475</v>
      </c>
    </row>
    <row r="2" spans="1:19">
      <c r="B2" s="11" t="s">
        <v>117</v>
      </c>
      <c r="C2" s="13" t="s">
        <v>3723</v>
      </c>
      <c r="D2" s="13" t="s">
        <v>21</v>
      </c>
      <c r="E2" s="11"/>
      <c r="F2" s="12"/>
      <c r="G2" s="12" t="s">
        <v>26</v>
      </c>
      <c r="H2" s="27"/>
      <c r="I2" s="10" t="s">
        <v>281</v>
      </c>
      <c r="L2" s="36"/>
      <c r="M2" s="34"/>
      <c r="N2" s="36" t="str">
        <f>"EXEC sp_dropextendedproperty @name = N'MS_Description', @level0type=N'SCHEMA',@level0name=N'"&amp;$L$1&amp;"', @level1type=N'TABLE',@level1name=N'"&amp;$M$1&amp;"', @level2type=N'COLUMN',@level2name=N'"&amp;$C2&amp;"'"</f>
        <v>EXEC sp_dropextendedproperty @name = N'MS_Description', @level0type=N'SCHEMA',@level0name=N'dbo', @level1type=N'TABLE',@level1name=N'LifeInsDiscountPayWay', @level2type=N'COLUMN',@level2name=N'FirstPayWay'</v>
      </c>
      <c r="O2" s="36" t="str">
        <f>"EXEC sp_dropextendedproperty @name = N'Rule', @level0type=N'SCHEMA',@level0name=N'"&amp;$L$1&amp;"', @level1type=N'TABLE',@level1name=N'"&amp;$M$1&amp;"', @level2type=N'COLUMN',@level2name=N'"&amp;$C2&amp;"'"</f>
        <v>EXEC sp_dropextendedproperty @name = N'Rule', @level0type=N'SCHEMA',@level0name=N'dbo', @level1type=N'TABLE',@level1name=N'LifeInsDiscountPayWay', @level2type=N'COLUMN',@level2name=N'FirstPayWay'</v>
      </c>
      <c r="P2" s="36" t="str">
        <f>"EXEC sp_dropextendedproperty @name = N'Memo', @level0type=N'SCHEMA',@level0name=N'"&amp;$L$1&amp;"', @level1type=N'TABLE',@level1name=N'"&amp;$M$1&amp;"', @level2type=N'COLUMN',@level2name=N'"&amp;$C2&amp;"'"</f>
        <v>EXEC sp_dropextendedproperty @name = N'Memo', @level0type=N'SCHEMA',@level0name=N'dbo', @level1type=N'TABLE',@level1name=N'LifeInsDiscountPayWay', @level2type=N'COLUMN',@level2name=N'FirstPayWay'</v>
      </c>
      <c r="Q2" s="36" t="str">
        <f>"set @OldWording = N'"&amp;SUBSTITUTE($G2,CHAR(10),"")&amp;"'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@level2type=N'COLUMN',@level2name=N'"&amp;$C2&amp;"'"</f>
        <v>set @OldWording = N'首期繳費方式' set @NewWording = REPLACE(@OldWording,'***',char(13)+char(10)) EXEC sys.sp_addextendedproperty @name=N'MS_Description', @value=@NewWording , @level0type=N'SCHEMA',@level0name=N'dbo', @level1type=N'TABLE',@level1name=N'LifeInsDiscountPayWay', @level2type=N'COLUMN',@level2name=N'FirstPayWay'</v>
      </c>
      <c r="R2" s="32" t="str">
        <f>"set @OldWording = N'"&amp;SUBSTITUTE($H2,CHAR(10),"")&amp;"'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@name=N'Rule', @value=@NewWording , @level0type=N'SCHEMA',@level0name=N'dbo', @level1type=N'TABLE',@level1name=N'LifeInsDiscountPayWay', @level2type=N'COLUMN',@level2name=N'FirstPayWay'</v>
      </c>
      <c r="S2" s="36" t="str">
        <f>"set @OldWording = N'"&amp;SUBSTITUTE($I2,CHAR(10),"")&amp;"' set @NewWording = REPLACE(@OldWording,'***',char(13)+char(10)) "&amp;"EXEC sys.sp_addextendedproperty @name=N'Memo', @value=@NewWording , @level0type=N'SCHEMA',@level0name=N'"&amp;$L$1&amp;"', @level1type=N'TABLE',@level1name=N'"&amp;$M$1&amp;"', @level2type=N'COLUMN',@level2name=N'"&amp;$C2&amp;"'"</f>
        <v>set @OldWording = N'PPL.000.011' set @NewWording = REPLACE(@OldWording,'***',char(13)+char(10)) EXEC sys.sp_addextendedproperty @name=N'Memo', @value=@NewWording , @level0type=N'SCHEMA',@level0name=N'dbo', @level1type=N'TABLE',@level1name=N'LifeInsDiscountPayWay', @level2type=N'COLUMN',@level2name=N'FirstPayWay'</v>
      </c>
    </row>
    <row r="3" spans="1:19">
      <c r="B3" s="11" t="s">
        <v>117</v>
      </c>
      <c r="C3" s="13" t="s">
        <v>3724</v>
      </c>
      <c r="D3" s="13" t="s">
        <v>21</v>
      </c>
      <c r="E3" s="11"/>
      <c r="F3" s="12"/>
      <c r="G3" s="12" t="s">
        <v>27</v>
      </c>
      <c r="H3" s="27"/>
      <c r="I3" s="10" t="s">
        <v>2962</v>
      </c>
    </row>
    <row r="4" spans="1:19">
      <c r="B4" s="11" t="s">
        <v>117</v>
      </c>
      <c r="C4" s="13" t="s">
        <v>41</v>
      </c>
      <c r="D4" s="13" t="s">
        <v>21</v>
      </c>
      <c r="E4" s="11"/>
      <c r="F4" s="12"/>
      <c r="G4" s="12" t="s">
        <v>140</v>
      </c>
      <c r="H4" s="16"/>
      <c r="I4" s="10" t="s">
        <v>277</v>
      </c>
    </row>
    <row r="5" spans="1:19">
      <c r="B5" s="11"/>
      <c r="C5" s="12" t="s">
        <v>3743</v>
      </c>
      <c r="D5" s="12" t="s">
        <v>44</v>
      </c>
      <c r="E5" s="11"/>
      <c r="F5" s="4"/>
      <c r="G5" s="10" t="s">
        <v>3744</v>
      </c>
      <c r="H5" s="10"/>
    </row>
    <row r="6" spans="1:19">
      <c r="B6" s="11"/>
      <c r="C6" s="12" t="s">
        <v>3745</v>
      </c>
      <c r="D6" s="12" t="s">
        <v>44</v>
      </c>
      <c r="E6" s="11"/>
      <c r="F6" s="4"/>
      <c r="G6" s="10" t="s">
        <v>3746</v>
      </c>
    </row>
    <row r="7" spans="1:19">
      <c r="C7" s="12" t="s">
        <v>0</v>
      </c>
      <c r="D7" s="12" t="s">
        <v>11</v>
      </c>
      <c r="E7" s="11" t="s">
        <v>16</v>
      </c>
      <c r="F7" s="4" t="s">
        <v>20</v>
      </c>
      <c r="G7" s="12" t="s">
        <v>30</v>
      </c>
      <c r="H7" s="13"/>
    </row>
    <row r="8" spans="1:19">
      <c r="B8" s="11"/>
      <c r="C8" s="12" t="s">
        <v>68</v>
      </c>
      <c r="D8" s="12" t="s">
        <v>37</v>
      </c>
      <c r="E8" s="11"/>
      <c r="F8" s="4"/>
      <c r="G8" s="12" t="s">
        <v>31</v>
      </c>
      <c r="H8" s="13"/>
    </row>
    <row r="9" spans="1:19">
      <c r="B9" s="11"/>
      <c r="C9" s="12" t="s">
        <v>19</v>
      </c>
      <c r="D9" s="12" t="s">
        <v>11</v>
      </c>
      <c r="E9" s="11" t="s">
        <v>16</v>
      </c>
      <c r="F9" s="4" t="s">
        <v>20</v>
      </c>
      <c r="G9" s="12" t="s">
        <v>32</v>
      </c>
      <c r="H9" s="13"/>
    </row>
    <row r="10" spans="1:19">
      <c r="B10" s="11"/>
      <c r="C10" s="12" t="s">
        <v>2</v>
      </c>
      <c r="D10" s="12" t="s">
        <v>37</v>
      </c>
      <c r="E10" s="11"/>
      <c r="F10" s="4"/>
      <c r="G10" s="12" t="s">
        <v>33</v>
      </c>
      <c r="H10" s="13"/>
    </row>
    <row r="12" spans="1:19">
      <c r="B12" s="11"/>
    </row>
    <row r="13" spans="1:19">
      <c r="B13" s="11"/>
    </row>
    <row r="14" spans="1:19">
      <c r="B14" s="11"/>
    </row>
    <row r="15" spans="1:19">
      <c r="B15" s="11"/>
    </row>
    <row r="16" spans="1:19">
      <c r="B16" s="11"/>
      <c r="C16" s="12"/>
      <c r="D16" s="12"/>
      <c r="E16" s="11"/>
      <c r="F16" s="4"/>
      <c r="G16" s="12"/>
      <c r="H16" s="13"/>
    </row>
    <row r="17" spans="2:8">
      <c r="B17" s="11"/>
      <c r="C17" s="12"/>
      <c r="D17" s="12"/>
      <c r="E17" s="11"/>
      <c r="F17" s="4"/>
      <c r="G17" s="12"/>
      <c r="H17" s="13"/>
    </row>
    <row r="18" spans="2:8">
      <c r="B18" s="11"/>
      <c r="C18" s="12"/>
      <c r="D18" s="12"/>
      <c r="E18" s="11"/>
      <c r="F18" s="4"/>
      <c r="G18" s="12"/>
      <c r="H18" s="13"/>
    </row>
    <row r="19" spans="2:8">
      <c r="B19" s="11"/>
      <c r="C19" s="12"/>
      <c r="D19" s="12"/>
      <c r="E19" s="11"/>
      <c r="F19" s="4"/>
      <c r="G19" s="12"/>
      <c r="H19" s="13"/>
    </row>
    <row r="20" spans="2:8">
      <c r="B20" s="11"/>
      <c r="C20" s="12"/>
      <c r="D20" s="12"/>
      <c r="E20" s="11"/>
      <c r="F20" s="4"/>
      <c r="G20" s="12"/>
      <c r="H20" s="13"/>
    </row>
    <row r="21" spans="2:8">
      <c r="B21" s="11"/>
      <c r="C21" s="12"/>
      <c r="D21" s="12"/>
      <c r="E21" s="11"/>
      <c r="F21" s="4"/>
      <c r="G21" s="12"/>
      <c r="H21" s="13"/>
    </row>
    <row r="22" spans="2:8">
      <c r="B22" s="11"/>
      <c r="C22" s="12"/>
      <c r="D22" s="12"/>
      <c r="E22" s="11"/>
      <c r="F22" s="4"/>
      <c r="G22" s="12"/>
      <c r="H22" s="13"/>
    </row>
    <row r="23" spans="2:8">
      <c r="B23" s="11"/>
      <c r="C23" s="12"/>
      <c r="D23" s="12"/>
      <c r="E23" s="11"/>
      <c r="F23" s="4"/>
      <c r="G23" s="12"/>
      <c r="H23" s="13"/>
    </row>
    <row r="24" spans="2:8">
      <c r="B24" s="11"/>
      <c r="C24" s="12"/>
      <c r="D24" s="12"/>
      <c r="E24" s="11"/>
      <c r="F24" s="4"/>
      <c r="G24" s="12"/>
      <c r="H24" s="13"/>
    </row>
    <row r="25" spans="2:8">
      <c r="B25" s="11"/>
      <c r="C25" s="12"/>
      <c r="D25" s="12"/>
      <c r="E25" s="11"/>
      <c r="F25" s="4"/>
      <c r="G25" s="12"/>
      <c r="H25" s="13"/>
    </row>
    <row r="26" spans="2:8">
      <c r="B26" s="11"/>
      <c r="C26" s="12"/>
      <c r="D26" s="12"/>
      <c r="E26" s="11"/>
      <c r="F26" s="4"/>
      <c r="G26" s="12"/>
      <c r="H26" s="13"/>
    </row>
    <row r="27" spans="2:8">
      <c r="B27" s="11"/>
      <c r="C27" s="12"/>
      <c r="D27" s="12"/>
      <c r="E27" s="11"/>
      <c r="F27" s="4"/>
      <c r="G27" s="12"/>
      <c r="H27" s="13"/>
    </row>
    <row r="28" spans="2:8">
      <c r="B28" s="11"/>
      <c r="C28" s="12"/>
      <c r="D28" s="12"/>
      <c r="E28" s="11"/>
      <c r="F28" s="4"/>
      <c r="G28" s="12"/>
      <c r="H28" s="13"/>
    </row>
    <row r="29" spans="2:8">
      <c r="B29" s="11"/>
      <c r="C29" s="12"/>
      <c r="D29" s="12"/>
      <c r="E29" s="11"/>
      <c r="F29" s="4"/>
      <c r="G29" s="12"/>
      <c r="H29" s="13"/>
    </row>
    <row r="30" spans="2:8">
      <c r="B30" s="11"/>
      <c r="C30" s="12"/>
      <c r="D30" s="12"/>
      <c r="E30" s="11"/>
      <c r="F30" s="4"/>
      <c r="G30" s="12"/>
      <c r="H30" s="13"/>
    </row>
    <row r="31" spans="2:8">
      <c r="B31" s="11"/>
      <c r="C31" s="12"/>
      <c r="D31" s="12"/>
      <c r="E31" s="11"/>
      <c r="F31" s="4"/>
      <c r="G31" s="12"/>
      <c r="H31" s="13"/>
    </row>
    <row r="32" spans="2:8">
      <c r="B32" s="11"/>
      <c r="C32" s="12"/>
      <c r="D32" s="12"/>
      <c r="E32" s="11"/>
      <c r="F32" s="4"/>
      <c r="G32" s="12"/>
      <c r="H32" s="13"/>
    </row>
    <row r="33" spans="2:8">
      <c r="B33" s="11"/>
      <c r="C33" s="12"/>
      <c r="D33" s="12"/>
      <c r="E33" s="11"/>
      <c r="F33" s="4"/>
      <c r="G33" s="12"/>
      <c r="H33" s="13"/>
    </row>
    <row r="34" spans="2:8">
      <c r="B34" s="11"/>
      <c r="C34" s="12"/>
      <c r="D34" s="12"/>
      <c r="E34" s="11"/>
      <c r="F34" s="4"/>
      <c r="G34" s="12"/>
      <c r="H34" s="13"/>
    </row>
    <row r="35" spans="2:8">
      <c r="B35" s="11"/>
      <c r="C35" s="12"/>
      <c r="D35" s="12"/>
      <c r="E35" s="11"/>
      <c r="F35" s="4"/>
      <c r="G35" s="12"/>
      <c r="H35" s="13"/>
    </row>
    <row r="36" spans="2:8">
      <c r="B36" s="11"/>
      <c r="C36" s="12"/>
      <c r="D36" s="12"/>
      <c r="E36" s="11"/>
      <c r="F36" s="4"/>
      <c r="G36" s="12"/>
      <c r="H36" s="13"/>
    </row>
    <row r="37" spans="2:8">
      <c r="B37" s="11"/>
      <c r="C37" s="12"/>
      <c r="D37" s="12"/>
      <c r="E37" s="11"/>
      <c r="F37" s="4"/>
      <c r="G37" s="12"/>
      <c r="H37" s="13"/>
    </row>
    <row r="38" spans="2:8">
      <c r="B38" s="11"/>
      <c r="C38" s="12"/>
      <c r="D38" s="12"/>
      <c r="E38" s="11"/>
      <c r="F38" s="4"/>
      <c r="G38" s="12"/>
      <c r="H38" s="13"/>
    </row>
    <row r="39" spans="2:8">
      <c r="B39" s="11"/>
      <c r="C39" s="12"/>
      <c r="D39" s="12"/>
      <c r="E39" s="11"/>
      <c r="F39" s="4"/>
      <c r="G39" s="12"/>
      <c r="H39" s="13"/>
    </row>
    <row r="40" spans="2:8">
      <c r="B40" s="11"/>
      <c r="C40" s="12"/>
      <c r="D40" s="12"/>
      <c r="E40" s="11"/>
      <c r="F40" s="4"/>
      <c r="G40" s="12"/>
      <c r="H40" s="13"/>
    </row>
    <row r="41" spans="2:8">
      <c r="B41" s="11"/>
      <c r="C41" s="12"/>
      <c r="D41" s="12"/>
      <c r="E41" s="11"/>
      <c r="F41" s="4"/>
      <c r="G41" s="12"/>
      <c r="H41" s="13"/>
    </row>
    <row r="42" spans="2:8">
      <c r="B42" s="11"/>
      <c r="C42" s="12"/>
      <c r="D42" s="12"/>
      <c r="E42" s="11"/>
      <c r="F42" s="4"/>
      <c r="G42" s="12"/>
      <c r="H42" s="13"/>
    </row>
    <row r="43" spans="2:8">
      <c r="B43" s="11"/>
      <c r="C43" s="12"/>
      <c r="D43" s="12"/>
      <c r="E43" s="11"/>
      <c r="F43" s="4"/>
      <c r="G43" s="12"/>
      <c r="H43" s="13"/>
    </row>
    <row r="44" spans="2:8">
      <c r="B44" s="11"/>
      <c r="C44" s="12"/>
      <c r="D44" s="12"/>
      <c r="E44" s="11"/>
      <c r="F44" s="4"/>
      <c r="G44" s="12"/>
      <c r="H44" s="13"/>
    </row>
    <row r="45" spans="2:8">
      <c r="B45" s="11"/>
      <c r="C45" s="12"/>
      <c r="D45" s="12"/>
      <c r="E45" s="11"/>
      <c r="F45" s="4"/>
      <c r="G45" s="12"/>
      <c r="H45" s="13"/>
    </row>
    <row r="46" spans="2:8">
      <c r="B46" s="11"/>
      <c r="C46" s="12"/>
      <c r="D46" s="12"/>
      <c r="E46" s="11"/>
      <c r="F46" s="4"/>
      <c r="G46" s="12"/>
      <c r="H46" s="13"/>
    </row>
    <row r="47" spans="2:8">
      <c r="B47" s="11"/>
      <c r="C47" s="12"/>
      <c r="D47" s="12"/>
      <c r="E47" s="11"/>
      <c r="F47" s="4"/>
      <c r="G47" s="12"/>
      <c r="H47" s="13"/>
    </row>
    <row r="48" spans="2:8">
      <c r="B48" s="11"/>
      <c r="C48" s="12"/>
      <c r="D48" s="12"/>
      <c r="E48" s="11"/>
      <c r="F48" s="4"/>
      <c r="G48" s="12"/>
      <c r="H48" s="13"/>
    </row>
    <row r="49" spans="2:8">
      <c r="B49" s="11"/>
      <c r="C49" s="12"/>
      <c r="D49" s="12"/>
      <c r="E49" s="11"/>
      <c r="F49" s="4"/>
      <c r="G49" s="12"/>
      <c r="H49" s="13"/>
    </row>
    <row r="50" spans="2:8">
      <c r="B50" s="11"/>
      <c r="C50" s="12"/>
      <c r="D50" s="12"/>
      <c r="E50" s="11"/>
      <c r="F50" s="4"/>
      <c r="G50" s="12"/>
      <c r="H50" s="13"/>
    </row>
    <row r="51" spans="2:8">
      <c r="B51" s="11"/>
      <c r="C51" s="12"/>
      <c r="D51" s="12"/>
      <c r="E51" s="11"/>
      <c r="F51" s="4"/>
      <c r="G51" s="12"/>
      <c r="H51" s="13"/>
    </row>
    <row r="52" spans="2:8">
      <c r="B52" s="11"/>
      <c r="C52" s="12"/>
      <c r="D52" s="12"/>
      <c r="E52" s="11"/>
      <c r="F52" s="4"/>
      <c r="G52" s="12"/>
      <c r="H52" s="13"/>
    </row>
    <row r="53" spans="2:8">
      <c r="B53" s="11"/>
      <c r="C53" s="12"/>
      <c r="D53" s="12"/>
      <c r="E53" s="11"/>
      <c r="F53" s="4"/>
      <c r="G53" s="12"/>
      <c r="H53" s="13"/>
    </row>
    <row r="54" spans="2:8">
      <c r="B54" s="11"/>
      <c r="C54" s="12"/>
      <c r="D54" s="12"/>
      <c r="E54" s="11"/>
      <c r="F54" s="4"/>
      <c r="G54" s="12"/>
      <c r="H54" s="13"/>
    </row>
    <row r="55" spans="2:8">
      <c r="B55" s="11"/>
      <c r="C55" s="12"/>
      <c r="D55" s="12"/>
      <c r="E55" s="11"/>
      <c r="F55" s="4"/>
      <c r="G55" s="12"/>
      <c r="H55" s="13"/>
    </row>
    <row r="56" spans="2:8">
      <c r="B56" s="11"/>
      <c r="C56" s="12"/>
      <c r="D56" s="12"/>
      <c r="E56" s="11"/>
      <c r="F56" s="4"/>
      <c r="G56" s="12"/>
      <c r="H56" s="13"/>
    </row>
    <row r="57" spans="2:8">
      <c r="B57" s="11"/>
      <c r="C57" s="12"/>
      <c r="D57" s="12"/>
      <c r="E57" s="11"/>
      <c r="F57" s="4"/>
      <c r="G57" s="12"/>
      <c r="H57" s="13"/>
    </row>
    <row r="58" spans="2:8">
      <c r="B58" s="11"/>
      <c r="C58" s="12"/>
      <c r="D58" s="12"/>
      <c r="E58" s="11"/>
      <c r="F58" s="4"/>
      <c r="G58" s="12"/>
      <c r="H58" s="13"/>
    </row>
    <row r="59" spans="2:8">
      <c r="B59" s="11"/>
      <c r="C59" s="12"/>
      <c r="D59" s="12"/>
      <c r="E59" s="11"/>
      <c r="F59" s="4"/>
      <c r="G59" s="12"/>
      <c r="H59" s="13"/>
    </row>
    <row r="60" spans="2:8">
      <c r="B60" s="11"/>
      <c r="C60" s="12"/>
      <c r="D60" s="12"/>
      <c r="E60" s="11"/>
      <c r="F60" s="4"/>
      <c r="G60" s="12"/>
      <c r="H60" s="13"/>
    </row>
    <row r="61" spans="2:8">
      <c r="B61" s="11"/>
      <c r="C61" s="12"/>
      <c r="D61" s="12"/>
      <c r="E61" s="11"/>
      <c r="F61" s="4"/>
      <c r="G61" s="12"/>
      <c r="H61" s="13"/>
    </row>
    <row r="62" spans="2:8">
      <c r="B62" s="11"/>
      <c r="C62" s="12"/>
      <c r="D62" s="12"/>
      <c r="E62" s="11"/>
      <c r="F62" s="4"/>
      <c r="G62" s="12"/>
      <c r="H62" s="13"/>
    </row>
    <row r="63" spans="2:8">
      <c r="B63" s="11"/>
      <c r="C63" s="12"/>
      <c r="D63" s="12"/>
      <c r="E63" s="11"/>
      <c r="F63" s="4"/>
      <c r="G63" s="12"/>
      <c r="H63" s="13"/>
    </row>
    <row r="64" spans="2:8">
      <c r="B64" s="11"/>
      <c r="C64" s="12"/>
      <c r="D64" s="12"/>
      <c r="E64" s="11"/>
      <c r="F64" s="4"/>
      <c r="G64" s="12"/>
      <c r="H64" s="13"/>
    </row>
    <row r="65" spans="2:8">
      <c r="B65" s="11"/>
      <c r="C65" s="12"/>
      <c r="D65" s="12"/>
      <c r="E65" s="11"/>
      <c r="F65" s="4"/>
      <c r="G65" s="12"/>
      <c r="H65" s="13"/>
    </row>
    <row r="66" spans="2:8">
      <c r="B66" s="11"/>
      <c r="C66" s="12"/>
      <c r="D66" s="12"/>
      <c r="E66" s="11"/>
      <c r="F66" s="4"/>
      <c r="G66" s="12"/>
      <c r="H66" s="13"/>
    </row>
    <row r="67" spans="2:8">
      <c r="B67" s="11"/>
      <c r="C67" s="12"/>
      <c r="D67" s="12"/>
      <c r="E67" s="11"/>
      <c r="F67" s="4"/>
      <c r="G67" s="12"/>
      <c r="H67" s="13"/>
    </row>
    <row r="68" spans="2:8">
      <c r="B68" s="11"/>
      <c r="C68" s="12"/>
      <c r="D68" s="12"/>
      <c r="E68" s="11"/>
      <c r="F68" s="4"/>
      <c r="G68" s="12"/>
      <c r="H68" s="13"/>
    </row>
    <row r="69" spans="2:8">
      <c r="B69" s="11"/>
      <c r="C69" s="12"/>
      <c r="D69" s="12"/>
      <c r="E69" s="11"/>
      <c r="F69" s="4"/>
      <c r="G69" s="12"/>
      <c r="H69" s="13"/>
    </row>
    <row r="70" spans="2:8">
      <c r="B70" s="11"/>
      <c r="C70" s="12"/>
      <c r="D70" s="12"/>
      <c r="E70" s="11"/>
      <c r="F70" s="4"/>
      <c r="G70" s="12"/>
      <c r="H70" s="13"/>
    </row>
    <row r="71" spans="2:8">
      <c r="B71" s="11"/>
      <c r="C71" s="12"/>
      <c r="D71" s="12"/>
      <c r="E71" s="11"/>
      <c r="F71" s="4"/>
      <c r="G71" s="12"/>
      <c r="H71" s="13"/>
    </row>
    <row r="72" spans="2:8">
      <c r="B72" s="11"/>
      <c r="C72" s="12"/>
      <c r="D72" s="12"/>
      <c r="E72" s="11"/>
      <c r="F72" s="4"/>
      <c r="G72" s="12"/>
      <c r="H72" s="13"/>
    </row>
    <row r="73" spans="2:8">
      <c r="B73" s="11"/>
      <c r="C73" s="12"/>
      <c r="D73" s="12"/>
      <c r="E73" s="11"/>
      <c r="F73" s="4"/>
      <c r="G73" s="12"/>
      <c r="H73" s="13"/>
    </row>
    <row r="74" spans="2:8">
      <c r="B74" s="11"/>
      <c r="C74" s="12"/>
      <c r="D74" s="12"/>
      <c r="E74" s="11"/>
      <c r="F74" s="4"/>
      <c r="G74" s="12"/>
      <c r="H74" s="13"/>
    </row>
    <row r="75" spans="2:8">
      <c r="B75" s="11"/>
      <c r="C75" s="12"/>
      <c r="D75" s="12"/>
      <c r="E75" s="11"/>
      <c r="F75" s="4"/>
      <c r="G75" s="12"/>
      <c r="H75" s="13"/>
    </row>
    <row r="76" spans="2:8">
      <c r="B76" s="11"/>
      <c r="C76" s="12"/>
      <c r="D76" s="12"/>
      <c r="E76" s="11"/>
      <c r="F76" s="4"/>
      <c r="G76" s="12"/>
      <c r="H76" s="13"/>
    </row>
    <row r="77" spans="2:8">
      <c r="B77" s="11"/>
      <c r="C77" s="12"/>
      <c r="D77" s="12"/>
      <c r="E77" s="11"/>
      <c r="F77" s="4"/>
      <c r="G77" s="12"/>
      <c r="H77" s="13"/>
    </row>
    <row r="78" spans="2:8">
      <c r="B78" s="11"/>
      <c r="C78" s="12"/>
      <c r="D78" s="12"/>
      <c r="E78" s="11"/>
      <c r="F78" s="4"/>
      <c r="G78" s="12"/>
      <c r="H78" s="13"/>
    </row>
    <row r="79" spans="2:8">
      <c r="B79" s="11"/>
      <c r="C79" s="12"/>
      <c r="D79" s="12"/>
      <c r="E79" s="11"/>
      <c r="F79" s="4"/>
      <c r="G79" s="12"/>
      <c r="H79" s="13"/>
    </row>
    <row r="80" spans="2:8">
      <c r="B80" s="11"/>
      <c r="C80" s="12"/>
      <c r="D80" s="12"/>
      <c r="E80" s="11"/>
      <c r="F80" s="4"/>
      <c r="G80" s="12"/>
      <c r="H80" s="13"/>
    </row>
    <row r="81" spans="2:8">
      <c r="B81" s="11"/>
      <c r="C81" s="12"/>
      <c r="D81" s="12"/>
      <c r="E81" s="11"/>
      <c r="F81" s="4"/>
      <c r="G81" s="12"/>
      <c r="H81" s="13"/>
    </row>
    <row r="82" spans="2:8">
      <c r="B82" s="11"/>
      <c r="C82" s="12"/>
      <c r="D82" s="12"/>
      <c r="E82" s="11"/>
      <c r="F82" s="4"/>
      <c r="G82" s="12"/>
      <c r="H82" s="13"/>
    </row>
    <row r="83" spans="2:8">
      <c r="B83" s="11"/>
      <c r="C83" s="12"/>
      <c r="D83" s="12"/>
      <c r="E83" s="11"/>
      <c r="F83" s="4"/>
      <c r="G83" s="12"/>
      <c r="H83" s="13"/>
    </row>
    <row r="84" spans="2:8">
      <c r="B84" s="11"/>
      <c r="C84" s="12"/>
      <c r="D84" s="12"/>
      <c r="E84" s="11"/>
      <c r="F84" s="4"/>
      <c r="G84" s="12"/>
      <c r="H84" s="13"/>
    </row>
    <row r="85" spans="2:8">
      <c r="B85" s="11"/>
      <c r="C85" s="12"/>
      <c r="D85" s="12"/>
      <c r="E85" s="11"/>
      <c r="F85" s="4"/>
      <c r="G85" s="12"/>
      <c r="H85" s="13"/>
    </row>
    <row r="86" spans="2:8">
      <c r="B86" s="11"/>
      <c r="C86" s="12"/>
      <c r="D86" s="12"/>
      <c r="E86" s="11"/>
      <c r="F86" s="4"/>
      <c r="G86" s="12"/>
      <c r="H86" s="13"/>
    </row>
    <row r="87" spans="2:8">
      <c r="B87" s="11"/>
      <c r="C87" s="12"/>
      <c r="D87" s="12"/>
      <c r="E87" s="11"/>
      <c r="F87" s="4"/>
      <c r="G87" s="12"/>
      <c r="H87" s="13"/>
    </row>
    <row r="88" spans="2:8">
      <c r="B88" s="11"/>
      <c r="C88" s="12"/>
      <c r="D88" s="12"/>
      <c r="E88" s="11"/>
      <c r="F88" s="4"/>
      <c r="G88" s="12"/>
      <c r="H88" s="13"/>
    </row>
    <row r="89" spans="2:8">
      <c r="B89" s="11"/>
      <c r="C89" s="12"/>
      <c r="D89" s="12"/>
      <c r="E89" s="11"/>
      <c r="F89" s="4"/>
      <c r="G89" s="12"/>
      <c r="H89" s="13"/>
    </row>
    <row r="90" spans="2:8">
      <c r="B90" s="11"/>
      <c r="C90" s="12"/>
      <c r="D90" s="12"/>
      <c r="E90" s="11"/>
      <c r="F90" s="4"/>
      <c r="G90" s="12"/>
      <c r="H90" s="13"/>
    </row>
    <row r="91" spans="2:8">
      <c r="B91" s="11"/>
      <c r="C91" s="12"/>
      <c r="D91" s="12"/>
      <c r="E91" s="11"/>
      <c r="F91" s="4"/>
      <c r="G91" s="12"/>
      <c r="H91" s="13"/>
    </row>
    <row r="92" spans="2:8">
      <c r="B92" s="11"/>
      <c r="C92" s="12"/>
      <c r="D92" s="12"/>
      <c r="E92" s="11"/>
      <c r="G92" s="12"/>
      <c r="H92" s="13"/>
    </row>
  </sheetData>
  <phoneticPr fontId="3" type="noConversion"/>
  <hyperlinks>
    <hyperlink ref="A1" location="目錄!A1" display="回到目錄"/>
  </hyperlinks>
  <pageMargins left="0.7" right="0.7" top="0.75" bottom="0.75" header="0.3" footer="0.3"/>
  <pageSetup paperSize="9" orientation="portrait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2"/>
  <dimension ref="A1:J19"/>
  <sheetViews>
    <sheetView workbookViewId="0"/>
  </sheetViews>
  <sheetFormatPr defaultRowHeight="13.8"/>
  <cols>
    <col min="1" max="1" width="7.453125" style="1" bestFit="1" customWidth="1"/>
    <col min="2" max="2" width="9.54296875" style="1" bestFit="1" customWidth="1"/>
    <col min="3" max="3" width="10.08984375" style="1" bestFit="1" customWidth="1"/>
    <col min="4" max="4" width="10" style="1" bestFit="1" customWidth="1"/>
    <col min="5" max="5" width="14" style="1" bestFit="1" customWidth="1"/>
    <col min="6" max="6" width="14.6328125" style="1" bestFit="1" customWidth="1"/>
    <col min="7" max="7" width="10" style="1" bestFit="1" customWidth="1"/>
    <col min="8" max="8" width="7" style="1" bestFit="1" customWidth="1"/>
    <col min="9" max="9" width="10.36328125" style="1" bestFit="1" customWidth="1"/>
    <col min="10" max="10" width="7.81640625" style="1" bestFit="1" customWidth="1"/>
    <col min="11" max="16384" width="8.7265625" style="1"/>
  </cols>
  <sheetData>
    <row r="1" spans="1:10">
      <c r="A1" s="63" t="s">
        <v>36</v>
      </c>
      <c r="B1" s="80" t="s">
        <v>3723</v>
      </c>
      <c r="C1" s="80" t="s">
        <v>3724</v>
      </c>
      <c r="D1" s="80" t="s">
        <v>3022</v>
      </c>
      <c r="E1" s="80" t="s">
        <v>3743</v>
      </c>
      <c r="F1" s="80" t="s">
        <v>3745</v>
      </c>
      <c r="G1" s="80" t="s">
        <v>0</v>
      </c>
      <c r="H1" s="80" t="s">
        <v>1</v>
      </c>
      <c r="I1" s="80" t="s">
        <v>19</v>
      </c>
      <c r="J1" s="80" t="s">
        <v>2</v>
      </c>
    </row>
    <row r="2" spans="1:10">
      <c r="B2" s="1">
        <v>1</v>
      </c>
      <c r="C2" s="1">
        <v>3</v>
      </c>
      <c r="D2" s="15" t="s">
        <v>79</v>
      </c>
      <c r="E2" s="15">
        <v>0.01</v>
      </c>
      <c r="F2" s="15">
        <v>0.01</v>
      </c>
      <c r="H2" s="1" t="s">
        <v>523</v>
      </c>
      <c r="J2" s="1" t="s">
        <v>523</v>
      </c>
    </row>
    <row r="3" spans="1:10">
      <c r="B3" s="1">
        <v>1</v>
      </c>
      <c r="C3" s="1">
        <v>4</v>
      </c>
      <c r="D3" s="15" t="s">
        <v>79</v>
      </c>
      <c r="E3" s="15">
        <v>0</v>
      </c>
      <c r="F3" s="15">
        <v>0</v>
      </c>
      <c r="H3" s="1" t="s">
        <v>523</v>
      </c>
      <c r="J3" s="1" t="s">
        <v>523</v>
      </c>
    </row>
    <row r="4" spans="1:10">
      <c r="B4" s="1">
        <v>1</v>
      </c>
      <c r="C4" s="1">
        <v>5</v>
      </c>
      <c r="D4" s="15" t="s">
        <v>79</v>
      </c>
      <c r="E4" s="15">
        <v>0</v>
      </c>
      <c r="F4" s="15">
        <v>0</v>
      </c>
      <c r="H4" s="1" t="s">
        <v>523</v>
      </c>
      <c r="J4" s="1" t="s">
        <v>523</v>
      </c>
    </row>
    <row r="5" spans="1:10">
      <c r="B5" s="1">
        <v>2</v>
      </c>
      <c r="C5" s="1">
        <v>5</v>
      </c>
      <c r="D5" s="15" t="s">
        <v>79</v>
      </c>
      <c r="E5" s="15">
        <v>0</v>
      </c>
      <c r="F5" s="15">
        <v>0</v>
      </c>
      <c r="H5" s="1" t="s">
        <v>523</v>
      </c>
      <c r="J5" s="1" t="s">
        <v>523</v>
      </c>
    </row>
    <row r="6" spans="1:10">
      <c r="B6" s="1">
        <v>2</v>
      </c>
      <c r="C6" s="1">
        <v>3</v>
      </c>
      <c r="D6" s="15" t="s">
        <v>79</v>
      </c>
      <c r="E6" s="15">
        <v>0.01</v>
      </c>
      <c r="F6" s="15">
        <v>0.01</v>
      </c>
      <c r="H6" s="1" t="s">
        <v>523</v>
      </c>
      <c r="J6" s="1" t="s">
        <v>523</v>
      </c>
    </row>
    <row r="7" spans="1:10">
      <c r="B7" s="1">
        <v>2</v>
      </c>
      <c r="C7" s="1">
        <v>4</v>
      </c>
      <c r="D7" s="15" t="s">
        <v>79</v>
      </c>
      <c r="E7" s="15">
        <v>0</v>
      </c>
      <c r="F7" s="15">
        <v>0</v>
      </c>
      <c r="H7" s="1" t="s">
        <v>523</v>
      </c>
      <c r="J7" s="1" t="s">
        <v>523</v>
      </c>
    </row>
    <row r="8" spans="1:10">
      <c r="B8" s="1">
        <v>3</v>
      </c>
      <c r="C8" s="1">
        <v>5</v>
      </c>
      <c r="D8" s="15" t="s">
        <v>79</v>
      </c>
      <c r="E8" s="15">
        <v>0.01</v>
      </c>
      <c r="F8" s="15">
        <v>0</v>
      </c>
      <c r="H8" s="1" t="s">
        <v>523</v>
      </c>
      <c r="J8" s="1" t="s">
        <v>523</v>
      </c>
    </row>
    <row r="9" spans="1:10">
      <c r="B9" s="1">
        <v>3</v>
      </c>
      <c r="C9" s="1">
        <v>3</v>
      </c>
      <c r="D9" s="15" t="s">
        <v>79</v>
      </c>
      <c r="E9" s="15">
        <v>0.01</v>
      </c>
      <c r="F9" s="15">
        <v>0.01</v>
      </c>
      <c r="H9" s="1" t="s">
        <v>523</v>
      </c>
      <c r="J9" s="1" t="s">
        <v>523</v>
      </c>
    </row>
    <row r="10" spans="1:10">
      <c r="B10" s="1">
        <v>3</v>
      </c>
      <c r="C10" s="1">
        <v>4</v>
      </c>
      <c r="D10" s="15" t="s">
        <v>79</v>
      </c>
      <c r="E10" s="15">
        <v>0.01</v>
      </c>
      <c r="F10" s="15">
        <v>0</v>
      </c>
      <c r="H10" s="1" t="s">
        <v>523</v>
      </c>
      <c r="J10" s="1" t="s">
        <v>523</v>
      </c>
    </row>
    <row r="11" spans="1:10">
      <c r="B11" s="1">
        <v>4</v>
      </c>
      <c r="C11" s="1">
        <v>5</v>
      </c>
      <c r="D11" s="15" t="s">
        <v>79</v>
      </c>
      <c r="E11" s="15">
        <v>0</v>
      </c>
      <c r="F11" s="15">
        <v>0</v>
      </c>
      <c r="H11" s="1" t="s">
        <v>523</v>
      </c>
      <c r="J11" s="1" t="s">
        <v>523</v>
      </c>
    </row>
    <row r="12" spans="1:10">
      <c r="B12" s="1">
        <v>4</v>
      </c>
      <c r="C12" s="1">
        <v>3</v>
      </c>
      <c r="D12" s="15" t="s">
        <v>79</v>
      </c>
      <c r="E12" s="15">
        <v>0</v>
      </c>
      <c r="F12" s="15">
        <v>0.01</v>
      </c>
      <c r="H12" s="1" t="s">
        <v>523</v>
      </c>
      <c r="J12" s="1" t="s">
        <v>523</v>
      </c>
    </row>
    <row r="13" spans="1:10">
      <c r="B13" s="1">
        <v>4</v>
      </c>
      <c r="C13" s="1">
        <v>4</v>
      </c>
      <c r="D13" s="15" t="s">
        <v>79</v>
      </c>
      <c r="E13" s="15">
        <v>0</v>
      </c>
      <c r="F13" s="15">
        <v>0</v>
      </c>
      <c r="H13" s="1" t="s">
        <v>523</v>
      </c>
      <c r="J13" s="1" t="s">
        <v>523</v>
      </c>
    </row>
    <row r="14" spans="1:10">
      <c r="B14" s="1">
        <v>1</v>
      </c>
      <c r="C14" s="1">
        <v>5</v>
      </c>
      <c r="D14" s="15" t="s">
        <v>16</v>
      </c>
      <c r="E14" s="15">
        <v>0.01</v>
      </c>
      <c r="F14" s="15">
        <v>0.01</v>
      </c>
      <c r="H14" s="1" t="s">
        <v>523</v>
      </c>
      <c r="J14" s="1" t="s">
        <v>523</v>
      </c>
    </row>
    <row r="15" spans="1:10">
      <c r="B15" s="1">
        <v>1</v>
      </c>
      <c r="C15" s="1">
        <v>3</v>
      </c>
      <c r="D15" s="15" t="s">
        <v>16</v>
      </c>
      <c r="E15" s="15">
        <v>0.01</v>
      </c>
      <c r="F15" s="15">
        <v>0.01</v>
      </c>
      <c r="H15" s="1" t="s">
        <v>523</v>
      </c>
      <c r="J15" s="1" t="s">
        <v>523</v>
      </c>
    </row>
    <row r="16" spans="1:10">
      <c r="B16" s="1">
        <v>2</v>
      </c>
      <c r="C16" s="1">
        <v>5</v>
      </c>
      <c r="D16" s="15" t="s">
        <v>16</v>
      </c>
      <c r="E16" s="15">
        <v>0.01</v>
      </c>
      <c r="F16" s="15">
        <v>0.01</v>
      </c>
      <c r="H16" s="1" t="s">
        <v>523</v>
      </c>
      <c r="J16" s="1" t="s">
        <v>523</v>
      </c>
    </row>
    <row r="17" spans="2:10">
      <c r="B17" s="1">
        <v>2</v>
      </c>
      <c r="C17" s="1">
        <v>3</v>
      </c>
      <c r="D17" s="15" t="s">
        <v>16</v>
      </c>
      <c r="E17" s="15">
        <v>0.01</v>
      </c>
      <c r="F17" s="15">
        <v>0.01</v>
      </c>
      <c r="H17" s="1" t="s">
        <v>523</v>
      </c>
      <c r="J17" s="1" t="s">
        <v>523</v>
      </c>
    </row>
    <row r="18" spans="2:10">
      <c r="B18" s="1">
        <v>3</v>
      </c>
      <c r="C18" s="1">
        <v>5</v>
      </c>
      <c r="D18" s="15" t="s">
        <v>16</v>
      </c>
      <c r="E18" s="15">
        <v>0.01</v>
      </c>
      <c r="F18" s="15">
        <v>0.01</v>
      </c>
      <c r="H18" s="1" t="s">
        <v>523</v>
      </c>
      <c r="J18" s="1" t="s">
        <v>523</v>
      </c>
    </row>
    <row r="19" spans="2:10">
      <c r="B19" s="1">
        <v>3</v>
      </c>
      <c r="C19" s="1">
        <v>3</v>
      </c>
      <c r="D19" s="15" t="s">
        <v>16</v>
      </c>
      <c r="E19" s="15">
        <v>0.01</v>
      </c>
      <c r="F19" s="15">
        <v>0.01</v>
      </c>
      <c r="H19" s="1" t="s">
        <v>523</v>
      </c>
      <c r="J19" s="1" t="s">
        <v>523</v>
      </c>
    </row>
  </sheetData>
  <phoneticPr fontId="3" type="noConversion"/>
  <hyperlinks>
    <hyperlink ref="A1" location="目錄!A1" display="回到目錄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"/>
  <dimension ref="A1:I24"/>
  <sheetViews>
    <sheetView workbookViewId="0">
      <pane ySplit="1" topLeftCell="A4" activePane="bottomLeft" state="frozen"/>
      <selection pane="bottomLeft" activeCell="E1" sqref="E1"/>
    </sheetView>
  </sheetViews>
  <sheetFormatPr defaultRowHeight="13.8"/>
  <cols>
    <col min="1" max="1" width="7.453125" style="2" bestFit="1" customWidth="1"/>
    <col min="2" max="3" width="10.6328125" style="2" bestFit="1" customWidth="1"/>
    <col min="4" max="4" width="7.453125" style="2" bestFit="1" customWidth="1"/>
    <col min="5" max="6" width="9" style="2" bestFit="1" customWidth="1"/>
    <col min="7" max="7" width="12.26953125" style="2" bestFit="1" customWidth="1"/>
    <col min="8" max="16384" width="8.7265625" style="2"/>
  </cols>
  <sheetData>
    <row r="1" spans="1:9">
      <c r="A1" s="23" t="s">
        <v>36</v>
      </c>
      <c r="B1" s="38" t="s">
        <v>26</v>
      </c>
      <c r="C1" s="38" t="s">
        <v>104</v>
      </c>
      <c r="D1" s="33" t="s">
        <v>103</v>
      </c>
      <c r="E1" s="38" t="s">
        <v>3744</v>
      </c>
      <c r="F1" s="38" t="s">
        <v>3746</v>
      </c>
      <c r="G1" s="15"/>
    </row>
    <row r="2" spans="1:9">
      <c r="B2" s="15" t="s">
        <v>98</v>
      </c>
      <c r="C2" s="15" t="s">
        <v>100</v>
      </c>
      <c r="D2" s="14" t="s">
        <v>79</v>
      </c>
      <c r="E2" s="15">
        <v>0.01</v>
      </c>
      <c r="F2" s="15">
        <v>0.01</v>
      </c>
      <c r="G2" s="15"/>
      <c r="H2" s="2">
        <v>1</v>
      </c>
      <c r="I2" s="2">
        <v>3</v>
      </c>
    </row>
    <row r="3" spans="1:9">
      <c r="B3" s="15" t="s">
        <v>98</v>
      </c>
      <c r="C3" s="15" t="s">
        <v>101</v>
      </c>
      <c r="D3" s="14" t="s">
        <v>79</v>
      </c>
      <c r="E3" s="15">
        <v>0</v>
      </c>
      <c r="F3" s="15">
        <v>0</v>
      </c>
      <c r="G3" s="15"/>
      <c r="H3" s="2">
        <v>1</v>
      </c>
      <c r="I3" s="2">
        <v>4</v>
      </c>
    </row>
    <row r="4" spans="1:9">
      <c r="B4" s="15" t="s">
        <v>99</v>
      </c>
      <c r="C4" s="15" t="s">
        <v>102</v>
      </c>
      <c r="D4" s="14" t="s">
        <v>79</v>
      </c>
      <c r="E4" s="15">
        <v>0</v>
      </c>
      <c r="F4" s="15">
        <v>0</v>
      </c>
      <c r="G4" s="15"/>
      <c r="H4" s="2">
        <v>2</v>
      </c>
      <c r="I4" s="2">
        <v>5</v>
      </c>
    </row>
    <row r="5" spans="1:9">
      <c r="B5" s="15" t="s">
        <v>99</v>
      </c>
      <c r="C5" s="15" t="s">
        <v>100</v>
      </c>
      <c r="D5" s="14" t="s">
        <v>79</v>
      </c>
      <c r="E5" s="15">
        <v>0.01</v>
      </c>
      <c r="F5" s="15">
        <v>0.01</v>
      </c>
      <c r="G5" s="15"/>
      <c r="H5" s="2">
        <v>2</v>
      </c>
      <c r="I5" s="2">
        <v>3</v>
      </c>
    </row>
    <row r="6" spans="1:9">
      <c r="B6" s="15" t="s">
        <v>99</v>
      </c>
      <c r="C6" s="15" t="s">
        <v>101</v>
      </c>
      <c r="D6" s="14" t="s">
        <v>79</v>
      </c>
      <c r="E6" s="15">
        <v>0</v>
      </c>
      <c r="F6" s="15">
        <v>0</v>
      </c>
      <c r="G6" s="15"/>
      <c r="H6" s="2">
        <v>2</v>
      </c>
      <c r="I6" s="2">
        <v>4</v>
      </c>
    </row>
    <row r="7" spans="1:9">
      <c r="B7" s="15" t="s">
        <v>100</v>
      </c>
      <c r="C7" s="15" t="s">
        <v>102</v>
      </c>
      <c r="D7" s="14" t="s">
        <v>79</v>
      </c>
      <c r="E7" s="15">
        <v>0.01</v>
      </c>
      <c r="F7" s="15">
        <v>0</v>
      </c>
      <c r="G7" s="15"/>
      <c r="H7" s="2">
        <v>3</v>
      </c>
      <c r="I7" s="2">
        <v>5</v>
      </c>
    </row>
    <row r="8" spans="1:9">
      <c r="B8" s="15" t="s">
        <v>100</v>
      </c>
      <c r="C8" s="15" t="s">
        <v>100</v>
      </c>
      <c r="D8" s="14" t="s">
        <v>79</v>
      </c>
      <c r="E8" s="15">
        <v>0.01</v>
      </c>
      <c r="F8" s="15">
        <v>0.01</v>
      </c>
      <c r="G8" s="15"/>
      <c r="H8" s="2">
        <v>3</v>
      </c>
      <c r="I8" s="2">
        <v>3</v>
      </c>
    </row>
    <row r="9" spans="1:9">
      <c r="B9" s="15" t="s">
        <v>100</v>
      </c>
      <c r="C9" s="15" t="s">
        <v>101</v>
      </c>
      <c r="D9" s="14" t="s">
        <v>79</v>
      </c>
      <c r="E9" s="15">
        <v>0.01</v>
      </c>
      <c r="F9" s="15">
        <v>0</v>
      </c>
      <c r="G9" s="15"/>
      <c r="H9" s="2">
        <v>3</v>
      </c>
      <c r="I9" s="2">
        <v>4</v>
      </c>
    </row>
    <row r="10" spans="1:9">
      <c r="B10" s="15" t="s">
        <v>101</v>
      </c>
      <c r="C10" s="15" t="s">
        <v>102</v>
      </c>
      <c r="D10" s="14" t="s">
        <v>79</v>
      </c>
      <c r="E10" s="15">
        <v>0</v>
      </c>
      <c r="F10" s="15">
        <v>0</v>
      </c>
      <c r="G10" s="15"/>
      <c r="H10" s="2">
        <v>4</v>
      </c>
      <c r="I10" s="2">
        <v>5</v>
      </c>
    </row>
    <row r="11" spans="1:9">
      <c r="B11" s="15" t="s">
        <v>101</v>
      </c>
      <c r="C11" s="15" t="s">
        <v>100</v>
      </c>
      <c r="D11" s="14" t="s">
        <v>79</v>
      </c>
      <c r="E11" s="15">
        <v>0</v>
      </c>
      <c r="F11" s="15">
        <v>0.01</v>
      </c>
      <c r="G11" s="15"/>
      <c r="H11" s="2">
        <v>4</v>
      </c>
      <c r="I11" s="2">
        <v>3</v>
      </c>
    </row>
    <row r="12" spans="1:9">
      <c r="B12" s="15" t="s">
        <v>101</v>
      </c>
      <c r="C12" s="15" t="s">
        <v>101</v>
      </c>
      <c r="D12" s="14" t="s">
        <v>79</v>
      </c>
      <c r="E12" s="15">
        <v>0</v>
      </c>
      <c r="F12" s="15">
        <v>0</v>
      </c>
      <c r="G12" s="15"/>
      <c r="H12" s="2">
        <v>4</v>
      </c>
      <c r="I12" s="2">
        <v>4</v>
      </c>
    </row>
    <row r="13" spans="1:9">
      <c r="B13" s="15" t="s">
        <v>98</v>
      </c>
      <c r="C13" s="15" t="s">
        <v>102</v>
      </c>
      <c r="D13" s="14" t="s">
        <v>16</v>
      </c>
      <c r="E13" s="15">
        <v>0.01</v>
      </c>
      <c r="F13" s="15">
        <v>0.01</v>
      </c>
      <c r="G13" s="15"/>
      <c r="H13" s="2">
        <v>1</v>
      </c>
      <c r="I13" s="2">
        <v>5</v>
      </c>
    </row>
    <row r="14" spans="1:9">
      <c r="B14" s="15" t="s">
        <v>98</v>
      </c>
      <c r="C14" s="15" t="s">
        <v>100</v>
      </c>
      <c r="D14" s="14" t="s">
        <v>16</v>
      </c>
      <c r="E14" s="15">
        <v>0.01</v>
      </c>
      <c r="F14" s="15">
        <v>0.01</v>
      </c>
      <c r="G14" s="15"/>
      <c r="H14" s="2">
        <v>1</v>
      </c>
      <c r="I14" s="2">
        <v>3</v>
      </c>
    </row>
    <row r="15" spans="1:9" s="101" customFormat="1">
      <c r="B15" s="102" t="s">
        <v>98</v>
      </c>
      <c r="C15" s="102" t="s">
        <v>101</v>
      </c>
      <c r="D15" s="103" t="s">
        <v>16</v>
      </c>
      <c r="E15" s="102">
        <v>0.01</v>
      </c>
      <c r="F15" s="102">
        <v>0</v>
      </c>
      <c r="G15" s="102" t="s">
        <v>282</v>
      </c>
      <c r="H15" s="101">
        <v>1</v>
      </c>
      <c r="I15" s="101">
        <v>4</v>
      </c>
    </row>
    <row r="16" spans="1:9">
      <c r="B16" s="15" t="s">
        <v>99</v>
      </c>
      <c r="C16" s="15" t="s">
        <v>102</v>
      </c>
      <c r="D16" s="14" t="s">
        <v>16</v>
      </c>
      <c r="E16" s="15">
        <v>0.01</v>
      </c>
      <c r="F16" s="15">
        <v>0.01</v>
      </c>
      <c r="G16" s="15"/>
      <c r="H16" s="2">
        <v>2</v>
      </c>
      <c r="I16" s="2">
        <v>5</v>
      </c>
    </row>
    <row r="17" spans="2:9">
      <c r="B17" s="15" t="s">
        <v>99</v>
      </c>
      <c r="C17" s="15" t="s">
        <v>100</v>
      </c>
      <c r="D17" s="14" t="s">
        <v>16</v>
      </c>
      <c r="E17" s="15">
        <v>0.01</v>
      </c>
      <c r="F17" s="15">
        <v>0.01</v>
      </c>
      <c r="G17" s="15"/>
      <c r="H17" s="2">
        <v>2</v>
      </c>
      <c r="I17" s="2">
        <v>3</v>
      </c>
    </row>
    <row r="18" spans="2:9" s="101" customFormat="1">
      <c r="B18" s="102" t="s">
        <v>99</v>
      </c>
      <c r="C18" s="102" t="s">
        <v>101</v>
      </c>
      <c r="D18" s="103" t="s">
        <v>16</v>
      </c>
      <c r="E18" s="102">
        <v>0.01</v>
      </c>
      <c r="F18" s="102">
        <v>0</v>
      </c>
      <c r="G18" s="102" t="s">
        <v>282</v>
      </c>
      <c r="H18" s="101">
        <v>2</v>
      </c>
      <c r="I18" s="101">
        <v>4</v>
      </c>
    </row>
    <row r="19" spans="2:9">
      <c r="B19" s="15" t="s">
        <v>100</v>
      </c>
      <c r="C19" s="15" t="s">
        <v>102</v>
      </c>
      <c r="D19" s="14" t="s">
        <v>16</v>
      </c>
      <c r="E19" s="15">
        <v>0.01</v>
      </c>
      <c r="F19" s="15">
        <v>0.01</v>
      </c>
      <c r="G19" s="15"/>
      <c r="H19" s="2">
        <v>3</v>
      </c>
      <c r="I19" s="2">
        <v>5</v>
      </c>
    </row>
    <row r="20" spans="2:9">
      <c r="B20" s="15" t="s">
        <v>100</v>
      </c>
      <c r="C20" s="15" t="s">
        <v>100</v>
      </c>
      <c r="D20" s="14" t="s">
        <v>16</v>
      </c>
      <c r="E20" s="15">
        <v>0.01</v>
      </c>
      <c r="F20" s="15">
        <v>0.01</v>
      </c>
      <c r="G20" s="15"/>
      <c r="H20" s="2">
        <v>3</v>
      </c>
      <c r="I20" s="2">
        <v>3</v>
      </c>
    </row>
    <row r="21" spans="2:9" s="101" customFormat="1">
      <c r="B21" s="102" t="s">
        <v>100</v>
      </c>
      <c r="C21" s="102" t="s">
        <v>101</v>
      </c>
      <c r="D21" s="103" t="s">
        <v>16</v>
      </c>
      <c r="E21" s="102">
        <v>0.01</v>
      </c>
      <c r="F21" s="102">
        <v>0</v>
      </c>
      <c r="G21" s="102" t="s">
        <v>282</v>
      </c>
      <c r="H21" s="101">
        <v>3</v>
      </c>
      <c r="I21" s="101">
        <v>4</v>
      </c>
    </row>
    <row r="22" spans="2:9" s="101" customFormat="1">
      <c r="B22" s="102" t="s">
        <v>101</v>
      </c>
      <c r="C22" s="102" t="s">
        <v>102</v>
      </c>
      <c r="D22" s="103" t="s">
        <v>16</v>
      </c>
      <c r="E22" s="102">
        <v>0.01</v>
      </c>
      <c r="F22" s="102">
        <v>0</v>
      </c>
      <c r="G22" s="102" t="s">
        <v>282</v>
      </c>
      <c r="H22" s="101">
        <v>4</v>
      </c>
      <c r="I22" s="101">
        <v>5</v>
      </c>
    </row>
    <row r="23" spans="2:9" s="101" customFormat="1">
      <c r="B23" s="102" t="s">
        <v>101</v>
      </c>
      <c r="C23" s="102" t="s">
        <v>100</v>
      </c>
      <c r="D23" s="103" t="s">
        <v>16</v>
      </c>
      <c r="E23" s="102">
        <v>0.01</v>
      </c>
      <c r="F23" s="102">
        <v>0.01</v>
      </c>
      <c r="G23" s="102" t="s">
        <v>282</v>
      </c>
      <c r="H23" s="101">
        <v>4</v>
      </c>
      <c r="I23" s="101">
        <v>3</v>
      </c>
    </row>
    <row r="24" spans="2:9" s="101" customFormat="1">
      <c r="B24" s="102" t="s">
        <v>101</v>
      </c>
      <c r="C24" s="102" t="s">
        <v>101</v>
      </c>
      <c r="D24" s="103" t="s">
        <v>16</v>
      </c>
      <c r="E24" s="102">
        <v>0.01</v>
      </c>
      <c r="F24" s="102">
        <v>0</v>
      </c>
      <c r="G24" s="102" t="s">
        <v>282</v>
      </c>
      <c r="H24" s="101">
        <v>4</v>
      </c>
      <c r="I24" s="101">
        <v>4</v>
      </c>
    </row>
  </sheetData>
  <phoneticPr fontId="3" type="noConversion"/>
  <hyperlinks>
    <hyperlink ref="A1" location="目錄!A1" display="回到目錄"/>
  </hyperlinks>
  <pageMargins left="0.7" right="0.7" top="0.75" bottom="0.75" header="0.3" footer="0.3"/>
  <pageSetup paperSize="9" orientation="portrait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/>
  <dimension ref="A1:S94"/>
  <sheetViews>
    <sheetView workbookViewId="0"/>
  </sheetViews>
  <sheetFormatPr defaultColWidth="11.1796875" defaultRowHeight="13.8"/>
  <cols>
    <col min="1" max="1" width="7.453125" style="15" bestFit="1" customWidth="1"/>
    <col min="2" max="2" width="4.36328125" style="14" bestFit="1" customWidth="1"/>
    <col min="3" max="3" width="12.7265625" style="15" bestFit="1" customWidth="1"/>
    <col min="4" max="4" width="10" style="15" bestFit="1" customWidth="1"/>
    <col min="5" max="5" width="7.54296875" style="14" bestFit="1" customWidth="1"/>
    <col min="6" max="6" width="10" style="15" bestFit="1" customWidth="1"/>
    <col min="7" max="7" width="10.6328125" style="15" bestFit="1" customWidth="1"/>
    <col min="8" max="8" width="44.08984375" style="15" bestFit="1" customWidth="1"/>
    <col min="9" max="9" width="7.453125" style="15" bestFit="1" customWidth="1"/>
    <col min="10" max="18" width="4.90625" style="15" bestFit="1" customWidth="1"/>
    <col min="19" max="20" width="6.6328125" style="15" customWidth="1"/>
    <col min="21" max="24" width="14.453125" style="15" customWidth="1"/>
    <col min="25" max="16384" width="11.1796875" style="15"/>
  </cols>
  <sheetData>
    <row r="1" spans="1:19">
      <c r="A1" s="63" t="s">
        <v>36</v>
      </c>
      <c r="B1" s="5" t="s">
        <v>5</v>
      </c>
      <c r="C1" s="20" t="s">
        <v>3</v>
      </c>
      <c r="D1" s="20" t="s">
        <v>4</v>
      </c>
      <c r="E1" s="7" t="s">
        <v>6</v>
      </c>
      <c r="F1" s="9" t="s">
        <v>13</v>
      </c>
      <c r="G1" s="9" t="s">
        <v>7</v>
      </c>
      <c r="H1" s="9" t="s">
        <v>8</v>
      </c>
      <c r="I1" s="9" t="s">
        <v>139</v>
      </c>
      <c r="L1" s="72" t="s">
        <v>240</v>
      </c>
      <c r="M1" s="72" t="s">
        <v>3655</v>
      </c>
      <c r="N1" s="72" t="s">
        <v>470</v>
      </c>
      <c r="O1" s="72" t="s">
        <v>471</v>
      </c>
      <c r="P1" s="72" t="s">
        <v>472</v>
      </c>
      <c r="Q1" s="72" t="s">
        <v>473</v>
      </c>
      <c r="R1" s="72" t="s">
        <v>474</v>
      </c>
      <c r="S1" s="73" t="s">
        <v>475</v>
      </c>
    </row>
    <row r="2" spans="1:19">
      <c r="B2" s="11" t="s">
        <v>14</v>
      </c>
      <c r="C2" s="13" t="s">
        <v>80</v>
      </c>
      <c r="D2" s="64" t="s">
        <v>111</v>
      </c>
      <c r="E2" s="11"/>
      <c r="F2" s="13"/>
      <c r="G2" s="13" t="s">
        <v>81</v>
      </c>
      <c r="H2" s="13"/>
      <c r="I2" s="13"/>
      <c r="L2" s="36"/>
      <c r="M2" s="34"/>
      <c r="N2" s="36" t="str">
        <f>"EXEC sp_dropextendedproperty @name = N'MS_Description', @level0type=N'SCHEMA',@level0name=N'"&amp;$L$1&amp;"', @level1type=N'TABLE',@level1name=N'"&amp;$M$1&amp;"', @level2type=N'COLUMN',@level2name=N'"&amp;$C2&amp;"'"</f>
        <v>EXEC sp_dropextendedproperty @name = N'MS_Description', @level0type=N'SCHEMA',@level0name=N'dbo', @level1type=N'TABLE',@level1name=N'LifeInsDiscountHighAmt', @level2type=N'COLUMN',@level2name=N'PlanCode'</v>
      </c>
      <c r="O2" s="36" t="str">
        <f>"EXEC sp_dropextendedproperty @name = N'Rule', @level0type=N'SCHEMA',@level0name=N'"&amp;$L$1&amp;"', @level1type=N'TABLE',@level1name=N'"&amp;$M$1&amp;"', @level2type=N'COLUMN',@level2name=N'"&amp;$C2&amp;"'"</f>
        <v>EXEC sp_dropextendedproperty @name = N'Rule', @level0type=N'SCHEMA',@level0name=N'dbo', @level1type=N'TABLE',@level1name=N'LifeInsDiscountHighAmt', @level2type=N'COLUMN',@level2name=N'PlanCode'</v>
      </c>
      <c r="P2" s="36" t="str">
        <f>"EXEC sp_dropextendedproperty @name = N'Memo', @level0type=N'SCHEMA',@level0name=N'"&amp;$L$1&amp;"', @level1type=N'TABLE',@level1name=N'"&amp;$M$1&amp;"', @level2type=N'COLUMN',@level2name=N'"&amp;$C2&amp;"'"</f>
        <v>EXEC sp_dropextendedproperty @name = N'Memo', @level0type=N'SCHEMA',@level0name=N'dbo', @level1type=N'TABLE',@level1name=N'LifeInsDiscountHighAmt', @level2type=N'COLUMN',@level2name=N'PlanCode'</v>
      </c>
      <c r="Q2" s="36" t="str">
        <f>"set @OldWording = N'"&amp;SUBSTITUTE($G2,CHAR(10),"")&amp;"'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@level2type=N'COLUMN',@level2name=N'"&amp;$C2&amp;"'"</f>
        <v>set @OldWording = N'險種代碼' set @NewWording = REPLACE(@OldWording,'***',char(13)+char(10)) EXEC sys.sp_addextendedproperty @name=N'MS_Description', @value=@NewWording , @level0type=N'SCHEMA',@level0name=N'dbo', @level1type=N'TABLE',@level1name=N'LifeInsDiscountHighAmt', @level2type=N'COLUMN',@level2name=N'PlanCode'</v>
      </c>
      <c r="R2" s="32" t="str">
        <f>"set @OldWording = N'"&amp;SUBSTITUTE($H2,CHAR(10),"")&amp;"'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@name=N'Rule', @value=@NewWording , @level0type=N'SCHEMA',@level0name=N'dbo', @level1type=N'TABLE',@level1name=N'LifeInsDiscountHighAmt', @level2type=N'COLUMN',@level2name=N'PlanCode'</v>
      </c>
      <c r="S2" s="36" t="str">
        <f>"set @OldWording = N'"&amp;SUBSTITUTE($I2,CHAR(10),"")&amp;"' set @NewWording = REPLACE(@OldWording,'***',char(13)+char(10)) "&amp;"EXEC sys.sp_addextendedproperty @name=N'Memo',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@name=N'Memo', @value=@NewWording , @level0type=N'SCHEMA',@level0name=N'dbo', @level1type=N'TABLE',@level1name=N'LifeInsDiscountHighAmt', @level2type=N'COLUMN',@level2name=N'PlanCode'</v>
      </c>
    </row>
    <row r="3" spans="1:19" ht="27.6">
      <c r="B3" s="11" t="s">
        <v>14</v>
      </c>
      <c r="C3" s="15" t="s">
        <v>3728</v>
      </c>
      <c r="D3" s="15" t="s">
        <v>21</v>
      </c>
      <c r="G3" s="15" t="s">
        <v>78</v>
      </c>
      <c r="H3" s="16" t="s">
        <v>3652</v>
      </c>
      <c r="I3" s="16"/>
    </row>
    <row r="4" spans="1:19">
      <c r="B4" s="11" t="s">
        <v>14</v>
      </c>
      <c r="C4" s="13" t="s">
        <v>86</v>
      </c>
      <c r="D4" s="13" t="s">
        <v>34</v>
      </c>
      <c r="F4" s="13"/>
      <c r="G4" s="13" t="s">
        <v>87</v>
      </c>
    </row>
    <row r="5" spans="1:19" ht="27.6">
      <c r="B5" s="11" t="s">
        <v>14</v>
      </c>
      <c r="C5" s="15" t="s">
        <v>95</v>
      </c>
      <c r="D5" s="15" t="s">
        <v>128</v>
      </c>
      <c r="F5" s="13"/>
      <c r="G5" s="15" t="s">
        <v>96</v>
      </c>
      <c r="H5" s="16" t="s">
        <v>495</v>
      </c>
      <c r="I5" s="13"/>
    </row>
    <row r="6" spans="1:19">
      <c r="C6" s="15" t="s">
        <v>3747</v>
      </c>
      <c r="D6" s="15" t="s">
        <v>45</v>
      </c>
      <c r="G6" s="15" t="s">
        <v>39</v>
      </c>
      <c r="H6" s="16" t="s">
        <v>2998</v>
      </c>
      <c r="I6" s="16"/>
    </row>
    <row r="7" spans="1:19">
      <c r="C7" s="13" t="s">
        <v>3748</v>
      </c>
      <c r="D7" s="15" t="s">
        <v>23</v>
      </c>
      <c r="G7" s="15" t="s">
        <v>40</v>
      </c>
      <c r="H7" s="16" t="s">
        <v>2999</v>
      </c>
      <c r="I7" s="16"/>
    </row>
    <row r="8" spans="1:19">
      <c r="B8" s="11"/>
      <c r="C8" s="13" t="s">
        <v>43</v>
      </c>
      <c r="D8" s="13" t="s">
        <v>44</v>
      </c>
      <c r="E8" s="11"/>
      <c r="F8" s="13"/>
      <c r="G8" s="15" t="s">
        <v>42</v>
      </c>
      <c r="H8" s="13"/>
      <c r="I8" s="13"/>
    </row>
    <row r="9" spans="1:19">
      <c r="B9" s="11"/>
      <c r="C9" s="13" t="s">
        <v>0</v>
      </c>
      <c r="D9" s="13" t="s">
        <v>11</v>
      </c>
      <c r="E9" s="11" t="s">
        <v>16</v>
      </c>
      <c r="F9" s="13" t="s">
        <v>20</v>
      </c>
      <c r="G9" s="13" t="s">
        <v>30</v>
      </c>
      <c r="H9" s="13"/>
      <c r="I9" s="13"/>
    </row>
    <row r="10" spans="1:19">
      <c r="B10" s="11"/>
      <c r="C10" s="13" t="s">
        <v>1</v>
      </c>
      <c r="D10" s="13" t="s">
        <v>37</v>
      </c>
      <c r="E10" s="11"/>
      <c r="F10" s="13"/>
      <c r="G10" s="13" t="s">
        <v>31</v>
      </c>
      <c r="H10" s="13"/>
      <c r="I10" s="13"/>
    </row>
    <row r="11" spans="1:19">
      <c r="B11" s="11"/>
      <c r="C11" s="13" t="s">
        <v>19</v>
      </c>
      <c r="D11" s="13" t="s">
        <v>11</v>
      </c>
      <c r="E11" s="11" t="s">
        <v>16</v>
      </c>
      <c r="F11" s="13" t="s">
        <v>20</v>
      </c>
      <c r="G11" s="13" t="s">
        <v>32</v>
      </c>
      <c r="H11" s="13"/>
      <c r="I11" s="13"/>
    </row>
    <row r="12" spans="1:19">
      <c r="B12" s="11"/>
      <c r="C12" s="13" t="s">
        <v>2</v>
      </c>
      <c r="D12" s="13" t="s">
        <v>37</v>
      </c>
      <c r="E12" s="11"/>
      <c r="F12" s="13"/>
      <c r="G12" s="13" t="s">
        <v>33</v>
      </c>
      <c r="H12" s="13"/>
      <c r="I12" s="13"/>
    </row>
    <row r="13" spans="1:19">
      <c r="B13" s="11"/>
      <c r="C13" s="13"/>
      <c r="D13" s="13"/>
      <c r="E13" s="11"/>
      <c r="F13" s="13"/>
      <c r="G13" s="13"/>
      <c r="H13" s="13"/>
      <c r="I13" s="13"/>
    </row>
    <row r="14" spans="1:19">
      <c r="B14" s="11"/>
      <c r="C14" s="13"/>
      <c r="D14" s="64"/>
      <c r="E14" s="11"/>
      <c r="F14" s="13"/>
      <c r="G14" s="13"/>
    </row>
    <row r="15" spans="1:19">
      <c r="B15" s="11"/>
      <c r="C15" s="13"/>
      <c r="D15" s="13"/>
      <c r="F15" s="13"/>
      <c r="G15" s="13"/>
    </row>
    <row r="16" spans="1:19">
      <c r="B16" s="11"/>
      <c r="H16" s="16"/>
      <c r="I16" s="16"/>
    </row>
    <row r="17" spans="2:9">
      <c r="B17" s="11"/>
      <c r="C17" s="13"/>
      <c r="D17" s="13"/>
      <c r="E17" s="11"/>
      <c r="F17" s="13"/>
      <c r="G17" s="13"/>
      <c r="H17" s="13"/>
      <c r="I17" s="13"/>
    </row>
    <row r="18" spans="2:9">
      <c r="B18" s="11"/>
      <c r="C18" s="13"/>
      <c r="D18" s="13"/>
      <c r="E18" s="11"/>
      <c r="F18" s="13"/>
      <c r="G18" s="13"/>
      <c r="H18" s="13"/>
      <c r="I18" s="13"/>
    </row>
    <row r="19" spans="2:9">
      <c r="B19" s="11"/>
      <c r="C19" s="13"/>
      <c r="D19" s="13"/>
      <c r="E19" s="11"/>
      <c r="F19" s="13"/>
      <c r="G19" s="13"/>
      <c r="H19" s="13"/>
      <c r="I19" s="13"/>
    </row>
    <row r="20" spans="2:9">
      <c r="B20" s="11"/>
      <c r="C20" s="13"/>
      <c r="D20" s="13"/>
      <c r="E20" s="11"/>
      <c r="F20" s="13"/>
      <c r="G20" s="13"/>
      <c r="H20" s="13"/>
      <c r="I20" s="13"/>
    </row>
    <row r="21" spans="2:9">
      <c r="B21" s="11"/>
      <c r="C21" s="13"/>
      <c r="D21" s="13"/>
      <c r="E21" s="11"/>
      <c r="F21" s="13"/>
      <c r="G21" s="13"/>
      <c r="H21" s="13"/>
      <c r="I21" s="13"/>
    </row>
    <row r="22" spans="2:9">
      <c r="B22" s="11"/>
      <c r="C22" s="13"/>
      <c r="D22" s="13"/>
      <c r="E22" s="11"/>
      <c r="F22" s="13"/>
      <c r="G22" s="13"/>
      <c r="H22" s="13"/>
      <c r="I22" s="13"/>
    </row>
    <row r="23" spans="2:9">
      <c r="B23" s="11"/>
      <c r="C23" s="13"/>
      <c r="D23" s="13"/>
      <c r="E23" s="11"/>
      <c r="F23" s="13"/>
      <c r="G23" s="13"/>
      <c r="H23" s="13"/>
      <c r="I23" s="13"/>
    </row>
    <row r="24" spans="2:9">
      <c r="B24" s="11"/>
      <c r="C24" s="13"/>
      <c r="D24" s="13"/>
      <c r="E24" s="11"/>
      <c r="F24" s="13"/>
      <c r="G24" s="13"/>
      <c r="H24" s="13"/>
      <c r="I24" s="13"/>
    </row>
    <row r="25" spans="2:9">
      <c r="B25" s="11"/>
      <c r="C25" s="13"/>
      <c r="D25" s="13"/>
      <c r="E25" s="11"/>
      <c r="F25" s="13"/>
      <c r="G25" s="13"/>
      <c r="H25" s="13"/>
      <c r="I25" s="13"/>
    </row>
    <row r="26" spans="2:9">
      <c r="B26" s="11"/>
      <c r="C26" s="13"/>
      <c r="D26" s="13"/>
      <c r="E26" s="11"/>
      <c r="F26" s="13"/>
      <c r="G26" s="13"/>
      <c r="H26" s="13"/>
      <c r="I26" s="13"/>
    </row>
    <row r="27" spans="2:9">
      <c r="B27" s="11"/>
      <c r="C27" s="13"/>
      <c r="D27" s="13"/>
      <c r="E27" s="11"/>
      <c r="F27" s="13"/>
      <c r="G27" s="13"/>
      <c r="H27" s="13"/>
      <c r="I27" s="13"/>
    </row>
    <row r="28" spans="2:9">
      <c r="B28" s="11"/>
      <c r="C28" s="13"/>
      <c r="D28" s="13"/>
      <c r="E28" s="11"/>
      <c r="F28" s="13"/>
      <c r="G28" s="13"/>
      <c r="H28" s="13"/>
      <c r="I28" s="13"/>
    </row>
    <row r="29" spans="2:9">
      <c r="B29" s="11"/>
      <c r="C29" s="13"/>
      <c r="D29" s="13"/>
      <c r="E29" s="11"/>
      <c r="F29" s="13"/>
      <c r="G29" s="13"/>
      <c r="H29" s="13"/>
      <c r="I29" s="13"/>
    </row>
    <row r="30" spans="2:9">
      <c r="B30" s="11"/>
      <c r="C30" s="13"/>
      <c r="D30" s="13"/>
      <c r="E30" s="11"/>
      <c r="F30" s="13"/>
      <c r="G30" s="13"/>
      <c r="H30" s="13"/>
      <c r="I30" s="13"/>
    </row>
    <row r="31" spans="2:9">
      <c r="B31" s="11"/>
      <c r="C31" s="13"/>
      <c r="D31" s="13"/>
      <c r="E31" s="11"/>
      <c r="F31" s="13"/>
      <c r="G31" s="13"/>
      <c r="H31" s="13"/>
      <c r="I31" s="13"/>
    </row>
    <row r="32" spans="2:9">
      <c r="B32" s="11"/>
      <c r="C32" s="13"/>
      <c r="D32" s="13"/>
      <c r="E32" s="11"/>
      <c r="F32" s="13"/>
      <c r="G32" s="13"/>
      <c r="H32" s="13"/>
      <c r="I32" s="13"/>
    </row>
    <row r="33" spans="2:9">
      <c r="B33" s="11"/>
      <c r="C33" s="13"/>
      <c r="D33" s="13"/>
      <c r="E33" s="11"/>
      <c r="F33" s="13"/>
      <c r="G33" s="13"/>
      <c r="H33" s="13"/>
      <c r="I33" s="13"/>
    </row>
    <row r="34" spans="2:9">
      <c r="B34" s="11"/>
      <c r="C34" s="13"/>
      <c r="D34" s="13"/>
      <c r="E34" s="11"/>
      <c r="F34" s="13"/>
      <c r="G34" s="13"/>
      <c r="H34" s="13"/>
      <c r="I34" s="13"/>
    </row>
    <row r="35" spans="2:9">
      <c r="B35" s="11"/>
      <c r="C35" s="13"/>
      <c r="D35" s="13"/>
      <c r="E35" s="11"/>
      <c r="F35" s="13"/>
      <c r="G35" s="13"/>
      <c r="H35" s="13"/>
      <c r="I35" s="13"/>
    </row>
    <row r="36" spans="2:9">
      <c r="B36" s="11"/>
      <c r="C36" s="13"/>
      <c r="D36" s="13"/>
      <c r="E36" s="11"/>
      <c r="F36" s="13"/>
      <c r="G36" s="13"/>
      <c r="H36" s="13"/>
      <c r="I36" s="13"/>
    </row>
    <row r="37" spans="2:9">
      <c r="B37" s="11"/>
      <c r="C37" s="13"/>
      <c r="D37" s="13"/>
      <c r="E37" s="11"/>
      <c r="F37" s="13"/>
      <c r="G37" s="13"/>
      <c r="H37" s="13"/>
      <c r="I37" s="13"/>
    </row>
    <row r="38" spans="2:9">
      <c r="B38" s="11"/>
      <c r="C38" s="13"/>
      <c r="D38" s="13"/>
      <c r="E38" s="11"/>
      <c r="F38" s="13"/>
      <c r="G38" s="13"/>
      <c r="H38" s="13"/>
      <c r="I38" s="13"/>
    </row>
    <row r="39" spans="2:9">
      <c r="B39" s="11"/>
      <c r="C39" s="13"/>
      <c r="D39" s="13"/>
      <c r="E39" s="11"/>
      <c r="F39" s="13"/>
      <c r="G39" s="13"/>
      <c r="H39" s="13"/>
      <c r="I39" s="13"/>
    </row>
    <row r="40" spans="2:9">
      <c r="B40" s="11"/>
      <c r="C40" s="13"/>
      <c r="D40" s="13"/>
      <c r="E40" s="11"/>
      <c r="F40" s="13"/>
      <c r="G40" s="13"/>
      <c r="H40" s="13"/>
      <c r="I40" s="13"/>
    </row>
    <row r="41" spans="2:9">
      <c r="B41" s="11"/>
      <c r="C41" s="13"/>
      <c r="D41" s="13"/>
      <c r="E41" s="11"/>
      <c r="F41" s="13"/>
      <c r="G41" s="13"/>
      <c r="H41" s="13"/>
      <c r="I41" s="13"/>
    </row>
    <row r="42" spans="2:9">
      <c r="B42" s="11"/>
      <c r="C42" s="13"/>
      <c r="D42" s="13"/>
      <c r="E42" s="11"/>
      <c r="F42" s="13"/>
      <c r="G42" s="13"/>
      <c r="H42" s="13"/>
      <c r="I42" s="13"/>
    </row>
    <row r="43" spans="2:9">
      <c r="B43" s="11"/>
      <c r="C43" s="13"/>
      <c r="D43" s="13"/>
      <c r="E43" s="11"/>
      <c r="F43" s="13"/>
      <c r="G43" s="13"/>
      <c r="H43" s="13"/>
      <c r="I43" s="13"/>
    </row>
    <row r="44" spans="2:9">
      <c r="B44" s="11"/>
      <c r="C44" s="13"/>
      <c r="D44" s="13"/>
      <c r="E44" s="11"/>
      <c r="F44" s="13"/>
      <c r="G44" s="13"/>
      <c r="H44" s="13"/>
      <c r="I44" s="13"/>
    </row>
    <row r="45" spans="2:9">
      <c r="B45" s="11"/>
      <c r="C45" s="13"/>
      <c r="D45" s="13"/>
      <c r="E45" s="11"/>
      <c r="F45" s="13"/>
      <c r="G45" s="13"/>
      <c r="H45" s="13"/>
      <c r="I45" s="13"/>
    </row>
    <row r="46" spans="2:9">
      <c r="B46" s="11"/>
      <c r="C46" s="13"/>
      <c r="D46" s="13"/>
      <c r="E46" s="11"/>
      <c r="F46" s="13"/>
      <c r="G46" s="13"/>
      <c r="H46" s="13"/>
      <c r="I46" s="13"/>
    </row>
    <row r="47" spans="2:9">
      <c r="B47" s="11"/>
      <c r="C47" s="13"/>
      <c r="D47" s="13"/>
      <c r="E47" s="11"/>
      <c r="F47" s="13"/>
      <c r="G47" s="13"/>
      <c r="H47" s="13"/>
      <c r="I47" s="13"/>
    </row>
    <row r="48" spans="2:9">
      <c r="B48" s="11"/>
      <c r="C48" s="13"/>
      <c r="D48" s="13"/>
      <c r="E48" s="11"/>
      <c r="F48" s="13"/>
      <c r="G48" s="13"/>
      <c r="H48" s="13"/>
      <c r="I48" s="13"/>
    </row>
    <row r="49" spans="2:9">
      <c r="B49" s="11"/>
      <c r="C49" s="13"/>
      <c r="D49" s="13"/>
      <c r="E49" s="11"/>
      <c r="F49" s="13"/>
      <c r="G49" s="13"/>
      <c r="H49" s="13"/>
      <c r="I49" s="13"/>
    </row>
    <row r="50" spans="2:9">
      <c r="B50" s="11"/>
      <c r="C50" s="13"/>
      <c r="D50" s="13"/>
      <c r="E50" s="11"/>
      <c r="F50" s="13"/>
      <c r="G50" s="13"/>
      <c r="H50" s="13"/>
      <c r="I50" s="13"/>
    </row>
    <row r="51" spans="2:9">
      <c r="B51" s="11"/>
      <c r="C51" s="13"/>
      <c r="D51" s="13"/>
      <c r="E51" s="11"/>
      <c r="F51" s="13"/>
      <c r="G51" s="13"/>
      <c r="H51" s="13"/>
      <c r="I51" s="13"/>
    </row>
    <row r="52" spans="2:9">
      <c r="B52" s="11"/>
      <c r="C52" s="13"/>
      <c r="D52" s="13"/>
      <c r="E52" s="11"/>
      <c r="F52" s="13"/>
      <c r="G52" s="13"/>
      <c r="H52" s="13"/>
      <c r="I52" s="13"/>
    </row>
    <row r="53" spans="2:9">
      <c r="B53" s="11"/>
      <c r="C53" s="13"/>
      <c r="D53" s="13"/>
      <c r="E53" s="11"/>
      <c r="F53" s="13"/>
      <c r="G53" s="13"/>
      <c r="H53" s="13"/>
      <c r="I53" s="13"/>
    </row>
    <row r="54" spans="2:9">
      <c r="B54" s="11"/>
      <c r="C54" s="13"/>
      <c r="D54" s="13"/>
      <c r="E54" s="11"/>
      <c r="F54" s="13"/>
      <c r="G54" s="13"/>
      <c r="H54" s="13"/>
      <c r="I54" s="13"/>
    </row>
    <row r="55" spans="2:9">
      <c r="B55" s="11"/>
      <c r="C55" s="13"/>
      <c r="D55" s="13"/>
      <c r="E55" s="11"/>
      <c r="F55" s="13"/>
      <c r="G55" s="13"/>
      <c r="H55" s="13"/>
      <c r="I55" s="13"/>
    </row>
    <row r="56" spans="2:9">
      <c r="B56" s="11"/>
      <c r="C56" s="13"/>
      <c r="D56" s="13"/>
      <c r="E56" s="11"/>
      <c r="F56" s="13"/>
      <c r="G56" s="13"/>
      <c r="H56" s="13"/>
      <c r="I56" s="13"/>
    </row>
    <row r="57" spans="2:9">
      <c r="B57" s="11"/>
      <c r="C57" s="13"/>
      <c r="D57" s="13"/>
      <c r="E57" s="11"/>
      <c r="F57" s="13"/>
      <c r="G57" s="13"/>
      <c r="H57" s="13"/>
      <c r="I57" s="13"/>
    </row>
    <row r="58" spans="2:9">
      <c r="B58" s="11"/>
      <c r="C58" s="13"/>
      <c r="D58" s="13"/>
      <c r="E58" s="11"/>
      <c r="F58" s="13"/>
      <c r="G58" s="13"/>
      <c r="H58" s="13"/>
      <c r="I58" s="13"/>
    </row>
    <row r="59" spans="2:9">
      <c r="B59" s="11"/>
      <c r="C59" s="13"/>
      <c r="D59" s="13"/>
      <c r="E59" s="11"/>
      <c r="F59" s="13"/>
      <c r="G59" s="13"/>
      <c r="H59" s="13"/>
      <c r="I59" s="13"/>
    </row>
    <row r="60" spans="2:9">
      <c r="B60" s="11"/>
      <c r="C60" s="13"/>
      <c r="D60" s="13"/>
      <c r="E60" s="11"/>
      <c r="F60" s="13"/>
      <c r="G60" s="13"/>
      <c r="H60" s="13"/>
      <c r="I60" s="13"/>
    </row>
    <row r="61" spans="2:9">
      <c r="B61" s="11"/>
      <c r="C61" s="13"/>
      <c r="D61" s="13"/>
      <c r="E61" s="11"/>
      <c r="F61" s="13"/>
      <c r="G61" s="13"/>
      <c r="H61" s="13"/>
      <c r="I61" s="13"/>
    </row>
    <row r="62" spans="2:9">
      <c r="B62" s="11"/>
      <c r="C62" s="13"/>
      <c r="D62" s="13"/>
      <c r="E62" s="11"/>
      <c r="F62" s="13"/>
      <c r="G62" s="13"/>
      <c r="H62" s="13"/>
      <c r="I62" s="13"/>
    </row>
    <row r="63" spans="2:9">
      <c r="B63" s="11"/>
      <c r="C63" s="13"/>
      <c r="D63" s="13"/>
      <c r="E63" s="11"/>
      <c r="F63" s="13"/>
      <c r="G63" s="13"/>
      <c r="H63" s="13"/>
      <c r="I63" s="13"/>
    </row>
    <row r="64" spans="2:9">
      <c r="B64" s="11"/>
      <c r="C64" s="13"/>
      <c r="D64" s="13"/>
      <c r="E64" s="11"/>
      <c r="F64" s="13"/>
      <c r="G64" s="13"/>
      <c r="H64" s="13"/>
      <c r="I64" s="13"/>
    </row>
    <row r="65" spans="2:9">
      <c r="B65" s="11"/>
      <c r="C65" s="13"/>
      <c r="D65" s="13"/>
      <c r="E65" s="11"/>
      <c r="F65" s="13"/>
      <c r="G65" s="13"/>
      <c r="H65" s="13"/>
      <c r="I65" s="13"/>
    </row>
    <row r="66" spans="2:9">
      <c r="B66" s="11"/>
      <c r="C66" s="13"/>
      <c r="D66" s="13"/>
      <c r="E66" s="11"/>
      <c r="F66" s="13"/>
      <c r="G66" s="13"/>
      <c r="H66" s="13"/>
      <c r="I66" s="13"/>
    </row>
    <row r="67" spans="2:9">
      <c r="B67" s="11"/>
      <c r="C67" s="13"/>
      <c r="D67" s="13"/>
      <c r="E67" s="11"/>
      <c r="F67" s="13"/>
      <c r="G67" s="13"/>
      <c r="H67" s="13"/>
      <c r="I67" s="13"/>
    </row>
    <row r="68" spans="2:9">
      <c r="B68" s="11"/>
      <c r="C68" s="13"/>
      <c r="D68" s="13"/>
      <c r="E68" s="11"/>
      <c r="F68" s="13"/>
      <c r="G68" s="13"/>
      <c r="H68" s="13"/>
      <c r="I68" s="13"/>
    </row>
    <row r="69" spans="2:9">
      <c r="B69" s="11"/>
      <c r="C69" s="13"/>
      <c r="D69" s="13"/>
      <c r="E69" s="11"/>
      <c r="F69" s="13"/>
      <c r="G69" s="13"/>
      <c r="H69" s="13"/>
      <c r="I69" s="13"/>
    </row>
    <row r="70" spans="2:9">
      <c r="B70" s="11"/>
      <c r="C70" s="13"/>
      <c r="D70" s="13"/>
      <c r="E70" s="11"/>
      <c r="F70" s="13"/>
      <c r="G70" s="13"/>
      <c r="H70" s="13"/>
      <c r="I70" s="13"/>
    </row>
    <row r="71" spans="2:9">
      <c r="B71" s="11"/>
      <c r="C71" s="13"/>
      <c r="D71" s="13"/>
      <c r="E71" s="11"/>
      <c r="F71" s="13"/>
      <c r="G71" s="13"/>
      <c r="H71" s="13"/>
      <c r="I71" s="13"/>
    </row>
    <row r="72" spans="2:9">
      <c r="B72" s="11"/>
      <c r="C72" s="13"/>
      <c r="D72" s="13"/>
      <c r="E72" s="11"/>
      <c r="F72" s="13"/>
      <c r="G72" s="13"/>
      <c r="H72" s="13"/>
      <c r="I72" s="13"/>
    </row>
    <row r="73" spans="2:9">
      <c r="B73" s="11"/>
      <c r="C73" s="13"/>
      <c r="D73" s="13"/>
      <c r="E73" s="11"/>
      <c r="F73" s="13"/>
      <c r="G73" s="13"/>
      <c r="H73" s="13"/>
      <c r="I73" s="13"/>
    </row>
    <row r="74" spans="2:9">
      <c r="B74" s="11"/>
      <c r="C74" s="13"/>
      <c r="D74" s="13"/>
      <c r="E74" s="11"/>
      <c r="F74" s="13"/>
      <c r="G74" s="13"/>
      <c r="H74" s="13"/>
      <c r="I74" s="13"/>
    </row>
    <row r="75" spans="2:9">
      <c r="B75" s="11"/>
      <c r="C75" s="13"/>
      <c r="D75" s="13"/>
      <c r="E75" s="11"/>
      <c r="F75" s="13"/>
      <c r="G75" s="13"/>
      <c r="H75" s="13"/>
      <c r="I75" s="13"/>
    </row>
    <row r="76" spans="2:9">
      <c r="B76" s="11"/>
      <c r="C76" s="13"/>
      <c r="D76" s="13"/>
      <c r="E76" s="11"/>
      <c r="F76" s="13"/>
      <c r="G76" s="13"/>
      <c r="H76" s="13"/>
      <c r="I76" s="13"/>
    </row>
    <row r="77" spans="2:9">
      <c r="B77" s="11"/>
      <c r="C77" s="13"/>
      <c r="D77" s="13"/>
      <c r="E77" s="11"/>
      <c r="F77" s="13"/>
      <c r="G77" s="13"/>
      <c r="H77" s="13"/>
      <c r="I77" s="13"/>
    </row>
    <row r="78" spans="2:9">
      <c r="B78" s="11"/>
      <c r="C78" s="13"/>
      <c r="D78" s="13"/>
      <c r="E78" s="11"/>
      <c r="F78" s="13"/>
      <c r="G78" s="13"/>
      <c r="H78" s="13"/>
      <c r="I78" s="13"/>
    </row>
    <row r="79" spans="2:9">
      <c r="B79" s="11"/>
      <c r="C79" s="13"/>
      <c r="D79" s="13"/>
      <c r="E79" s="11"/>
      <c r="F79" s="13"/>
      <c r="G79" s="13"/>
      <c r="H79" s="13"/>
      <c r="I79" s="13"/>
    </row>
    <row r="80" spans="2:9">
      <c r="B80" s="11"/>
      <c r="C80" s="13"/>
      <c r="D80" s="13"/>
      <c r="E80" s="11"/>
      <c r="F80" s="13"/>
      <c r="G80" s="13"/>
      <c r="H80" s="13"/>
      <c r="I80" s="13"/>
    </row>
    <row r="81" spans="2:9">
      <c r="B81" s="11"/>
      <c r="C81" s="13"/>
      <c r="D81" s="13"/>
      <c r="E81" s="11"/>
      <c r="F81" s="13"/>
      <c r="G81" s="13"/>
      <c r="H81" s="13"/>
      <c r="I81" s="13"/>
    </row>
    <row r="82" spans="2:9">
      <c r="B82" s="11"/>
      <c r="C82" s="13"/>
      <c r="D82" s="13"/>
      <c r="E82" s="11"/>
      <c r="F82" s="13"/>
      <c r="G82" s="13"/>
      <c r="H82" s="13"/>
      <c r="I82" s="13"/>
    </row>
    <row r="83" spans="2:9">
      <c r="B83" s="11"/>
      <c r="C83" s="13"/>
      <c r="D83" s="13"/>
      <c r="E83" s="11"/>
      <c r="F83" s="13"/>
      <c r="G83" s="13"/>
      <c r="H83" s="13"/>
      <c r="I83" s="13"/>
    </row>
    <row r="84" spans="2:9">
      <c r="B84" s="11"/>
      <c r="C84" s="13"/>
      <c r="D84" s="13"/>
      <c r="E84" s="11"/>
      <c r="F84" s="13"/>
      <c r="G84" s="13"/>
      <c r="H84" s="13"/>
      <c r="I84" s="13"/>
    </row>
    <row r="85" spans="2:9">
      <c r="B85" s="11"/>
      <c r="C85" s="13"/>
      <c r="D85" s="13"/>
      <c r="E85" s="11"/>
      <c r="F85" s="13"/>
      <c r="G85" s="13"/>
      <c r="H85" s="13"/>
      <c r="I85" s="13"/>
    </row>
    <row r="86" spans="2:9">
      <c r="B86" s="11"/>
      <c r="C86" s="13"/>
      <c r="D86" s="13"/>
      <c r="E86" s="11"/>
      <c r="F86" s="13"/>
      <c r="G86" s="13"/>
      <c r="H86" s="13"/>
      <c r="I86" s="13"/>
    </row>
    <row r="87" spans="2:9">
      <c r="B87" s="11"/>
      <c r="C87" s="13"/>
      <c r="D87" s="13"/>
      <c r="E87" s="11"/>
      <c r="F87" s="13"/>
      <c r="G87" s="13"/>
      <c r="H87" s="13"/>
      <c r="I87" s="13"/>
    </row>
    <row r="88" spans="2:9">
      <c r="B88" s="11"/>
      <c r="C88" s="13"/>
      <c r="D88" s="13"/>
      <c r="E88" s="11"/>
      <c r="F88" s="13"/>
      <c r="G88" s="13"/>
      <c r="H88" s="13"/>
      <c r="I88" s="13"/>
    </row>
    <row r="89" spans="2:9">
      <c r="B89" s="11"/>
      <c r="C89" s="13"/>
      <c r="D89" s="13"/>
      <c r="E89" s="11"/>
      <c r="F89" s="13"/>
      <c r="G89" s="13"/>
      <c r="H89" s="13"/>
      <c r="I89" s="13"/>
    </row>
    <row r="90" spans="2:9">
      <c r="B90" s="11"/>
      <c r="C90" s="13"/>
      <c r="D90" s="13"/>
      <c r="E90" s="11"/>
      <c r="F90" s="13"/>
      <c r="G90" s="13"/>
      <c r="H90" s="13"/>
      <c r="I90" s="13"/>
    </row>
    <row r="91" spans="2:9">
      <c r="B91" s="11"/>
      <c r="C91" s="13"/>
      <c r="D91" s="13"/>
      <c r="E91" s="11"/>
      <c r="F91" s="13"/>
      <c r="G91" s="13"/>
      <c r="H91" s="13"/>
      <c r="I91" s="13"/>
    </row>
    <row r="92" spans="2:9">
      <c r="B92" s="11"/>
      <c r="C92" s="13"/>
      <c r="D92" s="13"/>
      <c r="E92" s="11"/>
      <c r="F92" s="13"/>
      <c r="G92" s="13"/>
      <c r="H92" s="13"/>
      <c r="I92" s="13"/>
    </row>
    <row r="93" spans="2:9">
      <c r="B93" s="11"/>
      <c r="C93" s="13"/>
      <c r="D93" s="13"/>
      <c r="E93" s="11"/>
      <c r="F93" s="13"/>
      <c r="G93" s="13"/>
      <c r="H93" s="13"/>
      <c r="I93" s="13"/>
    </row>
    <row r="94" spans="2:9">
      <c r="B94" s="11"/>
      <c r="C94" s="13"/>
      <c r="D94" s="13"/>
      <c r="E94" s="11"/>
      <c r="G94" s="13"/>
      <c r="H94" s="13"/>
      <c r="I94" s="13"/>
    </row>
  </sheetData>
  <phoneticPr fontId="3" type="noConversion"/>
  <conditionalFormatting sqref="C7">
    <cfRule type="expression" dxfId="1" priority="1">
      <formula>COUNTIF($A:$A,$A7)&gt;1</formula>
    </cfRule>
  </conditionalFormatting>
  <hyperlinks>
    <hyperlink ref="A1" location="目錄!A1" display="回到目錄"/>
  </hyperlinks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3"/>
  <dimension ref="A1:L10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" width="7.453125" style="1" bestFit="1" customWidth="1"/>
    <col min="2" max="2" width="8.54296875" style="1" bestFit="1" customWidth="1"/>
    <col min="3" max="3" width="7.90625" style="1" bestFit="1" customWidth="1"/>
    <col min="4" max="4" width="8.08984375" style="1" bestFit="1" customWidth="1"/>
    <col min="5" max="5" width="11.54296875" style="1" bestFit="1" customWidth="1"/>
    <col min="6" max="6" width="13.1796875" style="1" bestFit="1" customWidth="1"/>
    <col min="7" max="7" width="13.26953125" style="1" bestFit="1" customWidth="1"/>
    <col min="8" max="8" width="11.6328125" style="1" bestFit="1" customWidth="1"/>
    <col min="9" max="9" width="10" style="1" bestFit="1" customWidth="1"/>
    <col min="10" max="10" width="7" style="1" bestFit="1" customWidth="1"/>
    <col min="11" max="11" width="10.36328125" style="1" bestFit="1" customWidth="1"/>
    <col min="12" max="12" width="7.81640625" style="1" bestFit="1" customWidth="1"/>
    <col min="13" max="16384" width="8.7265625" style="1"/>
  </cols>
  <sheetData>
    <row r="1" spans="1:12">
      <c r="A1" s="63" t="s">
        <v>36</v>
      </c>
      <c r="B1" s="80" t="s">
        <v>171</v>
      </c>
      <c r="C1" s="80" t="s">
        <v>3728</v>
      </c>
      <c r="D1" s="80" t="s">
        <v>528</v>
      </c>
      <c r="E1" s="80" t="s">
        <v>529</v>
      </c>
      <c r="F1" s="80" t="s">
        <v>3747</v>
      </c>
      <c r="G1" s="80" t="s">
        <v>3748</v>
      </c>
      <c r="H1" s="80" t="s">
        <v>530</v>
      </c>
      <c r="I1" s="80" t="s">
        <v>0</v>
      </c>
      <c r="J1" s="80" t="s">
        <v>1</v>
      </c>
      <c r="K1" s="80" t="s">
        <v>19</v>
      </c>
      <c r="L1" s="80" t="s">
        <v>2</v>
      </c>
    </row>
    <row r="2" spans="1:12">
      <c r="B2" s="1" t="s">
        <v>503</v>
      </c>
      <c r="C2" s="1" t="s">
        <v>526</v>
      </c>
      <c r="D2" s="1">
        <v>6</v>
      </c>
      <c r="E2" s="1" t="s">
        <v>175</v>
      </c>
      <c r="F2" s="1">
        <v>300</v>
      </c>
      <c r="G2" s="1">
        <v>500</v>
      </c>
      <c r="H2" s="1">
        <v>0.03</v>
      </c>
      <c r="I2" s="81"/>
      <c r="J2" s="1" t="s">
        <v>522</v>
      </c>
      <c r="K2" s="81"/>
      <c r="L2" s="1" t="s">
        <v>522</v>
      </c>
    </row>
    <row r="3" spans="1:12">
      <c r="B3" s="1" t="s">
        <v>503</v>
      </c>
      <c r="C3" s="1" t="s">
        <v>526</v>
      </c>
      <c r="D3" s="1">
        <v>6</v>
      </c>
      <c r="E3" s="1" t="s">
        <v>176</v>
      </c>
      <c r="F3" s="1">
        <v>500</v>
      </c>
      <c r="G3" s="1">
        <v>800</v>
      </c>
      <c r="H3" s="1">
        <v>0.05</v>
      </c>
      <c r="I3" s="81"/>
      <c r="J3" s="1" t="s">
        <v>522</v>
      </c>
      <c r="K3" s="81"/>
      <c r="L3" s="1" t="s">
        <v>522</v>
      </c>
    </row>
    <row r="4" spans="1:12">
      <c r="B4" s="1" t="s">
        <v>503</v>
      </c>
      <c r="C4" s="1" t="s">
        <v>526</v>
      </c>
      <c r="D4" s="1">
        <v>6</v>
      </c>
      <c r="E4" s="1" t="s">
        <v>177</v>
      </c>
      <c r="F4" s="1">
        <v>800</v>
      </c>
      <c r="G4" s="1">
        <v>6000</v>
      </c>
      <c r="H4" s="1">
        <v>0.08</v>
      </c>
      <c r="I4" s="81"/>
      <c r="J4" s="1" t="s">
        <v>522</v>
      </c>
      <c r="K4" s="81"/>
      <c r="L4" s="1" t="s">
        <v>522</v>
      </c>
    </row>
    <row r="5" spans="1:12">
      <c r="B5" s="1" t="s">
        <v>503</v>
      </c>
      <c r="C5" s="1" t="s">
        <v>526</v>
      </c>
      <c r="D5" s="1">
        <v>10</v>
      </c>
      <c r="E5" s="1" t="s">
        <v>175</v>
      </c>
      <c r="F5" s="1">
        <v>300</v>
      </c>
      <c r="G5" s="1">
        <v>500</v>
      </c>
      <c r="H5" s="1">
        <v>0.03</v>
      </c>
      <c r="I5" s="81"/>
      <c r="J5" s="1" t="s">
        <v>522</v>
      </c>
      <c r="K5" s="81"/>
      <c r="L5" s="1" t="s">
        <v>522</v>
      </c>
    </row>
    <row r="6" spans="1:12">
      <c r="B6" s="1" t="s">
        <v>503</v>
      </c>
      <c r="C6" s="1" t="s">
        <v>526</v>
      </c>
      <c r="D6" s="1">
        <v>10</v>
      </c>
      <c r="E6" s="1" t="s">
        <v>176</v>
      </c>
      <c r="F6" s="1">
        <v>500</v>
      </c>
      <c r="G6" s="1">
        <v>800</v>
      </c>
      <c r="H6" s="1">
        <v>0.05</v>
      </c>
      <c r="I6" s="81"/>
      <c r="J6" s="1" t="s">
        <v>522</v>
      </c>
      <c r="K6" s="81"/>
      <c r="L6" s="1" t="s">
        <v>522</v>
      </c>
    </row>
    <row r="7" spans="1:12">
      <c r="B7" s="1" t="s">
        <v>503</v>
      </c>
      <c r="C7" s="1" t="s">
        <v>526</v>
      </c>
      <c r="D7" s="1">
        <v>10</v>
      </c>
      <c r="E7" s="1" t="s">
        <v>177</v>
      </c>
      <c r="F7" s="1">
        <v>800</v>
      </c>
      <c r="G7" s="1">
        <v>6000</v>
      </c>
      <c r="H7" s="1">
        <v>0.08</v>
      </c>
      <c r="I7" s="81"/>
      <c r="J7" s="1" t="s">
        <v>522</v>
      </c>
      <c r="K7" s="81"/>
      <c r="L7" s="1" t="s">
        <v>522</v>
      </c>
    </row>
    <row r="8" spans="1:12">
      <c r="B8" s="1" t="s">
        <v>503</v>
      </c>
      <c r="C8" s="1" t="s">
        <v>526</v>
      </c>
      <c r="D8" s="1">
        <v>20</v>
      </c>
      <c r="E8" s="1" t="s">
        <v>175</v>
      </c>
      <c r="F8" s="1">
        <v>300</v>
      </c>
      <c r="G8" s="1">
        <v>500</v>
      </c>
      <c r="H8" s="1">
        <v>0.03</v>
      </c>
      <c r="I8" s="81"/>
      <c r="J8" s="1" t="s">
        <v>522</v>
      </c>
      <c r="K8" s="81"/>
      <c r="L8" s="1" t="s">
        <v>522</v>
      </c>
    </row>
    <row r="9" spans="1:12">
      <c r="B9" s="1" t="s">
        <v>503</v>
      </c>
      <c r="C9" s="1" t="s">
        <v>526</v>
      </c>
      <c r="D9" s="1">
        <v>20</v>
      </c>
      <c r="E9" s="1" t="s">
        <v>176</v>
      </c>
      <c r="F9" s="1">
        <v>500</v>
      </c>
      <c r="G9" s="1">
        <v>800</v>
      </c>
      <c r="H9" s="1">
        <v>0.05</v>
      </c>
      <c r="I9" s="81"/>
      <c r="J9" s="1" t="s">
        <v>522</v>
      </c>
      <c r="K9" s="81"/>
      <c r="L9" s="1" t="s">
        <v>522</v>
      </c>
    </row>
    <row r="10" spans="1:12">
      <c r="B10" s="1" t="s">
        <v>503</v>
      </c>
      <c r="C10" s="1" t="s">
        <v>526</v>
      </c>
      <c r="D10" s="1">
        <v>20</v>
      </c>
      <c r="E10" s="1" t="s">
        <v>177</v>
      </c>
      <c r="F10" s="1">
        <v>800</v>
      </c>
      <c r="G10" s="1">
        <v>6000</v>
      </c>
      <c r="H10" s="1">
        <v>0.08</v>
      </c>
      <c r="I10" s="81"/>
      <c r="J10" s="1" t="s">
        <v>522</v>
      </c>
      <c r="K10" s="81"/>
      <c r="L10" s="1" t="s">
        <v>522</v>
      </c>
    </row>
  </sheetData>
  <phoneticPr fontId="3" type="noConversion"/>
  <hyperlinks>
    <hyperlink ref="A1" location="目錄!A1" display="回到目錄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"/>
  <dimension ref="A1:U998"/>
  <sheetViews>
    <sheetView workbookViewId="0"/>
  </sheetViews>
  <sheetFormatPr defaultColWidth="11.1796875" defaultRowHeight="13.8"/>
  <cols>
    <col min="1" max="1" width="7.453125" style="10" bestFit="1" customWidth="1"/>
    <col min="2" max="2" width="4.36328125" style="14" bestFit="1" customWidth="1"/>
    <col min="3" max="3" width="14.6328125" style="10" bestFit="1" customWidth="1"/>
    <col min="4" max="4" width="10" style="10" bestFit="1" customWidth="1"/>
    <col min="5" max="5" width="7.54296875" style="14" bestFit="1" customWidth="1"/>
    <col min="6" max="6" width="10" style="1" bestFit="1" customWidth="1"/>
    <col min="7" max="7" width="10.6328125" style="10" bestFit="1" customWidth="1"/>
    <col min="8" max="8" width="45.6328125" style="15" customWidth="1"/>
    <col min="9" max="9" width="7.453125" style="15" bestFit="1" customWidth="1"/>
    <col min="10" max="11" width="6.7265625" style="15" customWidth="1"/>
    <col min="12" max="12" width="4.26953125" style="15" bestFit="1" customWidth="1"/>
    <col min="13" max="13" width="18.81640625" style="15" bestFit="1" customWidth="1"/>
    <col min="14" max="14" width="6.7265625" style="15" customWidth="1"/>
    <col min="15" max="15" width="9.453125" style="15" bestFit="1" customWidth="1"/>
    <col min="16" max="17" width="6.7265625" style="15" customWidth="1"/>
    <col min="18" max="18" width="9.453125" style="15" bestFit="1" customWidth="1"/>
    <col min="19" max="20" width="6.7265625" style="15" customWidth="1"/>
    <col min="21" max="21" width="9.453125" style="15" bestFit="1" customWidth="1"/>
    <col min="22" max="22" width="14.453125" style="10" customWidth="1"/>
    <col min="23" max="16384" width="11.1796875" style="10"/>
  </cols>
  <sheetData>
    <row r="1" spans="1:19" ht="15.75" customHeight="1">
      <c r="A1" s="23" t="s">
        <v>36</v>
      </c>
      <c r="B1" s="5" t="s">
        <v>5</v>
      </c>
      <c r="C1" s="6" t="s">
        <v>3</v>
      </c>
      <c r="D1" s="6" t="s">
        <v>4</v>
      </c>
      <c r="E1" s="7" t="s">
        <v>6</v>
      </c>
      <c r="F1" s="3" t="s">
        <v>13</v>
      </c>
      <c r="G1" s="8" t="s">
        <v>7</v>
      </c>
      <c r="H1" s="9" t="s">
        <v>8</v>
      </c>
      <c r="I1" s="9" t="s">
        <v>139</v>
      </c>
      <c r="L1" s="72" t="s">
        <v>240</v>
      </c>
      <c r="M1" s="72" t="s">
        <v>3656</v>
      </c>
      <c r="N1" s="72" t="s">
        <v>470</v>
      </c>
      <c r="O1" s="72" t="s">
        <v>471</v>
      </c>
      <c r="P1" s="72" t="s">
        <v>472</v>
      </c>
      <c r="Q1" s="72" t="s">
        <v>473</v>
      </c>
      <c r="R1" s="72" t="s">
        <v>474</v>
      </c>
      <c r="S1" s="73" t="s">
        <v>475</v>
      </c>
    </row>
    <row r="2" spans="1:19" ht="15.75" customHeight="1">
      <c r="B2" s="11" t="s">
        <v>14</v>
      </c>
      <c r="C2" s="13" t="s">
        <v>80</v>
      </c>
      <c r="D2" s="18" t="s">
        <v>111</v>
      </c>
      <c r="E2" s="11"/>
      <c r="F2" s="12"/>
      <c r="G2" s="12" t="s">
        <v>81</v>
      </c>
      <c r="H2" s="13"/>
      <c r="I2" s="13"/>
      <c r="L2" s="36"/>
      <c r="M2" s="34"/>
      <c r="N2" s="36" t="str">
        <f>"EXEC sp_dropextendedproperty @name = N'MS_Description', @level0type=N'SCHEMA',@level0name=N'"&amp;$L$1&amp;"', @level1type=N'TABLE',@level1name=N'"&amp;$M$1&amp;"', @level2type=N'COLUMN',@level2name=N'"&amp;$C2&amp;"'"</f>
        <v>EXEC sp_dropextendedproperty @name = N'MS_Description', @level0type=N'SCHEMA',@level0name=N'dbo', @level1type=N'TABLE',@level1name=N'LifeInsDiscountHighPrem', @level2type=N'COLUMN',@level2name=N'PlanCode'</v>
      </c>
      <c r="O2" s="36" t="str">
        <f>"EXEC sp_dropextendedproperty @name = N'Rule', @level0type=N'SCHEMA',@level0name=N'"&amp;$L$1&amp;"', @level1type=N'TABLE',@level1name=N'"&amp;$M$1&amp;"', @level2type=N'COLUMN',@level2name=N'"&amp;$C2&amp;"'"</f>
        <v>EXEC sp_dropextendedproperty @name = N'Rule', @level0type=N'SCHEMA',@level0name=N'dbo', @level1type=N'TABLE',@level1name=N'LifeInsDiscountHighPrem', @level2type=N'COLUMN',@level2name=N'PlanCode'</v>
      </c>
      <c r="P2" s="36" t="str">
        <f>"EXEC sp_dropextendedproperty @name = N'Memo', @level0type=N'SCHEMA',@level0name=N'"&amp;$L$1&amp;"', @level1type=N'TABLE',@level1name=N'"&amp;$M$1&amp;"', @level2type=N'COLUMN',@level2name=N'"&amp;$C2&amp;"'"</f>
        <v>EXEC sp_dropextendedproperty @name = N'Memo', @level0type=N'SCHEMA',@level0name=N'dbo', @level1type=N'TABLE',@level1name=N'LifeInsDiscountHighPrem', @level2type=N'COLUMN',@level2name=N'PlanCode'</v>
      </c>
      <c r="Q2" s="36" t="str">
        <f>"set @OldWording = N'"&amp;SUBSTITUTE($G2,CHAR(10),"")&amp;"'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@level2type=N'COLUMN',@level2name=N'"&amp;$C2&amp;"'"</f>
        <v>set @OldWording = N'險種代碼' set @NewWording = REPLACE(@OldWording,'***',char(13)+char(10)) EXEC sys.sp_addextendedproperty @name=N'MS_Description', @value=@NewWording , @level0type=N'SCHEMA',@level0name=N'dbo', @level1type=N'TABLE',@level1name=N'LifeInsDiscountHighPrem', @level2type=N'COLUMN',@level2name=N'PlanCode'</v>
      </c>
      <c r="R2" s="32" t="str">
        <f>"set @OldWording = N'"&amp;SUBSTITUTE($H2,CHAR(10),"")&amp;"'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@name=N'Rule', @value=@NewWording , @level0type=N'SCHEMA',@level0name=N'dbo', @level1type=N'TABLE',@level1name=N'LifeInsDiscountHighPrem', @level2type=N'COLUMN',@level2name=N'PlanCode'</v>
      </c>
      <c r="S2" s="36" t="str">
        <f>"set @OldWording = N'"&amp;SUBSTITUTE($I2,CHAR(10),"")&amp;"' set @NewWording = REPLACE(@OldWording,'***',char(13)+char(10)) "&amp;"EXEC sys.sp_addextendedproperty @name=N'Memo',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@name=N'Memo', @value=@NewWording , @level0type=N'SCHEMA',@level0name=N'dbo', @level1type=N'TABLE',@level1name=N'LifeInsDiscountHighPrem', @level2type=N'COLUMN',@level2name=N'PlanCode'</v>
      </c>
    </row>
    <row r="3" spans="1:19" ht="27.6">
      <c r="B3" s="11" t="s">
        <v>14</v>
      </c>
      <c r="C3" s="15" t="s">
        <v>3728</v>
      </c>
      <c r="D3" s="15" t="s">
        <v>21</v>
      </c>
      <c r="F3" s="10"/>
      <c r="G3" s="10" t="s">
        <v>78</v>
      </c>
      <c r="H3" s="16" t="s">
        <v>3652</v>
      </c>
      <c r="I3" s="16"/>
    </row>
    <row r="4" spans="1:19" ht="15.75" customHeight="1">
      <c r="B4" s="11" t="s">
        <v>14</v>
      </c>
      <c r="C4" s="12" t="s">
        <v>86</v>
      </c>
      <c r="D4" s="12" t="s">
        <v>34</v>
      </c>
      <c r="F4" s="4"/>
      <c r="G4" s="12" t="s">
        <v>87</v>
      </c>
    </row>
    <row r="5" spans="1:19" ht="41.4">
      <c r="B5" s="11" t="s">
        <v>14</v>
      </c>
      <c r="C5" s="10" t="s">
        <v>95</v>
      </c>
      <c r="D5" s="10" t="s">
        <v>128</v>
      </c>
      <c r="F5" s="13"/>
      <c r="G5" s="10" t="s">
        <v>96</v>
      </c>
      <c r="H5" s="16" t="s">
        <v>497</v>
      </c>
      <c r="I5" s="13"/>
    </row>
    <row r="6" spans="1:19">
      <c r="C6" s="10" t="s">
        <v>3749</v>
      </c>
      <c r="D6" s="10" t="s">
        <v>45</v>
      </c>
      <c r="G6" s="10" t="s">
        <v>129</v>
      </c>
      <c r="H6" s="16" t="s">
        <v>152</v>
      </c>
      <c r="I6" s="16"/>
    </row>
    <row r="7" spans="1:19">
      <c r="C7" s="13" t="s">
        <v>3750</v>
      </c>
      <c r="D7" s="10" t="s">
        <v>23</v>
      </c>
      <c r="G7" s="10" t="s">
        <v>151</v>
      </c>
      <c r="H7" s="16" t="s">
        <v>153</v>
      </c>
      <c r="I7" s="16"/>
    </row>
    <row r="8" spans="1:19" ht="15.75" customHeight="1">
      <c r="B8" s="11"/>
      <c r="C8" s="12" t="s">
        <v>43</v>
      </c>
      <c r="D8" s="12" t="s">
        <v>44</v>
      </c>
      <c r="E8" s="11"/>
      <c r="F8" s="4"/>
      <c r="G8" s="10" t="s">
        <v>42</v>
      </c>
      <c r="H8" s="13"/>
      <c r="I8" s="13"/>
    </row>
    <row r="9" spans="1:19">
      <c r="B9" s="11"/>
      <c r="C9" s="12" t="s">
        <v>0</v>
      </c>
      <c r="D9" s="12" t="s">
        <v>11</v>
      </c>
      <c r="E9" s="11" t="s">
        <v>16</v>
      </c>
      <c r="F9" s="4" t="s">
        <v>20</v>
      </c>
      <c r="G9" s="12" t="s">
        <v>30</v>
      </c>
      <c r="H9" s="13"/>
      <c r="I9" s="13"/>
    </row>
    <row r="10" spans="1:19" ht="15.75" customHeight="1">
      <c r="B10" s="11"/>
      <c r="C10" s="12" t="s">
        <v>68</v>
      </c>
      <c r="D10" s="12" t="s">
        <v>37</v>
      </c>
      <c r="E10" s="11"/>
      <c r="F10" s="4"/>
      <c r="G10" s="12" t="s">
        <v>31</v>
      </c>
      <c r="H10" s="13"/>
      <c r="I10" s="13"/>
    </row>
    <row r="11" spans="1:19" ht="15.75" customHeight="1">
      <c r="B11" s="11"/>
      <c r="C11" s="12" t="s">
        <v>19</v>
      </c>
      <c r="D11" s="12" t="s">
        <v>11</v>
      </c>
      <c r="E11" s="11" t="s">
        <v>16</v>
      </c>
      <c r="F11" s="4" t="s">
        <v>20</v>
      </c>
      <c r="G11" s="12" t="s">
        <v>32</v>
      </c>
      <c r="H11" s="13"/>
      <c r="I11" s="13"/>
    </row>
    <row r="12" spans="1:19" ht="15.75" customHeight="1">
      <c r="B12" s="11"/>
      <c r="C12" s="12" t="s">
        <v>2</v>
      </c>
      <c r="D12" s="12" t="s">
        <v>37</v>
      </c>
      <c r="E12" s="11"/>
      <c r="F12" s="4"/>
      <c r="G12" s="12" t="s">
        <v>33</v>
      </c>
      <c r="H12" s="13"/>
      <c r="I12" s="13"/>
    </row>
    <row r="13" spans="1:19" ht="15.75" customHeight="1">
      <c r="B13" s="11"/>
      <c r="C13" s="12"/>
      <c r="D13" s="12"/>
      <c r="E13" s="11"/>
      <c r="F13" s="4"/>
      <c r="G13" s="12"/>
      <c r="H13" s="13"/>
      <c r="I13" s="13"/>
    </row>
    <row r="14" spans="1:19" ht="15.75" customHeight="1">
      <c r="B14" s="11"/>
      <c r="C14" s="12"/>
      <c r="D14" s="12"/>
      <c r="E14" s="11"/>
      <c r="F14" s="4"/>
      <c r="G14" s="12"/>
      <c r="H14" s="13"/>
      <c r="I14" s="13"/>
    </row>
    <row r="15" spans="1:19" ht="15.75" customHeight="1">
      <c r="B15" s="11"/>
      <c r="C15" s="12"/>
      <c r="D15" s="12"/>
      <c r="E15" s="11"/>
      <c r="F15" s="4"/>
      <c r="G15" s="12"/>
      <c r="H15" s="13"/>
      <c r="I15" s="13"/>
    </row>
    <row r="16" spans="1:19" ht="15.75" customHeight="1">
      <c r="B16" s="11"/>
      <c r="C16" s="12"/>
      <c r="D16" s="12"/>
      <c r="E16" s="11"/>
      <c r="F16" s="4"/>
      <c r="G16" s="12"/>
      <c r="H16" s="13"/>
      <c r="I16" s="13"/>
    </row>
    <row r="17" spans="2:9" ht="15.75" customHeight="1">
      <c r="B17" s="11"/>
      <c r="C17" s="12"/>
      <c r="D17" s="12"/>
      <c r="E17" s="11"/>
      <c r="F17" s="4"/>
      <c r="G17" s="12"/>
      <c r="H17" s="13"/>
      <c r="I17" s="13"/>
    </row>
    <row r="18" spans="2:9" ht="15.75" customHeight="1">
      <c r="B18" s="11"/>
      <c r="C18" s="12"/>
      <c r="D18" s="12"/>
      <c r="E18" s="11"/>
      <c r="F18" s="4"/>
      <c r="G18" s="12"/>
      <c r="H18" s="13"/>
      <c r="I18" s="13"/>
    </row>
    <row r="19" spans="2:9" ht="15.75" customHeight="1">
      <c r="B19" s="11"/>
      <c r="C19" s="12"/>
      <c r="D19" s="12"/>
      <c r="E19" s="11"/>
      <c r="F19" s="4"/>
      <c r="G19" s="12"/>
      <c r="H19" s="13"/>
      <c r="I19" s="13"/>
    </row>
    <row r="20" spans="2:9" ht="15.75" customHeight="1">
      <c r="B20" s="11"/>
      <c r="C20" s="12"/>
      <c r="D20" s="12"/>
      <c r="E20" s="11"/>
      <c r="F20" s="4"/>
      <c r="G20" s="12"/>
      <c r="H20" s="13"/>
      <c r="I20" s="13"/>
    </row>
    <row r="21" spans="2:9" ht="15.75" customHeight="1">
      <c r="B21" s="11"/>
      <c r="C21" s="12"/>
      <c r="D21" s="12"/>
      <c r="E21" s="11"/>
      <c r="F21" s="4"/>
      <c r="G21" s="12"/>
      <c r="H21" s="13"/>
      <c r="I21" s="13"/>
    </row>
    <row r="22" spans="2:9" ht="15.75" customHeight="1">
      <c r="B22" s="11"/>
      <c r="C22" s="12"/>
      <c r="D22" s="12"/>
      <c r="E22" s="11"/>
      <c r="F22" s="4"/>
      <c r="G22" s="12"/>
      <c r="H22" s="13"/>
      <c r="I22" s="13"/>
    </row>
    <row r="23" spans="2:9" ht="15.75" customHeight="1">
      <c r="B23" s="11"/>
      <c r="C23" s="12"/>
      <c r="D23" s="12"/>
      <c r="E23" s="11"/>
      <c r="F23" s="4"/>
      <c r="G23" s="12"/>
      <c r="H23" s="13"/>
      <c r="I23" s="13"/>
    </row>
    <row r="24" spans="2:9" ht="15.75" customHeight="1">
      <c r="B24" s="11"/>
      <c r="C24" s="12"/>
      <c r="D24" s="12"/>
      <c r="E24" s="11"/>
      <c r="F24" s="4"/>
      <c r="G24" s="12"/>
      <c r="H24" s="13"/>
      <c r="I24" s="13"/>
    </row>
    <row r="25" spans="2:9" ht="15.75" customHeight="1">
      <c r="B25" s="11"/>
      <c r="C25" s="12"/>
      <c r="D25" s="12"/>
      <c r="E25" s="11"/>
      <c r="F25" s="4"/>
      <c r="G25" s="12"/>
      <c r="H25" s="13"/>
      <c r="I25" s="13"/>
    </row>
    <row r="26" spans="2:9" ht="15.75" customHeight="1">
      <c r="B26" s="11"/>
      <c r="C26" s="12"/>
      <c r="D26" s="12"/>
      <c r="E26" s="11"/>
      <c r="F26" s="4"/>
      <c r="G26" s="12"/>
      <c r="H26" s="13"/>
      <c r="I26" s="13"/>
    </row>
    <row r="27" spans="2:9" ht="15.75" customHeight="1">
      <c r="B27" s="11"/>
      <c r="C27" s="12"/>
      <c r="D27" s="12"/>
      <c r="E27" s="11"/>
      <c r="F27" s="4"/>
      <c r="G27" s="12"/>
      <c r="H27" s="13"/>
      <c r="I27" s="13"/>
    </row>
    <row r="28" spans="2:9" ht="15.75" customHeight="1">
      <c r="B28" s="11"/>
      <c r="C28" s="12"/>
      <c r="D28" s="12"/>
      <c r="E28" s="11"/>
      <c r="F28" s="4"/>
      <c r="G28" s="12"/>
      <c r="H28" s="13"/>
      <c r="I28" s="13"/>
    </row>
    <row r="29" spans="2:9" ht="15.75" customHeight="1">
      <c r="B29" s="11"/>
      <c r="C29" s="12"/>
      <c r="D29" s="12"/>
      <c r="E29" s="11"/>
      <c r="F29" s="4"/>
      <c r="G29" s="12"/>
      <c r="H29" s="13"/>
      <c r="I29" s="13"/>
    </row>
    <row r="30" spans="2:9" ht="15.75" customHeight="1">
      <c r="B30" s="11"/>
      <c r="C30" s="12"/>
      <c r="D30" s="12"/>
      <c r="E30" s="11"/>
      <c r="F30" s="4"/>
      <c r="G30" s="12"/>
      <c r="H30" s="13"/>
      <c r="I30" s="13"/>
    </row>
    <row r="31" spans="2:9" ht="15.75" customHeight="1">
      <c r="B31" s="11"/>
      <c r="C31" s="12"/>
      <c r="D31" s="12"/>
      <c r="E31" s="11"/>
      <c r="F31" s="4"/>
      <c r="G31" s="12"/>
      <c r="H31" s="13"/>
      <c r="I31" s="13"/>
    </row>
    <row r="32" spans="2:9" ht="15.75" customHeight="1">
      <c r="B32" s="11"/>
      <c r="C32" s="12"/>
      <c r="D32" s="12"/>
      <c r="E32" s="11"/>
      <c r="F32" s="4"/>
      <c r="G32" s="12"/>
      <c r="H32" s="13"/>
      <c r="I32" s="13"/>
    </row>
    <row r="33" spans="2:9" ht="15.75" customHeight="1">
      <c r="B33" s="11"/>
      <c r="C33" s="12"/>
      <c r="D33" s="12"/>
      <c r="E33" s="11"/>
      <c r="F33" s="4"/>
      <c r="G33" s="12"/>
      <c r="H33" s="13"/>
      <c r="I33" s="13"/>
    </row>
    <row r="34" spans="2:9" ht="15.75" customHeight="1">
      <c r="B34" s="11"/>
      <c r="C34" s="12"/>
      <c r="D34" s="12"/>
      <c r="E34" s="11"/>
      <c r="F34" s="4"/>
      <c r="G34" s="12"/>
      <c r="H34" s="13"/>
      <c r="I34" s="13"/>
    </row>
    <row r="35" spans="2:9" ht="15.75" customHeight="1">
      <c r="B35" s="11"/>
      <c r="C35" s="12"/>
      <c r="D35" s="12"/>
      <c r="E35" s="11"/>
      <c r="F35" s="4"/>
      <c r="G35" s="12"/>
      <c r="H35" s="13"/>
      <c r="I35" s="13"/>
    </row>
    <row r="36" spans="2:9" ht="15.75" customHeight="1">
      <c r="B36" s="11"/>
      <c r="C36" s="12"/>
      <c r="D36" s="12"/>
      <c r="E36" s="11"/>
      <c r="F36" s="4"/>
      <c r="G36" s="12"/>
      <c r="H36" s="13"/>
      <c r="I36" s="13"/>
    </row>
    <row r="37" spans="2:9" ht="15.75" customHeight="1">
      <c r="B37" s="11"/>
      <c r="C37" s="12"/>
      <c r="D37" s="12"/>
      <c r="E37" s="11"/>
      <c r="F37" s="4"/>
      <c r="G37" s="12"/>
      <c r="H37" s="13"/>
      <c r="I37" s="13"/>
    </row>
    <row r="38" spans="2:9" ht="15.75" customHeight="1">
      <c r="B38" s="11"/>
      <c r="C38" s="12"/>
      <c r="D38" s="12"/>
      <c r="E38" s="11"/>
      <c r="F38" s="4"/>
      <c r="G38" s="12"/>
      <c r="H38" s="13"/>
      <c r="I38" s="13"/>
    </row>
    <row r="39" spans="2:9" ht="15.75" customHeight="1">
      <c r="B39" s="11"/>
      <c r="C39" s="12"/>
      <c r="D39" s="12"/>
      <c r="E39" s="11"/>
      <c r="F39" s="4"/>
      <c r="G39" s="12"/>
      <c r="H39" s="13"/>
      <c r="I39" s="13"/>
    </row>
    <row r="40" spans="2:9" ht="15.75" customHeight="1">
      <c r="B40" s="11"/>
      <c r="C40" s="12"/>
      <c r="D40" s="12"/>
      <c r="E40" s="11"/>
      <c r="F40" s="4"/>
      <c r="G40" s="12"/>
      <c r="H40" s="13"/>
      <c r="I40" s="13"/>
    </row>
    <row r="41" spans="2:9" ht="15.75" customHeight="1">
      <c r="B41" s="11"/>
      <c r="C41" s="12"/>
      <c r="D41" s="12"/>
      <c r="E41" s="11"/>
      <c r="F41" s="4"/>
      <c r="G41" s="12"/>
      <c r="H41" s="13"/>
      <c r="I41" s="13"/>
    </row>
    <row r="42" spans="2:9" ht="15.75" customHeight="1">
      <c r="B42" s="11"/>
      <c r="C42" s="12"/>
      <c r="D42" s="12"/>
      <c r="E42" s="11"/>
      <c r="F42" s="4"/>
      <c r="G42" s="12"/>
      <c r="H42" s="13"/>
      <c r="I42" s="13"/>
    </row>
    <row r="43" spans="2:9" ht="15.75" customHeight="1">
      <c r="B43" s="11"/>
      <c r="C43" s="12"/>
      <c r="D43" s="12"/>
      <c r="E43" s="11"/>
      <c r="F43" s="4"/>
      <c r="G43" s="12"/>
      <c r="H43" s="13"/>
      <c r="I43" s="13"/>
    </row>
    <row r="44" spans="2:9" ht="15.75" customHeight="1">
      <c r="B44" s="11"/>
      <c r="C44" s="12"/>
      <c r="D44" s="12"/>
      <c r="E44" s="11"/>
      <c r="F44" s="4"/>
      <c r="G44" s="12"/>
      <c r="H44" s="13"/>
      <c r="I44" s="13"/>
    </row>
    <row r="45" spans="2:9" ht="15.75" customHeight="1">
      <c r="B45" s="11"/>
      <c r="C45" s="12"/>
      <c r="D45" s="12"/>
      <c r="E45" s="11"/>
      <c r="F45" s="4"/>
      <c r="G45" s="12"/>
      <c r="H45" s="13"/>
      <c r="I45" s="13"/>
    </row>
    <row r="46" spans="2:9" ht="15.75" customHeight="1">
      <c r="B46" s="11"/>
      <c r="C46" s="12"/>
      <c r="D46" s="12"/>
      <c r="E46" s="11"/>
      <c r="F46" s="4"/>
      <c r="G46" s="12"/>
      <c r="H46" s="13"/>
      <c r="I46" s="13"/>
    </row>
    <row r="47" spans="2:9" ht="15.75" customHeight="1">
      <c r="B47" s="11"/>
      <c r="C47" s="12"/>
      <c r="D47" s="12"/>
      <c r="E47" s="11"/>
      <c r="F47" s="4"/>
      <c r="G47" s="12"/>
      <c r="H47" s="13"/>
      <c r="I47" s="13"/>
    </row>
    <row r="48" spans="2:9" ht="15.75" customHeight="1">
      <c r="B48" s="11"/>
      <c r="C48" s="12"/>
      <c r="D48" s="12"/>
      <c r="E48" s="11"/>
      <c r="F48" s="4"/>
      <c r="G48" s="12"/>
      <c r="H48" s="13"/>
      <c r="I48" s="13"/>
    </row>
    <row r="49" spans="2:9" ht="15.75" customHeight="1">
      <c r="B49" s="11"/>
      <c r="C49" s="12"/>
      <c r="D49" s="12"/>
      <c r="E49" s="11"/>
      <c r="F49" s="4"/>
      <c r="G49" s="12"/>
      <c r="H49" s="13"/>
      <c r="I49" s="13"/>
    </row>
    <row r="50" spans="2:9" ht="15.75" customHeight="1">
      <c r="B50" s="11"/>
      <c r="C50" s="12"/>
      <c r="D50" s="12"/>
      <c r="E50" s="11"/>
      <c r="F50" s="4"/>
      <c r="G50" s="12"/>
      <c r="H50" s="13"/>
      <c r="I50" s="13"/>
    </row>
    <row r="51" spans="2:9" ht="15.75" customHeight="1">
      <c r="B51" s="11"/>
      <c r="C51" s="12"/>
      <c r="D51" s="12"/>
      <c r="E51" s="11"/>
      <c r="F51" s="4"/>
      <c r="G51" s="12"/>
      <c r="H51" s="13"/>
      <c r="I51" s="13"/>
    </row>
    <row r="52" spans="2:9" ht="15.75" customHeight="1">
      <c r="B52" s="11"/>
      <c r="C52" s="12"/>
      <c r="D52" s="12"/>
      <c r="E52" s="11"/>
      <c r="F52" s="4"/>
      <c r="G52" s="12"/>
      <c r="H52" s="13"/>
      <c r="I52" s="13"/>
    </row>
    <row r="53" spans="2:9" ht="15.75" customHeight="1">
      <c r="B53" s="11"/>
      <c r="C53" s="12"/>
      <c r="D53" s="12"/>
      <c r="E53" s="11"/>
      <c r="F53" s="4"/>
      <c r="G53" s="12"/>
      <c r="H53" s="13"/>
      <c r="I53" s="13"/>
    </row>
    <row r="54" spans="2:9" ht="15.75" customHeight="1">
      <c r="B54" s="11"/>
      <c r="C54" s="12"/>
      <c r="D54" s="12"/>
      <c r="E54" s="11"/>
      <c r="F54" s="4"/>
      <c r="G54" s="12"/>
      <c r="H54" s="13"/>
      <c r="I54" s="13"/>
    </row>
    <row r="55" spans="2:9" ht="15.75" customHeight="1">
      <c r="B55" s="11"/>
      <c r="C55" s="12"/>
      <c r="D55" s="12"/>
      <c r="E55" s="11"/>
      <c r="F55" s="4"/>
      <c r="G55" s="12"/>
      <c r="H55" s="13"/>
      <c r="I55" s="13"/>
    </row>
    <row r="56" spans="2:9" ht="15.75" customHeight="1">
      <c r="B56" s="11"/>
      <c r="C56" s="12"/>
      <c r="D56" s="12"/>
      <c r="E56" s="11"/>
      <c r="F56" s="4"/>
      <c r="G56" s="12"/>
      <c r="H56" s="13"/>
      <c r="I56" s="13"/>
    </row>
    <row r="57" spans="2:9" ht="15.75" customHeight="1">
      <c r="B57" s="11"/>
      <c r="C57" s="12"/>
      <c r="D57" s="12"/>
      <c r="E57" s="11"/>
      <c r="F57" s="4"/>
      <c r="G57" s="12"/>
      <c r="H57" s="13"/>
      <c r="I57" s="13"/>
    </row>
    <row r="58" spans="2:9" ht="15.75" customHeight="1">
      <c r="B58" s="11"/>
      <c r="C58" s="12"/>
      <c r="D58" s="12"/>
      <c r="E58" s="11"/>
      <c r="F58" s="4"/>
      <c r="G58" s="12"/>
      <c r="H58" s="13"/>
      <c r="I58" s="13"/>
    </row>
    <row r="59" spans="2:9" ht="15.75" customHeight="1">
      <c r="B59" s="11"/>
      <c r="C59" s="12"/>
      <c r="D59" s="12"/>
      <c r="E59" s="11"/>
      <c r="F59" s="4"/>
      <c r="G59" s="12"/>
      <c r="H59" s="13"/>
      <c r="I59" s="13"/>
    </row>
    <row r="60" spans="2:9" ht="15.75" customHeight="1">
      <c r="B60" s="11"/>
      <c r="C60" s="12"/>
      <c r="D60" s="12"/>
      <c r="E60" s="11"/>
      <c r="F60" s="4"/>
      <c r="G60" s="12"/>
      <c r="H60" s="13"/>
      <c r="I60" s="13"/>
    </row>
    <row r="61" spans="2:9" ht="15.75" customHeight="1">
      <c r="B61" s="11"/>
      <c r="C61" s="12"/>
      <c r="D61" s="12"/>
      <c r="E61" s="11"/>
      <c r="F61" s="4"/>
      <c r="G61" s="12"/>
      <c r="H61" s="13"/>
      <c r="I61" s="13"/>
    </row>
    <row r="62" spans="2:9" ht="15.75" customHeight="1">
      <c r="B62" s="11"/>
      <c r="C62" s="12"/>
      <c r="D62" s="12"/>
      <c r="E62" s="11"/>
      <c r="F62" s="4"/>
      <c r="G62" s="12"/>
      <c r="H62" s="13"/>
      <c r="I62" s="13"/>
    </row>
    <row r="63" spans="2:9" ht="15.75" customHeight="1">
      <c r="B63" s="11"/>
      <c r="C63" s="12"/>
      <c r="D63" s="12"/>
      <c r="E63" s="11"/>
      <c r="F63" s="4"/>
      <c r="G63" s="12"/>
      <c r="H63" s="13"/>
      <c r="I63" s="13"/>
    </row>
    <row r="64" spans="2:9" ht="15.75" customHeight="1">
      <c r="B64" s="11"/>
      <c r="C64" s="12"/>
      <c r="D64" s="12"/>
      <c r="E64" s="11"/>
      <c r="F64" s="4"/>
      <c r="G64" s="12"/>
      <c r="H64" s="13"/>
      <c r="I64" s="13"/>
    </row>
    <row r="65" spans="2:9" ht="15.75" customHeight="1">
      <c r="B65" s="11"/>
      <c r="C65" s="12"/>
      <c r="D65" s="12"/>
      <c r="E65" s="11"/>
      <c r="F65" s="4"/>
      <c r="G65" s="12"/>
      <c r="H65" s="13"/>
      <c r="I65" s="13"/>
    </row>
    <row r="66" spans="2:9" ht="15.75" customHeight="1">
      <c r="B66" s="11"/>
      <c r="C66" s="12"/>
      <c r="D66" s="12"/>
      <c r="E66" s="11"/>
      <c r="F66" s="4"/>
      <c r="G66" s="12"/>
      <c r="H66" s="13"/>
      <c r="I66" s="13"/>
    </row>
    <row r="67" spans="2:9" ht="15.75" customHeight="1">
      <c r="B67" s="11"/>
      <c r="C67" s="12"/>
      <c r="D67" s="12"/>
      <c r="E67" s="11"/>
      <c r="F67" s="4"/>
      <c r="G67" s="12"/>
      <c r="H67" s="13"/>
      <c r="I67" s="13"/>
    </row>
    <row r="68" spans="2:9" ht="15.75" customHeight="1">
      <c r="B68" s="11"/>
      <c r="C68" s="12"/>
      <c r="D68" s="12"/>
      <c r="E68" s="11"/>
      <c r="F68" s="4"/>
      <c r="G68" s="12"/>
      <c r="H68" s="13"/>
      <c r="I68" s="13"/>
    </row>
    <row r="69" spans="2:9" ht="15.75" customHeight="1">
      <c r="B69" s="11"/>
      <c r="C69" s="12"/>
      <c r="D69" s="12"/>
      <c r="E69" s="11"/>
      <c r="F69" s="4"/>
      <c r="G69" s="12"/>
      <c r="H69" s="13"/>
      <c r="I69" s="13"/>
    </row>
    <row r="70" spans="2:9" ht="15.75" customHeight="1">
      <c r="B70" s="11"/>
      <c r="C70" s="12"/>
      <c r="D70" s="12"/>
      <c r="E70" s="11"/>
      <c r="F70" s="4"/>
      <c r="G70" s="12"/>
      <c r="H70" s="13"/>
      <c r="I70" s="13"/>
    </row>
    <row r="71" spans="2:9" ht="15.75" customHeight="1">
      <c r="B71" s="11"/>
      <c r="C71" s="12"/>
      <c r="D71" s="12"/>
      <c r="E71" s="11"/>
      <c r="F71" s="4"/>
      <c r="G71" s="12"/>
      <c r="H71" s="13"/>
      <c r="I71" s="13"/>
    </row>
    <row r="72" spans="2:9" ht="15.75" customHeight="1">
      <c r="B72" s="11"/>
      <c r="C72" s="12"/>
      <c r="D72" s="12"/>
      <c r="E72" s="11"/>
      <c r="F72" s="4"/>
      <c r="G72" s="12"/>
      <c r="H72" s="13"/>
      <c r="I72" s="13"/>
    </row>
    <row r="73" spans="2:9" ht="15.75" customHeight="1">
      <c r="B73" s="11"/>
      <c r="C73" s="12"/>
      <c r="D73" s="12"/>
      <c r="E73" s="11"/>
      <c r="F73" s="4"/>
      <c r="G73" s="12"/>
      <c r="H73" s="13"/>
      <c r="I73" s="13"/>
    </row>
    <row r="74" spans="2:9" ht="15.75" customHeight="1">
      <c r="B74" s="11"/>
      <c r="C74" s="12"/>
      <c r="D74" s="12"/>
      <c r="E74" s="11"/>
      <c r="F74" s="4"/>
      <c r="G74" s="12"/>
      <c r="H74" s="13"/>
      <c r="I74" s="13"/>
    </row>
    <row r="75" spans="2:9" ht="15.75" customHeight="1">
      <c r="B75" s="11"/>
      <c r="C75" s="12"/>
      <c r="D75" s="12"/>
      <c r="E75" s="11"/>
      <c r="F75" s="4"/>
      <c r="G75" s="12"/>
      <c r="H75" s="13"/>
      <c r="I75" s="13"/>
    </row>
    <row r="76" spans="2:9" ht="15.75" customHeight="1">
      <c r="B76" s="11"/>
      <c r="C76" s="12"/>
      <c r="D76" s="12"/>
      <c r="E76" s="11"/>
      <c r="F76" s="4"/>
      <c r="G76" s="12"/>
      <c r="H76" s="13"/>
      <c r="I76" s="13"/>
    </row>
    <row r="77" spans="2:9" ht="15.75" customHeight="1">
      <c r="B77" s="11"/>
      <c r="C77" s="12"/>
      <c r="D77" s="12"/>
      <c r="E77" s="11"/>
      <c r="F77" s="4"/>
      <c r="G77" s="12"/>
      <c r="H77" s="13"/>
      <c r="I77" s="13"/>
    </row>
    <row r="78" spans="2:9" ht="15.75" customHeight="1">
      <c r="B78" s="11"/>
      <c r="C78" s="12"/>
      <c r="D78" s="12"/>
      <c r="E78" s="11"/>
      <c r="F78" s="4"/>
      <c r="G78" s="12"/>
      <c r="H78" s="13"/>
      <c r="I78" s="13"/>
    </row>
    <row r="79" spans="2:9" ht="15.75" customHeight="1">
      <c r="B79" s="11"/>
      <c r="C79" s="12"/>
      <c r="D79" s="12"/>
      <c r="E79" s="11"/>
      <c r="F79" s="4"/>
      <c r="G79" s="12"/>
      <c r="H79" s="13"/>
      <c r="I79" s="13"/>
    </row>
    <row r="80" spans="2:9" ht="15.75" customHeight="1">
      <c r="B80" s="11"/>
      <c r="C80" s="12"/>
      <c r="D80" s="12"/>
      <c r="E80" s="11"/>
      <c r="F80" s="4"/>
      <c r="G80" s="12"/>
      <c r="H80" s="13"/>
      <c r="I80" s="13"/>
    </row>
    <row r="81" spans="2:9" ht="15.75" customHeight="1">
      <c r="B81" s="11"/>
      <c r="C81" s="12"/>
      <c r="D81" s="12"/>
      <c r="E81" s="11"/>
      <c r="F81" s="4"/>
      <c r="G81" s="12"/>
      <c r="H81" s="13"/>
      <c r="I81" s="13"/>
    </row>
    <row r="82" spans="2:9" ht="15.75" customHeight="1">
      <c r="B82" s="11"/>
      <c r="C82" s="12"/>
      <c r="D82" s="12"/>
      <c r="E82" s="11"/>
      <c r="F82" s="4"/>
      <c r="G82" s="12"/>
      <c r="H82" s="13"/>
      <c r="I82" s="13"/>
    </row>
    <row r="83" spans="2:9" ht="15.75" customHeight="1">
      <c r="B83" s="11"/>
      <c r="C83" s="12"/>
      <c r="D83" s="12"/>
      <c r="E83" s="11"/>
      <c r="F83" s="4"/>
      <c r="G83" s="12"/>
      <c r="H83" s="13"/>
      <c r="I83" s="13"/>
    </row>
    <row r="84" spans="2:9" ht="15.75" customHeight="1">
      <c r="B84" s="11"/>
      <c r="C84" s="12"/>
      <c r="D84" s="12"/>
      <c r="E84" s="11"/>
      <c r="F84" s="4"/>
      <c r="G84" s="12"/>
      <c r="H84" s="13"/>
      <c r="I84" s="13"/>
    </row>
    <row r="85" spans="2:9" ht="15.75" customHeight="1">
      <c r="B85" s="11"/>
      <c r="C85" s="12"/>
      <c r="D85" s="12"/>
      <c r="E85" s="11"/>
      <c r="F85" s="4"/>
      <c r="G85" s="12"/>
      <c r="H85" s="13"/>
      <c r="I85" s="13"/>
    </row>
    <row r="86" spans="2:9" ht="15.75" customHeight="1">
      <c r="B86" s="11"/>
      <c r="C86" s="12"/>
      <c r="D86" s="12"/>
      <c r="E86" s="11"/>
      <c r="F86" s="4"/>
      <c r="G86" s="12"/>
      <c r="H86" s="13"/>
      <c r="I86" s="13"/>
    </row>
    <row r="87" spans="2:9" ht="15.75" customHeight="1">
      <c r="B87" s="11"/>
      <c r="C87" s="12"/>
      <c r="D87" s="12"/>
      <c r="E87" s="11"/>
      <c r="F87" s="4"/>
      <c r="G87" s="12"/>
      <c r="H87" s="13"/>
      <c r="I87" s="13"/>
    </row>
    <row r="88" spans="2:9" ht="15.75" customHeight="1">
      <c r="B88" s="11"/>
      <c r="C88" s="12"/>
      <c r="D88" s="12"/>
      <c r="E88" s="11"/>
      <c r="F88" s="4"/>
      <c r="G88" s="12"/>
      <c r="H88" s="13"/>
      <c r="I88" s="13"/>
    </row>
    <row r="89" spans="2:9" ht="15.75" customHeight="1">
      <c r="B89" s="11"/>
      <c r="C89" s="12"/>
      <c r="D89" s="12"/>
      <c r="E89" s="11"/>
      <c r="F89" s="4"/>
      <c r="G89" s="12"/>
      <c r="H89" s="13"/>
      <c r="I89" s="13"/>
    </row>
    <row r="90" spans="2:9" ht="15.75" customHeight="1">
      <c r="B90" s="11"/>
      <c r="C90" s="12"/>
      <c r="D90" s="12"/>
      <c r="E90" s="11"/>
      <c r="F90" s="4"/>
      <c r="G90" s="12"/>
      <c r="H90" s="13"/>
      <c r="I90" s="13"/>
    </row>
    <row r="91" spans="2:9" ht="15.75" customHeight="1">
      <c r="B91" s="11"/>
      <c r="C91" s="12"/>
      <c r="D91" s="12"/>
      <c r="E91" s="11"/>
      <c r="F91" s="4"/>
      <c r="G91" s="12"/>
      <c r="H91" s="13"/>
      <c r="I91" s="13"/>
    </row>
    <row r="92" spans="2:9" ht="15.75" customHeight="1">
      <c r="B92" s="11"/>
      <c r="C92" s="12"/>
      <c r="D92" s="12"/>
      <c r="E92" s="11"/>
      <c r="F92" s="4"/>
      <c r="G92" s="12"/>
      <c r="H92" s="13"/>
      <c r="I92" s="13"/>
    </row>
    <row r="93" spans="2:9" ht="15.75" customHeight="1">
      <c r="B93" s="11"/>
      <c r="C93" s="12"/>
      <c r="D93" s="12"/>
      <c r="E93" s="11"/>
      <c r="F93" s="4"/>
      <c r="G93" s="12"/>
      <c r="H93" s="13"/>
      <c r="I93" s="13"/>
    </row>
    <row r="94" spans="2:9" ht="15.75" customHeight="1">
      <c r="B94" s="11"/>
      <c r="C94" s="12"/>
      <c r="D94" s="12"/>
      <c r="E94" s="11"/>
      <c r="F94" s="4"/>
      <c r="G94" s="12"/>
      <c r="H94" s="13"/>
      <c r="I94" s="13"/>
    </row>
    <row r="95" spans="2:9" ht="15.75" customHeight="1">
      <c r="B95" s="11"/>
      <c r="C95" s="12"/>
      <c r="D95" s="12"/>
      <c r="E95" s="11"/>
      <c r="G95" s="12"/>
      <c r="H95" s="13"/>
      <c r="I95" s="13"/>
    </row>
    <row r="96" spans="2:9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honeticPr fontId="3" type="noConversion"/>
  <conditionalFormatting sqref="C7">
    <cfRule type="expression" dxfId="0" priority="1">
      <formula>COUNTIF($A:$A,$A7)&gt;1</formula>
    </cfRule>
  </conditionalFormatting>
  <hyperlinks>
    <hyperlink ref="A1" location="目錄!A1" display="回到目錄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4"/>
  <dimension ref="A1:L62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" width="7.453125" style="1" bestFit="1" customWidth="1"/>
    <col min="2" max="2" width="8.54296875" style="1" bestFit="1" customWidth="1"/>
    <col min="3" max="3" width="7.90625" style="1" bestFit="1" customWidth="1"/>
    <col min="4" max="4" width="8.08984375" style="1" bestFit="1" customWidth="1"/>
    <col min="5" max="5" width="11.54296875" style="1" bestFit="1" customWidth="1"/>
    <col min="6" max="6" width="14" style="1" bestFit="1" customWidth="1"/>
    <col min="7" max="7" width="14.08984375" style="1" bestFit="1" customWidth="1"/>
    <col min="8" max="8" width="11.6328125" style="1" bestFit="1" customWidth="1"/>
    <col min="9" max="9" width="10" style="1" bestFit="1" customWidth="1"/>
    <col min="10" max="10" width="7" style="1" bestFit="1" customWidth="1"/>
    <col min="11" max="11" width="10.36328125" style="1" bestFit="1" customWidth="1"/>
    <col min="12" max="12" width="7.81640625" style="1" bestFit="1" customWidth="1"/>
    <col min="13" max="16384" width="8.7265625" style="1"/>
  </cols>
  <sheetData>
    <row r="1" spans="1:12">
      <c r="A1" s="63" t="s">
        <v>36</v>
      </c>
      <c r="B1" s="80" t="s">
        <v>171</v>
      </c>
      <c r="C1" s="80" t="s">
        <v>3728</v>
      </c>
      <c r="D1" s="80" t="s">
        <v>528</v>
      </c>
      <c r="E1" s="80" t="s">
        <v>529</v>
      </c>
      <c r="F1" s="80" t="s">
        <v>3749</v>
      </c>
      <c r="G1" s="80" t="s">
        <v>3750</v>
      </c>
      <c r="H1" s="80" t="s">
        <v>530</v>
      </c>
      <c r="I1" s="80" t="s">
        <v>0</v>
      </c>
      <c r="J1" s="80" t="s">
        <v>1</v>
      </c>
      <c r="K1" s="80" t="s">
        <v>19</v>
      </c>
      <c r="L1" s="80" t="s">
        <v>2</v>
      </c>
    </row>
    <row r="2" spans="1:12">
      <c r="B2" s="1" t="s">
        <v>3123</v>
      </c>
      <c r="C2" s="1" t="s">
        <v>154</v>
      </c>
      <c r="D2" s="1">
        <v>10</v>
      </c>
      <c r="E2" s="1" t="s">
        <v>547</v>
      </c>
      <c r="F2" s="1">
        <v>30000</v>
      </c>
      <c r="G2" s="1">
        <v>40000</v>
      </c>
      <c r="H2" s="1">
        <v>0.01</v>
      </c>
      <c r="J2" s="1" t="s">
        <v>3205</v>
      </c>
      <c r="L2" s="1" t="s">
        <v>3205</v>
      </c>
    </row>
    <row r="3" spans="1:12">
      <c r="B3" s="1" t="s">
        <v>3123</v>
      </c>
      <c r="C3" s="1" t="s">
        <v>154</v>
      </c>
      <c r="D3" s="1">
        <v>10</v>
      </c>
      <c r="E3" s="1" t="s">
        <v>548</v>
      </c>
      <c r="F3" s="1">
        <v>40000</v>
      </c>
      <c r="G3" s="1">
        <v>999999999</v>
      </c>
      <c r="H3" s="1">
        <v>0.02</v>
      </c>
      <c r="J3" s="1" t="s">
        <v>3205</v>
      </c>
      <c r="L3" s="1" t="s">
        <v>3205</v>
      </c>
    </row>
    <row r="4" spans="1:12">
      <c r="B4" s="1" t="s">
        <v>3123</v>
      </c>
      <c r="C4" s="1" t="s">
        <v>154</v>
      </c>
      <c r="D4" s="1">
        <v>20</v>
      </c>
      <c r="E4" s="1" t="s">
        <v>547</v>
      </c>
      <c r="F4" s="1">
        <v>30000</v>
      </c>
      <c r="G4" s="1">
        <v>40000</v>
      </c>
      <c r="H4" s="1">
        <v>0.01</v>
      </c>
      <c r="J4" s="1" t="s">
        <v>3205</v>
      </c>
      <c r="L4" s="1" t="s">
        <v>3205</v>
      </c>
    </row>
    <row r="5" spans="1:12">
      <c r="B5" s="1" t="s">
        <v>3123</v>
      </c>
      <c r="C5" s="1" t="s">
        <v>154</v>
      </c>
      <c r="D5" s="1">
        <v>20</v>
      </c>
      <c r="E5" s="1" t="s">
        <v>548</v>
      </c>
      <c r="F5" s="1">
        <v>40000</v>
      </c>
      <c r="G5" s="1">
        <v>999999999</v>
      </c>
      <c r="H5" s="1">
        <v>0.02</v>
      </c>
      <c r="J5" s="1" t="s">
        <v>3205</v>
      </c>
      <c r="L5" s="1" t="s">
        <v>3205</v>
      </c>
    </row>
    <row r="6" spans="1:12">
      <c r="B6" s="1" t="s">
        <v>3123</v>
      </c>
      <c r="C6" s="1" t="s">
        <v>154</v>
      </c>
      <c r="D6" s="1">
        <v>30</v>
      </c>
      <c r="E6" s="1" t="s">
        <v>547</v>
      </c>
      <c r="F6" s="1">
        <v>30000</v>
      </c>
      <c r="G6" s="1">
        <v>40000</v>
      </c>
      <c r="H6" s="1">
        <v>0.01</v>
      </c>
      <c r="J6" s="1" t="s">
        <v>3205</v>
      </c>
      <c r="L6" s="1" t="s">
        <v>3205</v>
      </c>
    </row>
    <row r="7" spans="1:12">
      <c r="B7" s="1" t="s">
        <v>3123</v>
      </c>
      <c r="C7" s="1" t="s">
        <v>154</v>
      </c>
      <c r="D7" s="1">
        <v>30</v>
      </c>
      <c r="E7" s="1" t="s">
        <v>548</v>
      </c>
      <c r="F7" s="1">
        <v>40000</v>
      </c>
      <c r="G7" s="1">
        <v>999999999</v>
      </c>
      <c r="H7" s="1">
        <v>0.02</v>
      </c>
      <c r="J7" s="1" t="s">
        <v>3205</v>
      </c>
      <c r="L7" s="1" t="s">
        <v>3205</v>
      </c>
    </row>
    <row r="8" spans="1:12">
      <c r="B8" s="1" t="s">
        <v>3235</v>
      </c>
      <c r="C8" s="1" t="s">
        <v>3242</v>
      </c>
      <c r="D8" s="1">
        <v>3</v>
      </c>
      <c r="E8" s="1" t="s">
        <v>547</v>
      </c>
      <c r="F8" s="1">
        <v>200000</v>
      </c>
      <c r="G8" s="1">
        <v>900000</v>
      </c>
      <c r="H8" s="1">
        <v>0.01</v>
      </c>
      <c r="J8" s="1" t="s">
        <v>3205</v>
      </c>
      <c r="L8" s="1" t="s">
        <v>3205</v>
      </c>
    </row>
    <row r="9" spans="1:12">
      <c r="B9" s="1" t="s">
        <v>3235</v>
      </c>
      <c r="C9" s="1" t="s">
        <v>3242</v>
      </c>
      <c r="D9" s="1">
        <v>3</v>
      </c>
      <c r="E9" s="1" t="s">
        <v>548</v>
      </c>
      <c r="F9" s="1">
        <v>900000</v>
      </c>
      <c r="G9" s="1">
        <v>999999999</v>
      </c>
      <c r="H9" s="1">
        <v>0.02</v>
      </c>
      <c r="J9" s="1" t="s">
        <v>3205</v>
      </c>
      <c r="L9" s="1" t="s">
        <v>3205</v>
      </c>
    </row>
    <row r="10" spans="1:12">
      <c r="B10" s="1" t="s">
        <v>3235</v>
      </c>
      <c r="C10" s="1" t="s">
        <v>3242</v>
      </c>
      <c r="D10" s="1">
        <v>6</v>
      </c>
      <c r="E10" s="1" t="s">
        <v>547</v>
      </c>
      <c r="F10" s="1">
        <v>100000</v>
      </c>
      <c r="G10" s="1">
        <v>300000</v>
      </c>
      <c r="H10" s="1">
        <v>0.01</v>
      </c>
      <c r="J10" s="1" t="s">
        <v>3205</v>
      </c>
      <c r="L10" s="1" t="s">
        <v>3205</v>
      </c>
    </row>
    <row r="11" spans="1:12">
      <c r="B11" s="1" t="s">
        <v>3235</v>
      </c>
      <c r="C11" s="1" t="s">
        <v>3242</v>
      </c>
      <c r="D11" s="1">
        <v>6</v>
      </c>
      <c r="E11" s="1" t="s">
        <v>548</v>
      </c>
      <c r="F11" s="1">
        <v>300000</v>
      </c>
      <c r="G11" s="1">
        <v>999999999</v>
      </c>
      <c r="H11" s="1">
        <v>0.02</v>
      </c>
      <c r="J11" s="1" t="s">
        <v>3205</v>
      </c>
      <c r="L11" s="1" t="s">
        <v>3205</v>
      </c>
    </row>
    <row r="12" spans="1:12">
      <c r="B12" s="1" t="s">
        <v>3253</v>
      </c>
      <c r="C12" s="1" t="s">
        <v>3254</v>
      </c>
      <c r="D12" s="1">
        <v>6</v>
      </c>
      <c r="E12" s="1" t="s">
        <v>547</v>
      </c>
      <c r="F12" s="1">
        <v>10000</v>
      </c>
      <c r="G12" s="1">
        <v>20000</v>
      </c>
      <c r="H12" s="1">
        <v>0.01</v>
      </c>
      <c r="J12" s="1" t="s">
        <v>3205</v>
      </c>
      <c r="L12" s="1" t="s">
        <v>3205</v>
      </c>
    </row>
    <row r="13" spans="1:12">
      <c r="B13" s="1" t="s">
        <v>3253</v>
      </c>
      <c r="C13" s="1" t="s">
        <v>3254</v>
      </c>
      <c r="D13" s="1">
        <v>6</v>
      </c>
      <c r="E13" s="1" t="s">
        <v>548</v>
      </c>
      <c r="F13" s="1">
        <v>20000</v>
      </c>
      <c r="G13" s="1">
        <v>30000</v>
      </c>
      <c r="H13" s="1">
        <v>0.02</v>
      </c>
      <c r="J13" s="1" t="s">
        <v>3205</v>
      </c>
      <c r="L13" s="1" t="s">
        <v>3205</v>
      </c>
    </row>
    <row r="14" spans="1:12">
      <c r="B14" s="1" t="s">
        <v>3253</v>
      </c>
      <c r="C14" s="1" t="s">
        <v>3254</v>
      </c>
      <c r="D14" s="1">
        <v>6</v>
      </c>
      <c r="E14" s="1" t="s">
        <v>3252</v>
      </c>
      <c r="F14" s="1">
        <v>30000</v>
      </c>
      <c r="G14" s="1">
        <v>999999999</v>
      </c>
      <c r="H14" s="1">
        <v>0.03</v>
      </c>
      <c r="J14" s="1" t="s">
        <v>3205</v>
      </c>
      <c r="L14" s="1" t="s">
        <v>3205</v>
      </c>
    </row>
    <row r="15" spans="1:12">
      <c r="B15" s="1" t="s">
        <v>3253</v>
      </c>
      <c r="C15" s="1" t="s">
        <v>3254</v>
      </c>
      <c r="D15" s="1">
        <v>10</v>
      </c>
      <c r="E15" s="1" t="s">
        <v>547</v>
      </c>
      <c r="F15" s="1">
        <v>5000</v>
      </c>
      <c r="G15" s="1">
        <v>10000</v>
      </c>
      <c r="H15" s="1">
        <v>0.01</v>
      </c>
      <c r="J15" s="1" t="s">
        <v>3205</v>
      </c>
      <c r="L15" s="1" t="s">
        <v>3205</v>
      </c>
    </row>
    <row r="16" spans="1:12">
      <c r="B16" s="1" t="s">
        <v>3253</v>
      </c>
      <c r="C16" s="1" t="s">
        <v>3254</v>
      </c>
      <c r="D16" s="1">
        <v>10</v>
      </c>
      <c r="E16" s="1" t="s">
        <v>548</v>
      </c>
      <c r="F16" s="1">
        <v>10000</v>
      </c>
      <c r="G16" s="1">
        <v>15000</v>
      </c>
      <c r="H16" s="1">
        <v>0.02</v>
      </c>
      <c r="J16" s="1" t="s">
        <v>3205</v>
      </c>
      <c r="L16" s="1" t="s">
        <v>3205</v>
      </c>
    </row>
    <row r="17" spans="2:12">
      <c r="B17" s="1" t="s">
        <v>3253</v>
      </c>
      <c r="C17" s="1" t="s">
        <v>3254</v>
      </c>
      <c r="D17" s="1">
        <v>10</v>
      </c>
      <c r="E17" s="1" t="s">
        <v>3252</v>
      </c>
      <c r="F17" s="1">
        <v>15000</v>
      </c>
      <c r="G17" s="1">
        <v>999999999</v>
      </c>
      <c r="H17" s="1">
        <v>0.03</v>
      </c>
      <c r="J17" s="1" t="s">
        <v>3205</v>
      </c>
      <c r="L17" s="1" t="s">
        <v>3205</v>
      </c>
    </row>
    <row r="18" spans="2:12">
      <c r="B18" s="1" t="s">
        <v>3253</v>
      </c>
      <c r="C18" s="1" t="s">
        <v>3254</v>
      </c>
      <c r="D18" s="1">
        <v>20</v>
      </c>
      <c r="E18" s="1" t="s">
        <v>547</v>
      </c>
      <c r="F18" s="1">
        <v>5000</v>
      </c>
      <c r="G18" s="1">
        <v>10000</v>
      </c>
      <c r="H18" s="1">
        <v>0.01</v>
      </c>
      <c r="J18" s="1" t="s">
        <v>3205</v>
      </c>
      <c r="L18" s="1" t="s">
        <v>3205</v>
      </c>
    </row>
    <row r="19" spans="2:12">
      <c r="B19" s="1" t="s">
        <v>3253</v>
      </c>
      <c r="C19" s="1" t="s">
        <v>3254</v>
      </c>
      <c r="D19" s="1">
        <v>20</v>
      </c>
      <c r="E19" s="1" t="s">
        <v>548</v>
      </c>
      <c r="F19" s="1">
        <v>10000</v>
      </c>
      <c r="G19" s="1">
        <v>15000</v>
      </c>
      <c r="H19" s="1">
        <v>0.02</v>
      </c>
      <c r="J19" s="1" t="s">
        <v>3205</v>
      </c>
      <c r="L19" s="1" t="s">
        <v>3205</v>
      </c>
    </row>
    <row r="20" spans="2:12">
      <c r="B20" s="1" t="s">
        <v>3253</v>
      </c>
      <c r="C20" s="1" t="s">
        <v>3254</v>
      </c>
      <c r="D20" s="1">
        <v>20</v>
      </c>
      <c r="E20" s="1" t="s">
        <v>3252</v>
      </c>
      <c r="F20" s="1">
        <v>15000</v>
      </c>
      <c r="G20" s="1">
        <v>999999999</v>
      </c>
      <c r="H20" s="1">
        <v>0.03</v>
      </c>
      <c r="J20" s="1" t="s">
        <v>3205</v>
      </c>
      <c r="L20" s="1" t="s">
        <v>3205</v>
      </c>
    </row>
    <row r="21" spans="2:12">
      <c r="B21" s="1" t="s">
        <v>3255</v>
      </c>
      <c r="C21" s="1" t="s">
        <v>3254</v>
      </c>
      <c r="D21" s="1">
        <v>6</v>
      </c>
      <c r="E21" s="1" t="s">
        <v>547</v>
      </c>
      <c r="F21" s="1">
        <v>10000</v>
      </c>
      <c r="G21" s="1">
        <v>20000</v>
      </c>
      <c r="H21" s="1">
        <v>0.01</v>
      </c>
      <c r="J21" s="1" t="s">
        <v>3205</v>
      </c>
      <c r="L21" s="1" t="s">
        <v>3205</v>
      </c>
    </row>
    <row r="22" spans="2:12">
      <c r="B22" s="1" t="s">
        <v>3255</v>
      </c>
      <c r="C22" s="1" t="s">
        <v>3254</v>
      </c>
      <c r="D22" s="1">
        <v>6</v>
      </c>
      <c r="E22" s="1" t="s">
        <v>548</v>
      </c>
      <c r="F22" s="1">
        <v>20000</v>
      </c>
      <c r="G22" s="1">
        <v>30000</v>
      </c>
      <c r="H22" s="1">
        <v>0.02</v>
      </c>
      <c r="J22" s="1" t="s">
        <v>3205</v>
      </c>
      <c r="L22" s="1" t="s">
        <v>3205</v>
      </c>
    </row>
    <row r="23" spans="2:12">
      <c r="B23" s="1" t="s">
        <v>3255</v>
      </c>
      <c r="C23" s="1" t="s">
        <v>3254</v>
      </c>
      <c r="D23" s="1">
        <v>6</v>
      </c>
      <c r="E23" s="1" t="s">
        <v>3252</v>
      </c>
      <c r="F23" s="1">
        <v>30000</v>
      </c>
      <c r="G23" s="1">
        <v>999999999</v>
      </c>
      <c r="H23" s="1">
        <v>0.03</v>
      </c>
      <c r="J23" s="1" t="s">
        <v>3205</v>
      </c>
      <c r="L23" s="1" t="s">
        <v>3205</v>
      </c>
    </row>
    <row r="24" spans="2:12">
      <c r="B24" s="1" t="s">
        <v>3255</v>
      </c>
      <c r="C24" s="1" t="s">
        <v>3254</v>
      </c>
      <c r="D24" s="1">
        <v>10</v>
      </c>
      <c r="E24" s="1" t="s">
        <v>547</v>
      </c>
      <c r="F24" s="1">
        <v>5000</v>
      </c>
      <c r="G24" s="1">
        <v>10000</v>
      </c>
      <c r="H24" s="1">
        <v>0.01</v>
      </c>
      <c r="J24" s="1" t="s">
        <v>3205</v>
      </c>
      <c r="L24" s="1" t="s">
        <v>3205</v>
      </c>
    </row>
    <row r="25" spans="2:12">
      <c r="B25" s="1" t="s">
        <v>3255</v>
      </c>
      <c r="C25" s="1" t="s">
        <v>3254</v>
      </c>
      <c r="D25" s="1">
        <v>10</v>
      </c>
      <c r="E25" s="1" t="s">
        <v>548</v>
      </c>
      <c r="F25" s="1">
        <v>10000</v>
      </c>
      <c r="G25" s="1">
        <v>15000</v>
      </c>
      <c r="H25" s="1">
        <v>0.02</v>
      </c>
      <c r="J25" s="1" t="s">
        <v>3205</v>
      </c>
      <c r="L25" s="1" t="s">
        <v>3205</v>
      </c>
    </row>
    <row r="26" spans="2:12">
      <c r="B26" s="1" t="s">
        <v>3255</v>
      </c>
      <c r="C26" s="1" t="s">
        <v>3254</v>
      </c>
      <c r="D26" s="1">
        <v>10</v>
      </c>
      <c r="E26" s="1" t="s">
        <v>3252</v>
      </c>
      <c r="F26" s="1">
        <v>15000</v>
      </c>
      <c r="G26" s="1">
        <v>999999999</v>
      </c>
      <c r="H26" s="1">
        <v>0.03</v>
      </c>
      <c r="J26" s="1" t="s">
        <v>3205</v>
      </c>
      <c r="L26" s="1" t="s">
        <v>3205</v>
      </c>
    </row>
    <row r="27" spans="2:12">
      <c r="B27" s="1" t="s">
        <v>3255</v>
      </c>
      <c r="C27" s="1" t="s">
        <v>3254</v>
      </c>
      <c r="D27" s="1">
        <v>20</v>
      </c>
      <c r="E27" s="1" t="s">
        <v>547</v>
      </c>
      <c r="F27" s="1">
        <v>5000</v>
      </c>
      <c r="G27" s="1">
        <v>10000</v>
      </c>
      <c r="H27" s="1">
        <v>0.01</v>
      </c>
      <c r="J27" s="1" t="s">
        <v>3205</v>
      </c>
      <c r="L27" s="1" t="s">
        <v>3205</v>
      </c>
    </row>
    <row r="28" spans="2:12">
      <c r="B28" s="1" t="s">
        <v>3255</v>
      </c>
      <c r="C28" s="1" t="s">
        <v>3254</v>
      </c>
      <c r="D28" s="1">
        <v>20</v>
      </c>
      <c r="E28" s="1" t="s">
        <v>548</v>
      </c>
      <c r="F28" s="1">
        <v>10000</v>
      </c>
      <c r="G28" s="1">
        <v>15000</v>
      </c>
      <c r="H28" s="1">
        <v>0.02</v>
      </c>
      <c r="J28" s="1" t="s">
        <v>3205</v>
      </c>
      <c r="L28" s="1" t="s">
        <v>3205</v>
      </c>
    </row>
    <row r="29" spans="2:12">
      <c r="B29" s="1" t="s">
        <v>3255</v>
      </c>
      <c r="C29" s="1" t="s">
        <v>3254</v>
      </c>
      <c r="D29" s="1">
        <v>20</v>
      </c>
      <c r="E29" s="1" t="s">
        <v>3252</v>
      </c>
      <c r="F29" s="1">
        <v>15000</v>
      </c>
      <c r="G29" s="1">
        <v>999999999</v>
      </c>
      <c r="H29" s="1">
        <v>0.03</v>
      </c>
      <c r="J29" s="1" t="s">
        <v>3205</v>
      </c>
      <c r="L29" s="1" t="s">
        <v>3205</v>
      </c>
    </row>
    <row r="30" spans="2:12">
      <c r="B30" s="1" t="s">
        <v>3256</v>
      </c>
      <c r="C30" s="1" t="s">
        <v>3254</v>
      </c>
      <c r="D30" s="1">
        <v>6</v>
      </c>
      <c r="E30" s="1" t="s">
        <v>547</v>
      </c>
      <c r="F30" s="1">
        <v>10000</v>
      </c>
      <c r="G30" s="1">
        <v>20000</v>
      </c>
      <c r="H30" s="1">
        <v>0.01</v>
      </c>
      <c r="J30" s="1" t="s">
        <v>3205</v>
      </c>
      <c r="L30" s="1" t="s">
        <v>3205</v>
      </c>
    </row>
    <row r="31" spans="2:12">
      <c r="B31" s="1" t="s">
        <v>3256</v>
      </c>
      <c r="C31" s="1" t="s">
        <v>3254</v>
      </c>
      <c r="D31" s="1">
        <v>6</v>
      </c>
      <c r="E31" s="1" t="s">
        <v>548</v>
      </c>
      <c r="F31" s="1">
        <v>20000</v>
      </c>
      <c r="G31" s="1">
        <v>30000</v>
      </c>
      <c r="H31" s="1">
        <v>0.02</v>
      </c>
      <c r="J31" s="1" t="s">
        <v>3205</v>
      </c>
      <c r="L31" s="1" t="s">
        <v>3205</v>
      </c>
    </row>
    <row r="32" spans="2:12">
      <c r="B32" s="1" t="s">
        <v>3256</v>
      </c>
      <c r="C32" s="1" t="s">
        <v>3254</v>
      </c>
      <c r="D32" s="1">
        <v>6</v>
      </c>
      <c r="E32" s="1" t="s">
        <v>3252</v>
      </c>
      <c r="F32" s="1">
        <v>30000</v>
      </c>
      <c r="G32" s="1">
        <v>999999999</v>
      </c>
      <c r="H32" s="1">
        <v>0.03</v>
      </c>
      <c r="J32" s="1" t="s">
        <v>3205</v>
      </c>
      <c r="L32" s="1" t="s">
        <v>3205</v>
      </c>
    </row>
    <row r="33" spans="2:12">
      <c r="B33" s="1" t="s">
        <v>3256</v>
      </c>
      <c r="C33" s="1" t="s">
        <v>3254</v>
      </c>
      <c r="D33" s="1">
        <v>10</v>
      </c>
      <c r="E33" s="1" t="s">
        <v>547</v>
      </c>
      <c r="F33" s="1">
        <v>5000</v>
      </c>
      <c r="G33" s="1">
        <v>10000</v>
      </c>
      <c r="H33" s="1">
        <v>0.01</v>
      </c>
      <c r="J33" s="1" t="s">
        <v>3205</v>
      </c>
      <c r="L33" s="1" t="s">
        <v>3205</v>
      </c>
    </row>
    <row r="34" spans="2:12">
      <c r="B34" s="1" t="s">
        <v>3256</v>
      </c>
      <c r="C34" s="1" t="s">
        <v>3254</v>
      </c>
      <c r="D34" s="1">
        <v>10</v>
      </c>
      <c r="E34" s="1" t="s">
        <v>548</v>
      </c>
      <c r="F34" s="1">
        <v>10000</v>
      </c>
      <c r="G34" s="1">
        <v>15000</v>
      </c>
      <c r="H34" s="1">
        <v>0.02</v>
      </c>
      <c r="J34" s="1" t="s">
        <v>3205</v>
      </c>
      <c r="L34" s="1" t="s">
        <v>3205</v>
      </c>
    </row>
    <row r="35" spans="2:12">
      <c r="B35" s="1" t="s">
        <v>3256</v>
      </c>
      <c r="C35" s="1" t="s">
        <v>3254</v>
      </c>
      <c r="D35" s="1">
        <v>10</v>
      </c>
      <c r="E35" s="1" t="s">
        <v>3252</v>
      </c>
      <c r="F35" s="1">
        <v>15000</v>
      </c>
      <c r="G35" s="1">
        <v>999999999</v>
      </c>
      <c r="H35" s="1">
        <v>0.03</v>
      </c>
      <c r="J35" s="1" t="s">
        <v>3205</v>
      </c>
      <c r="L35" s="1" t="s">
        <v>3205</v>
      </c>
    </row>
    <row r="36" spans="2:12">
      <c r="B36" s="1" t="s">
        <v>3256</v>
      </c>
      <c r="C36" s="1" t="s">
        <v>3254</v>
      </c>
      <c r="D36" s="1">
        <v>20</v>
      </c>
      <c r="E36" s="1" t="s">
        <v>547</v>
      </c>
      <c r="F36" s="1">
        <v>5000</v>
      </c>
      <c r="G36" s="1">
        <v>10000</v>
      </c>
      <c r="H36" s="1">
        <v>0.01</v>
      </c>
      <c r="J36" s="1" t="s">
        <v>3205</v>
      </c>
      <c r="L36" s="1" t="s">
        <v>3205</v>
      </c>
    </row>
    <row r="37" spans="2:12">
      <c r="B37" s="1" t="s">
        <v>3256</v>
      </c>
      <c r="C37" s="1" t="s">
        <v>3254</v>
      </c>
      <c r="D37" s="1">
        <v>20</v>
      </c>
      <c r="E37" s="1" t="s">
        <v>548</v>
      </c>
      <c r="F37" s="1">
        <v>10000</v>
      </c>
      <c r="G37" s="1">
        <v>15000</v>
      </c>
      <c r="H37" s="1">
        <v>0.02</v>
      </c>
      <c r="J37" s="1" t="s">
        <v>3205</v>
      </c>
      <c r="L37" s="1" t="s">
        <v>3205</v>
      </c>
    </row>
    <row r="38" spans="2:12">
      <c r="B38" s="1" t="s">
        <v>3256</v>
      </c>
      <c r="C38" s="1" t="s">
        <v>3254</v>
      </c>
      <c r="D38" s="1">
        <v>20</v>
      </c>
      <c r="E38" s="1" t="s">
        <v>3252</v>
      </c>
      <c r="F38" s="1">
        <v>15000</v>
      </c>
      <c r="G38" s="1">
        <v>999999999</v>
      </c>
      <c r="H38" s="1">
        <v>0.03</v>
      </c>
      <c r="J38" s="1" t="s">
        <v>3205</v>
      </c>
      <c r="L38" s="1" t="s">
        <v>3205</v>
      </c>
    </row>
    <row r="39" spans="2:12">
      <c r="B39" s="1" t="s">
        <v>3881</v>
      </c>
      <c r="C39" s="1" t="s">
        <v>3882</v>
      </c>
      <c r="D39" s="1">
        <v>6</v>
      </c>
      <c r="E39" s="1" t="s">
        <v>547</v>
      </c>
      <c r="F39" s="1">
        <v>6000</v>
      </c>
      <c r="G39" s="1">
        <v>9000</v>
      </c>
      <c r="H39" s="1">
        <v>0.01</v>
      </c>
      <c r="J39" s="1" t="s">
        <v>3205</v>
      </c>
      <c r="L39" s="1" t="s">
        <v>3205</v>
      </c>
    </row>
    <row r="40" spans="2:12">
      <c r="B40" s="1" t="s">
        <v>3881</v>
      </c>
      <c r="C40" s="1" t="s">
        <v>3882</v>
      </c>
      <c r="D40" s="1">
        <v>6</v>
      </c>
      <c r="E40" s="1" t="s">
        <v>548</v>
      </c>
      <c r="F40" s="1">
        <v>9000</v>
      </c>
      <c r="G40" s="1">
        <v>16000</v>
      </c>
      <c r="H40" s="1">
        <v>0.02</v>
      </c>
      <c r="J40" s="1" t="s">
        <v>3205</v>
      </c>
      <c r="L40" s="1" t="s">
        <v>3205</v>
      </c>
    </row>
    <row r="41" spans="2:12">
      <c r="B41" s="1" t="s">
        <v>3881</v>
      </c>
      <c r="C41" s="1" t="s">
        <v>3882</v>
      </c>
      <c r="D41" s="1">
        <v>6</v>
      </c>
      <c r="E41" s="1" t="s">
        <v>3252</v>
      </c>
      <c r="F41" s="1">
        <v>16000</v>
      </c>
      <c r="G41" s="1">
        <v>999999999</v>
      </c>
      <c r="H41" s="1">
        <v>0.03</v>
      </c>
      <c r="J41" s="1" t="s">
        <v>3205</v>
      </c>
      <c r="L41" s="1" t="s">
        <v>3205</v>
      </c>
    </row>
    <row r="42" spans="2:12">
      <c r="B42" s="1" t="s">
        <v>3881</v>
      </c>
      <c r="C42" s="1" t="s">
        <v>3882</v>
      </c>
      <c r="D42" s="1">
        <v>8</v>
      </c>
      <c r="E42" s="1" t="s">
        <v>547</v>
      </c>
      <c r="F42" s="1">
        <v>6000</v>
      </c>
      <c r="G42" s="1">
        <v>9000</v>
      </c>
      <c r="H42" s="1">
        <v>0.01</v>
      </c>
      <c r="J42" s="1" t="s">
        <v>3205</v>
      </c>
      <c r="L42" s="1" t="s">
        <v>3205</v>
      </c>
    </row>
    <row r="43" spans="2:12">
      <c r="B43" s="1" t="s">
        <v>3881</v>
      </c>
      <c r="C43" s="1" t="s">
        <v>3882</v>
      </c>
      <c r="D43" s="1">
        <v>8</v>
      </c>
      <c r="E43" s="1" t="s">
        <v>548</v>
      </c>
      <c r="F43" s="1">
        <v>9000</v>
      </c>
      <c r="G43" s="1">
        <v>16000</v>
      </c>
      <c r="H43" s="1">
        <v>0.02</v>
      </c>
      <c r="J43" s="1" t="s">
        <v>3205</v>
      </c>
      <c r="L43" s="1" t="s">
        <v>3205</v>
      </c>
    </row>
    <row r="44" spans="2:12">
      <c r="B44" s="1" t="s">
        <v>3881</v>
      </c>
      <c r="C44" s="1" t="s">
        <v>3882</v>
      </c>
      <c r="D44" s="1">
        <v>8</v>
      </c>
      <c r="E44" s="1" t="s">
        <v>3252</v>
      </c>
      <c r="F44" s="1">
        <v>16000</v>
      </c>
      <c r="G44" s="1">
        <v>999999999</v>
      </c>
      <c r="H44" s="1">
        <v>0.03</v>
      </c>
      <c r="J44" s="1" t="s">
        <v>3205</v>
      </c>
      <c r="L44" s="1" t="s">
        <v>3205</v>
      </c>
    </row>
    <row r="45" spans="2:12">
      <c r="B45" s="1" t="s">
        <v>3881</v>
      </c>
      <c r="C45" s="1" t="s">
        <v>3882</v>
      </c>
      <c r="D45" s="1">
        <v>10</v>
      </c>
      <c r="E45" s="1" t="s">
        <v>547</v>
      </c>
      <c r="F45" s="1">
        <v>3000</v>
      </c>
      <c r="G45" s="1">
        <v>6000</v>
      </c>
      <c r="H45" s="1">
        <v>0.01</v>
      </c>
      <c r="J45" s="1" t="s">
        <v>3205</v>
      </c>
      <c r="L45" s="1" t="s">
        <v>3205</v>
      </c>
    </row>
    <row r="46" spans="2:12">
      <c r="B46" s="1" t="s">
        <v>3881</v>
      </c>
      <c r="C46" s="1" t="s">
        <v>3882</v>
      </c>
      <c r="D46" s="1">
        <v>10</v>
      </c>
      <c r="E46" s="1" t="s">
        <v>548</v>
      </c>
      <c r="F46" s="1">
        <v>6000</v>
      </c>
      <c r="G46" s="1">
        <v>9000</v>
      </c>
      <c r="H46" s="1">
        <v>0.02</v>
      </c>
      <c r="J46" s="1" t="s">
        <v>3205</v>
      </c>
      <c r="L46" s="1" t="s">
        <v>3205</v>
      </c>
    </row>
    <row r="47" spans="2:12">
      <c r="B47" s="1" t="s">
        <v>3881</v>
      </c>
      <c r="C47" s="1" t="s">
        <v>3882</v>
      </c>
      <c r="D47" s="1">
        <v>10</v>
      </c>
      <c r="E47" s="1" t="s">
        <v>3252</v>
      </c>
      <c r="F47" s="1">
        <v>9000</v>
      </c>
      <c r="G47" s="1">
        <v>999999999</v>
      </c>
      <c r="H47" s="1">
        <v>0.03</v>
      </c>
      <c r="J47" s="1" t="s">
        <v>3205</v>
      </c>
      <c r="L47" s="1" t="s">
        <v>3205</v>
      </c>
    </row>
    <row r="48" spans="2:12">
      <c r="B48" s="1" t="s">
        <v>3881</v>
      </c>
      <c r="C48" s="1" t="s">
        <v>3882</v>
      </c>
      <c r="D48" s="1">
        <v>12</v>
      </c>
      <c r="E48" s="1" t="s">
        <v>547</v>
      </c>
      <c r="F48" s="1">
        <v>3000</v>
      </c>
      <c r="G48" s="1">
        <v>6000</v>
      </c>
      <c r="H48" s="1">
        <v>0.01</v>
      </c>
      <c r="J48" s="1" t="s">
        <v>3205</v>
      </c>
      <c r="L48" s="1" t="s">
        <v>3205</v>
      </c>
    </row>
    <row r="49" spans="2:12">
      <c r="B49" s="1" t="s">
        <v>3881</v>
      </c>
      <c r="C49" s="1" t="s">
        <v>3882</v>
      </c>
      <c r="D49" s="1">
        <v>12</v>
      </c>
      <c r="E49" s="1" t="s">
        <v>548</v>
      </c>
      <c r="F49" s="1">
        <v>6000</v>
      </c>
      <c r="G49" s="1">
        <v>9000</v>
      </c>
      <c r="H49" s="1">
        <v>0.02</v>
      </c>
      <c r="J49" s="1" t="s">
        <v>3205</v>
      </c>
      <c r="L49" s="1" t="s">
        <v>3205</v>
      </c>
    </row>
    <row r="50" spans="2:12">
      <c r="B50" s="1" t="s">
        <v>3881</v>
      </c>
      <c r="C50" s="1" t="s">
        <v>3882</v>
      </c>
      <c r="D50" s="1">
        <v>12</v>
      </c>
      <c r="E50" s="1" t="s">
        <v>3252</v>
      </c>
      <c r="F50" s="1">
        <v>9000</v>
      </c>
      <c r="G50" s="1">
        <v>999999999</v>
      </c>
      <c r="H50" s="1">
        <v>0.03</v>
      </c>
      <c r="J50" s="1" t="s">
        <v>3205</v>
      </c>
      <c r="L50" s="1" t="s">
        <v>3205</v>
      </c>
    </row>
    <row r="51" spans="2:12">
      <c r="B51" s="1" t="s">
        <v>3881</v>
      </c>
      <c r="C51" s="1" t="s">
        <v>3882</v>
      </c>
      <c r="D51" s="1">
        <v>20</v>
      </c>
      <c r="E51" s="1" t="s">
        <v>547</v>
      </c>
      <c r="F51" s="1">
        <v>1500</v>
      </c>
      <c r="G51" s="1">
        <v>3000</v>
      </c>
      <c r="H51" s="1">
        <v>0.01</v>
      </c>
      <c r="J51" s="1" t="s">
        <v>3205</v>
      </c>
      <c r="L51" s="1" t="s">
        <v>3205</v>
      </c>
    </row>
    <row r="52" spans="2:12">
      <c r="B52" s="1" t="s">
        <v>3881</v>
      </c>
      <c r="C52" s="1" t="s">
        <v>3882</v>
      </c>
      <c r="D52" s="1">
        <v>20</v>
      </c>
      <c r="E52" s="1" t="s">
        <v>548</v>
      </c>
      <c r="F52" s="1">
        <v>3000</v>
      </c>
      <c r="G52" s="1">
        <v>6000</v>
      </c>
      <c r="H52" s="1">
        <v>0.02</v>
      </c>
      <c r="J52" s="1" t="s">
        <v>3205</v>
      </c>
      <c r="L52" s="1" t="s">
        <v>3205</v>
      </c>
    </row>
    <row r="53" spans="2:12">
      <c r="B53" s="1" t="s">
        <v>3881</v>
      </c>
      <c r="C53" s="1" t="s">
        <v>3882</v>
      </c>
      <c r="D53" s="1">
        <v>20</v>
      </c>
      <c r="E53" s="1" t="s">
        <v>3252</v>
      </c>
      <c r="F53" s="1">
        <v>6000</v>
      </c>
      <c r="G53" s="1">
        <v>999999999</v>
      </c>
      <c r="H53" s="1">
        <v>0.03</v>
      </c>
      <c r="J53" s="1" t="s">
        <v>3205</v>
      </c>
      <c r="L53" s="1" t="s">
        <v>3205</v>
      </c>
    </row>
    <row r="54" spans="2:12">
      <c r="B54" s="1" t="s">
        <v>3883</v>
      </c>
      <c r="C54" s="1" t="s">
        <v>3882</v>
      </c>
      <c r="D54" s="1">
        <v>10</v>
      </c>
      <c r="E54" s="1" t="s">
        <v>547</v>
      </c>
      <c r="F54" s="1">
        <v>100000</v>
      </c>
      <c r="G54" s="1">
        <v>200000</v>
      </c>
      <c r="H54" s="1">
        <v>0.01</v>
      </c>
      <c r="J54" s="1" t="s">
        <v>3205</v>
      </c>
      <c r="L54" s="1" t="s">
        <v>3205</v>
      </c>
    </row>
    <row r="55" spans="2:12">
      <c r="B55" s="1" t="s">
        <v>3883</v>
      </c>
      <c r="C55" s="1" t="s">
        <v>3882</v>
      </c>
      <c r="D55" s="1">
        <v>10</v>
      </c>
      <c r="E55" s="1" t="s">
        <v>548</v>
      </c>
      <c r="F55" s="1">
        <v>200000</v>
      </c>
      <c r="G55" s="1">
        <v>300000</v>
      </c>
      <c r="H55" s="1">
        <v>0.02</v>
      </c>
      <c r="J55" s="1" t="s">
        <v>3205</v>
      </c>
      <c r="L55" s="1" t="s">
        <v>3205</v>
      </c>
    </row>
    <row r="56" spans="2:12">
      <c r="B56" s="1" t="s">
        <v>3883</v>
      </c>
      <c r="C56" s="1" t="s">
        <v>3882</v>
      </c>
      <c r="D56" s="1">
        <v>10</v>
      </c>
      <c r="E56" s="1" t="s">
        <v>3252</v>
      </c>
      <c r="F56" s="1">
        <v>300000</v>
      </c>
      <c r="G56" s="1">
        <v>999999999</v>
      </c>
      <c r="H56" s="1">
        <v>0.03</v>
      </c>
      <c r="J56" s="1" t="s">
        <v>3205</v>
      </c>
      <c r="L56" s="1" t="s">
        <v>3205</v>
      </c>
    </row>
    <row r="57" spans="2:12">
      <c r="B57" s="1" t="s">
        <v>3883</v>
      </c>
      <c r="C57" s="1" t="s">
        <v>3882</v>
      </c>
      <c r="D57" s="1">
        <v>15</v>
      </c>
      <c r="E57" s="1" t="s">
        <v>547</v>
      </c>
      <c r="F57" s="1">
        <v>50000</v>
      </c>
      <c r="G57" s="1">
        <v>100000</v>
      </c>
      <c r="H57" s="1">
        <v>0.01</v>
      </c>
      <c r="J57" s="1" t="s">
        <v>3205</v>
      </c>
      <c r="L57" s="1" t="s">
        <v>3205</v>
      </c>
    </row>
    <row r="58" spans="2:12">
      <c r="B58" s="1" t="s">
        <v>3883</v>
      </c>
      <c r="C58" s="1" t="s">
        <v>3882</v>
      </c>
      <c r="D58" s="1">
        <v>15</v>
      </c>
      <c r="E58" s="1" t="s">
        <v>548</v>
      </c>
      <c r="F58" s="1">
        <v>100000</v>
      </c>
      <c r="G58" s="1">
        <v>200000</v>
      </c>
      <c r="H58" s="1">
        <v>0.02</v>
      </c>
      <c r="J58" s="1" t="s">
        <v>3205</v>
      </c>
      <c r="L58" s="1" t="s">
        <v>3205</v>
      </c>
    </row>
    <row r="59" spans="2:12">
      <c r="B59" s="1" t="s">
        <v>3883</v>
      </c>
      <c r="C59" s="1" t="s">
        <v>3882</v>
      </c>
      <c r="D59" s="1">
        <v>15</v>
      </c>
      <c r="E59" s="1" t="s">
        <v>3252</v>
      </c>
      <c r="F59" s="1">
        <v>200000</v>
      </c>
      <c r="G59" s="1">
        <v>999999999</v>
      </c>
      <c r="H59" s="1">
        <v>0.03</v>
      </c>
      <c r="J59" s="1" t="s">
        <v>3205</v>
      </c>
      <c r="L59" s="1" t="s">
        <v>3205</v>
      </c>
    </row>
    <row r="60" spans="2:12">
      <c r="B60" s="1" t="s">
        <v>3883</v>
      </c>
      <c r="C60" s="1" t="s">
        <v>3882</v>
      </c>
      <c r="D60" s="1">
        <v>20</v>
      </c>
      <c r="E60" s="1" t="s">
        <v>547</v>
      </c>
      <c r="F60" s="1">
        <v>50000</v>
      </c>
      <c r="G60" s="1">
        <v>100000</v>
      </c>
      <c r="H60" s="1">
        <v>0.01</v>
      </c>
      <c r="J60" s="1" t="s">
        <v>3205</v>
      </c>
      <c r="L60" s="1" t="s">
        <v>3205</v>
      </c>
    </row>
    <row r="61" spans="2:12">
      <c r="B61" s="1" t="s">
        <v>3883</v>
      </c>
      <c r="C61" s="1" t="s">
        <v>3882</v>
      </c>
      <c r="D61" s="1">
        <v>20</v>
      </c>
      <c r="E61" s="1" t="s">
        <v>548</v>
      </c>
      <c r="F61" s="1">
        <v>100000</v>
      </c>
      <c r="G61" s="1">
        <v>200000</v>
      </c>
      <c r="H61" s="1">
        <v>0.02</v>
      </c>
      <c r="J61" s="1" t="s">
        <v>3205</v>
      </c>
      <c r="L61" s="1" t="s">
        <v>3205</v>
      </c>
    </row>
    <row r="62" spans="2:12">
      <c r="B62" s="1" t="s">
        <v>3883</v>
      </c>
      <c r="C62" s="1" t="s">
        <v>3882</v>
      </c>
      <c r="D62" s="1">
        <v>20</v>
      </c>
      <c r="E62" s="1" t="s">
        <v>3252</v>
      </c>
      <c r="F62" s="1">
        <v>200000</v>
      </c>
      <c r="G62" s="1">
        <v>999999999</v>
      </c>
      <c r="H62" s="1">
        <v>0.03</v>
      </c>
      <c r="J62" s="1" t="s">
        <v>3205</v>
      </c>
      <c r="L62" s="1" t="s">
        <v>3205</v>
      </c>
    </row>
  </sheetData>
  <phoneticPr fontId="3" type="noConversion"/>
  <hyperlinks>
    <hyperlink ref="A1" location="目錄!A1" display="回到目錄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"/>
  <dimension ref="A1:S16"/>
  <sheetViews>
    <sheetView workbookViewId="0"/>
  </sheetViews>
  <sheetFormatPr defaultColWidth="11.1796875" defaultRowHeight="13.8"/>
  <cols>
    <col min="1" max="1" width="7.453125" style="10" bestFit="1" customWidth="1"/>
    <col min="2" max="2" width="4.36328125" style="14" bestFit="1" customWidth="1"/>
    <col min="3" max="3" width="11.90625" style="15" bestFit="1" customWidth="1"/>
    <col min="4" max="4" width="9.1796875" style="15" bestFit="1" customWidth="1"/>
    <col min="5" max="5" width="7.54296875" style="14" bestFit="1" customWidth="1"/>
    <col min="6" max="6" width="10" style="10" bestFit="1" customWidth="1"/>
    <col min="7" max="7" width="10.6328125" style="10" bestFit="1" customWidth="1"/>
    <col min="8" max="8" width="20.08984375" style="15" customWidth="1"/>
    <col min="9" max="9" width="10.08984375" style="15" bestFit="1" customWidth="1"/>
    <col min="10" max="11" width="6.1796875" style="10" customWidth="1"/>
    <col min="12" max="12" width="4.26953125" style="10" bestFit="1" customWidth="1"/>
    <col min="13" max="13" width="18.6328125" style="10" bestFit="1" customWidth="1"/>
    <col min="14" max="16384" width="11.1796875" style="10"/>
  </cols>
  <sheetData>
    <row r="1" spans="1:19" s="17" customFormat="1">
      <c r="A1" s="23" t="s">
        <v>36</v>
      </c>
      <c r="B1" s="5" t="s">
        <v>5</v>
      </c>
      <c r="C1" s="20" t="s">
        <v>3</v>
      </c>
      <c r="D1" s="20" t="s">
        <v>4</v>
      </c>
      <c r="E1" s="7" t="s">
        <v>6</v>
      </c>
      <c r="F1" s="8" t="s">
        <v>13</v>
      </c>
      <c r="G1" s="8" t="s">
        <v>7</v>
      </c>
      <c r="H1" s="9" t="s">
        <v>8</v>
      </c>
      <c r="I1" s="9" t="s">
        <v>139</v>
      </c>
      <c r="L1" s="72" t="s">
        <v>240</v>
      </c>
      <c r="M1" s="72" t="s">
        <v>486</v>
      </c>
      <c r="N1" s="72" t="s">
        <v>470</v>
      </c>
      <c r="O1" s="72" t="s">
        <v>471</v>
      </c>
      <c r="P1" s="72" t="s">
        <v>472</v>
      </c>
      <c r="Q1" s="72" t="s">
        <v>473</v>
      </c>
      <c r="R1" s="72" t="s">
        <v>474</v>
      </c>
      <c r="S1" s="73" t="s">
        <v>475</v>
      </c>
    </row>
    <row r="2" spans="1:19">
      <c r="B2" s="14" t="s">
        <v>14</v>
      </c>
      <c r="C2" s="13" t="s">
        <v>599</v>
      </c>
      <c r="D2" s="18" t="s">
        <v>24</v>
      </c>
      <c r="E2" s="11"/>
      <c r="F2" s="12"/>
      <c r="G2" s="12" t="s">
        <v>81</v>
      </c>
      <c r="L2" s="36"/>
      <c r="M2" s="34"/>
      <c r="N2" s="36" t="str">
        <f>"EXEC sp_dropextendedproperty @name = N'MS_Description', @level0type=N'SCHEMA',@level0name=N'"&amp;$L$1&amp;"', @level1type=N'TABLE',@level1name=N'"&amp;$M$1&amp;"', @level2type=N'COLUMN',@level2name=N'"&amp;$C2&amp;"'"</f>
        <v>EXEC sp_dropextendedproperty @name = N'MS_Description', @level0type=N'SCHEMA',@level0name=N'dbo', @level1type=N'TABLE',@level1name=N'LifeInsAddRuleMaster', @level2type=N'COLUMN',@level2name=N'PlanCode'</v>
      </c>
      <c r="O2" s="36" t="str">
        <f>"EXEC sp_dropextendedproperty @name = N'Rule', @level0type=N'SCHEMA',@level0name=N'"&amp;$L$1&amp;"', @level1type=N'TABLE',@level1name=N'"&amp;$M$1&amp;"', @level2type=N'COLUMN',@level2name=N'"&amp;$C2&amp;"'"</f>
        <v>EXEC sp_dropextendedproperty @name = N'Rule', @level0type=N'SCHEMA',@level0name=N'dbo', @level1type=N'TABLE',@level1name=N'LifeInsAddRuleMaster', @level2type=N'COLUMN',@level2name=N'PlanCode'</v>
      </c>
      <c r="P2" s="36" t="str">
        <f>"EXEC sp_dropextendedproperty @name = N'Memo', @level0type=N'SCHEMA',@level0name=N'"&amp;$L$1&amp;"', @level1type=N'TABLE',@level1name=N'"&amp;$M$1&amp;"', @level2type=N'COLUMN',@level2name=N'"&amp;$C2&amp;"'"</f>
        <v>EXEC sp_dropextendedproperty @name = N'Memo', @level0type=N'SCHEMA',@level0name=N'dbo', @level1type=N'TABLE',@level1name=N'LifeInsAddRuleMaster', @level2type=N'COLUMN',@level2name=N'PlanCode'</v>
      </c>
      <c r="Q2" s="36" t="str">
        <f>"set @OldWording = N'"&amp;SUBSTITUTE($G2,CHAR(10),"")&amp;"'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@level2type=N'COLUMN',@level2name=N'"&amp;$C2&amp;"'"</f>
        <v>set @OldWording = N'險種代碼' set @NewWording = REPLACE(@OldWording,'***',char(13)+char(10)) EXEC sys.sp_addextendedproperty @name=N'MS_Description', @value=@NewWording , @level0type=N'SCHEMA',@level0name=N'dbo', @level1type=N'TABLE',@level1name=N'LifeInsAddRuleMaster', @level2type=N'COLUMN',@level2name=N'PlanCode'</v>
      </c>
      <c r="R2" s="32" t="str">
        <f>"set @OldWording = N'"&amp;SUBSTITUTE($H2,CHAR(10),"")&amp;"'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@name=N'Rule', @value=@NewWording , @level0type=N'SCHEMA',@level0name=N'dbo', @level1type=N'TABLE',@level1name=N'LifeInsAddRuleMaster', @level2type=N'COLUMN',@level2name=N'PlanCode'</v>
      </c>
      <c r="S2" s="36" t="str">
        <f>"set @OldWording = N'"&amp;SUBSTITUTE($I2,CHAR(10),"")&amp;"' set @NewWording = REPLACE(@OldWording,'***',char(13)+char(10)) "&amp;"EXEC sys.sp_addextendedproperty @name=N'Memo',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@name=N'Memo', @value=@NewWording , @level0type=N'SCHEMA',@level0name=N'dbo', @level1type=N'TABLE',@level1name=N'LifeInsAddRuleMaster', @level2type=N'COLUMN',@level2name=N'PlanCode'</v>
      </c>
    </row>
    <row r="3" spans="1:19">
      <c r="B3" s="14" t="s">
        <v>14</v>
      </c>
      <c r="C3" s="13" t="s">
        <v>114</v>
      </c>
      <c r="D3" s="18" t="s">
        <v>24</v>
      </c>
      <c r="E3" s="11"/>
      <c r="F3" s="12"/>
      <c r="G3" s="12" t="s">
        <v>115</v>
      </c>
      <c r="I3" s="24"/>
    </row>
    <row r="4" spans="1:19">
      <c r="C4" s="15" t="s">
        <v>116</v>
      </c>
      <c r="D4" s="15" t="s">
        <v>21</v>
      </c>
      <c r="G4" s="10" t="s">
        <v>113</v>
      </c>
      <c r="H4" s="24"/>
      <c r="I4" s="10" t="s">
        <v>283</v>
      </c>
    </row>
    <row r="5" spans="1:19">
      <c r="C5" s="12" t="s">
        <v>69</v>
      </c>
      <c r="D5" s="12" t="s">
        <v>11</v>
      </c>
      <c r="E5" s="11" t="s">
        <v>16</v>
      </c>
      <c r="F5" s="13" t="s">
        <v>20</v>
      </c>
      <c r="G5" s="12" t="s">
        <v>30</v>
      </c>
    </row>
    <row r="6" spans="1:19">
      <c r="C6" s="12" t="s">
        <v>1</v>
      </c>
      <c r="D6" s="12" t="s">
        <v>37</v>
      </c>
      <c r="E6" s="11"/>
      <c r="F6" s="13"/>
      <c r="G6" s="12" t="s">
        <v>31</v>
      </c>
    </row>
    <row r="7" spans="1:19">
      <c r="C7" s="12" t="s">
        <v>19</v>
      </c>
      <c r="D7" s="12" t="s">
        <v>11</v>
      </c>
      <c r="E7" s="11" t="s">
        <v>16</v>
      </c>
      <c r="F7" s="13" t="s">
        <v>20</v>
      </c>
      <c r="G7" s="12" t="s">
        <v>32</v>
      </c>
    </row>
    <row r="8" spans="1:19">
      <c r="C8" s="12" t="s">
        <v>70</v>
      </c>
      <c r="D8" s="12" t="s">
        <v>37</v>
      </c>
      <c r="E8" s="11"/>
      <c r="F8" s="13"/>
      <c r="G8" s="12" t="s">
        <v>33</v>
      </c>
    </row>
    <row r="14" spans="1:19">
      <c r="C14" s="2"/>
    </row>
    <row r="15" spans="1:19">
      <c r="C15" s="2"/>
    </row>
    <row r="16" spans="1:19">
      <c r="C16" s="2"/>
    </row>
  </sheetData>
  <phoneticPr fontId="3" type="noConversion"/>
  <hyperlinks>
    <hyperlink ref="A1" location="目錄!A1" display="回到目錄"/>
  </hyperlinks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5"/>
  <dimension ref="A1:H49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" width="7.453125" style="1" bestFit="1" customWidth="1"/>
    <col min="2" max="2" width="8.54296875" style="1" bestFit="1" customWidth="1"/>
    <col min="3" max="3" width="11.81640625" style="1" bestFit="1" customWidth="1"/>
    <col min="4" max="4" width="8" style="1" bestFit="1" customWidth="1"/>
    <col min="5" max="5" width="10" style="1" bestFit="1" customWidth="1"/>
    <col min="6" max="6" width="7" style="1" bestFit="1" customWidth="1"/>
    <col min="7" max="7" width="10.36328125" style="1" bestFit="1" customWidth="1"/>
    <col min="8" max="8" width="7.81640625" style="1" bestFit="1" customWidth="1"/>
    <col min="9" max="16384" width="8.7265625" style="1"/>
  </cols>
  <sheetData>
    <row r="1" spans="1:8">
      <c r="A1" s="63" t="s">
        <v>36</v>
      </c>
      <c r="B1" s="80" t="s">
        <v>171</v>
      </c>
      <c r="C1" s="80" t="s">
        <v>524</v>
      </c>
      <c r="D1" s="80" t="s">
        <v>525</v>
      </c>
      <c r="E1" s="80" t="s">
        <v>0</v>
      </c>
      <c r="F1" s="80" t="s">
        <v>1</v>
      </c>
      <c r="G1" s="80" t="s">
        <v>19</v>
      </c>
      <c r="H1" s="80" t="s">
        <v>2</v>
      </c>
    </row>
    <row r="2" spans="1:8">
      <c r="B2" s="1" t="s">
        <v>4613</v>
      </c>
      <c r="C2" s="2" t="s">
        <v>175</v>
      </c>
      <c r="D2" s="1">
        <v>1</v>
      </c>
    </row>
    <row r="3" spans="1:8">
      <c r="B3" s="1" t="s">
        <v>4613</v>
      </c>
      <c r="C3" s="2" t="s">
        <v>176</v>
      </c>
      <c r="D3" s="1">
        <v>1</v>
      </c>
    </row>
    <row r="4" spans="1:8">
      <c r="B4" s="1" t="s">
        <v>4613</v>
      </c>
      <c r="C4" s="2" t="s">
        <v>4594</v>
      </c>
      <c r="D4" s="1">
        <v>1</v>
      </c>
    </row>
    <row r="5" spans="1:8">
      <c r="B5" s="1" t="s">
        <v>4613</v>
      </c>
      <c r="C5" s="2" t="s">
        <v>4595</v>
      </c>
      <c r="D5" s="1">
        <v>1</v>
      </c>
    </row>
    <row r="6" spans="1:8">
      <c r="B6" s="1" t="s">
        <v>4613</v>
      </c>
      <c r="C6" s="2" t="s">
        <v>4596</v>
      </c>
      <c r="D6" s="1">
        <v>1</v>
      </c>
    </row>
    <row r="7" spans="1:8">
      <c r="B7" s="1" t="s">
        <v>4613</v>
      </c>
      <c r="C7" s="2" t="s">
        <v>4597</v>
      </c>
      <c r="D7" s="1">
        <v>1</v>
      </c>
    </row>
    <row r="8" spans="1:8">
      <c r="B8" s="1" t="s">
        <v>4613</v>
      </c>
      <c r="C8" s="2" t="s">
        <v>4598</v>
      </c>
      <c r="D8" s="1">
        <v>1</v>
      </c>
    </row>
    <row r="9" spans="1:8">
      <c r="B9" s="1" t="s">
        <v>4613</v>
      </c>
      <c r="C9" s="2" t="s">
        <v>511</v>
      </c>
      <c r="D9" s="1">
        <v>1</v>
      </c>
    </row>
    <row r="10" spans="1:8">
      <c r="B10" s="1" t="s">
        <v>4613</v>
      </c>
      <c r="C10" s="2" t="s">
        <v>4599</v>
      </c>
      <c r="D10" s="1">
        <v>1</v>
      </c>
    </row>
    <row r="11" spans="1:8">
      <c r="B11" s="1" t="s">
        <v>4613</v>
      </c>
      <c r="C11" s="2" t="s">
        <v>4600</v>
      </c>
      <c r="D11" s="1">
        <v>1</v>
      </c>
    </row>
    <row r="12" spans="1:8">
      <c r="B12" s="1" t="s">
        <v>4613</v>
      </c>
      <c r="C12" s="2" t="s">
        <v>4601</v>
      </c>
      <c r="D12" s="1">
        <v>1</v>
      </c>
    </row>
    <row r="13" spans="1:8">
      <c r="B13" s="1" t="s">
        <v>4613</v>
      </c>
      <c r="C13" s="2" t="s">
        <v>4602</v>
      </c>
      <c r="D13" s="1">
        <v>1</v>
      </c>
    </row>
    <row r="14" spans="1:8">
      <c r="B14" s="1" t="s">
        <v>4613</v>
      </c>
      <c r="C14" s="2" t="s">
        <v>4603</v>
      </c>
      <c r="D14" s="1">
        <v>1</v>
      </c>
    </row>
    <row r="15" spans="1:8">
      <c r="B15" s="1" t="s">
        <v>4613</v>
      </c>
      <c r="C15" s="2" t="s">
        <v>4604</v>
      </c>
      <c r="D15" s="1">
        <v>1</v>
      </c>
    </row>
    <row r="16" spans="1:8">
      <c r="B16" s="1" t="s">
        <v>4613</v>
      </c>
      <c r="C16" s="2" t="s">
        <v>503</v>
      </c>
      <c r="D16" s="1">
        <v>1</v>
      </c>
    </row>
    <row r="17" spans="2:4">
      <c r="B17" s="1" t="s">
        <v>4613</v>
      </c>
      <c r="C17" s="2" t="s">
        <v>4605</v>
      </c>
      <c r="D17" s="1">
        <v>1</v>
      </c>
    </row>
    <row r="18" spans="2:4">
      <c r="B18" s="1" t="s">
        <v>4613</v>
      </c>
      <c r="C18" s="2" t="s">
        <v>4606</v>
      </c>
      <c r="D18" s="1">
        <v>1</v>
      </c>
    </row>
    <row r="19" spans="2:4">
      <c r="B19" s="1" t="s">
        <v>4613</v>
      </c>
      <c r="C19" s="2" t="s">
        <v>4607</v>
      </c>
      <c r="D19" s="1">
        <v>1</v>
      </c>
    </row>
    <row r="20" spans="2:4">
      <c r="B20" s="1" t="s">
        <v>4613</v>
      </c>
      <c r="C20" s="2" t="s">
        <v>4608</v>
      </c>
      <c r="D20" s="1">
        <v>1</v>
      </c>
    </row>
    <row r="21" spans="2:4">
      <c r="B21" s="1" t="s">
        <v>4613</v>
      </c>
      <c r="C21" s="2" t="s">
        <v>4609</v>
      </c>
      <c r="D21" s="1">
        <v>1</v>
      </c>
    </row>
    <row r="22" spans="2:4">
      <c r="B22" s="1" t="s">
        <v>4613</v>
      </c>
      <c r="C22" s="2" t="s">
        <v>4610</v>
      </c>
      <c r="D22" s="1">
        <v>1</v>
      </c>
    </row>
    <row r="23" spans="2:4">
      <c r="B23" s="1" t="s">
        <v>4613</v>
      </c>
      <c r="C23" s="2" t="s">
        <v>4611</v>
      </c>
      <c r="D23" s="1">
        <v>1</v>
      </c>
    </row>
    <row r="24" spans="2:4">
      <c r="B24" s="1" t="s">
        <v>4613</v>
      </c>
      <c r="C24" s="2" t="s">
        <v>4612</v>
      </c>
      <c r="D24" s="1">
        <v>1</v>
      </c>
    </row>
    <row r="25" spans="2:4">
      <c r="B25" s="1" t="s">
        <v>4613</v>
      </c>
      <c r="C25" s="2" t="s">
        <v>504</v>
      </c>
      <c r="D25" s="1">
        <v>1</v>
      </c>
    </row>
    <row r="26" spans="2:4">
      <c r="B26" s="1" t="s">
        <v>4614</v>
      </c>
      <c r="C26" s="2" t="s">
        <v>175</v>
      </c>
      <c r="D26" s="1">
        <v>1</v>
      </c>
    </row>
    <row r="27" spans="2:4">
      <c r="B27" s="1" t="s">
        <v>4614</v>
      </c>
      <c r="C27" s="2" t="s">
        <v>176</v>
      </c>
      <c r="D27" s="1">
        <v>1</v>
      </c>
    </row>
    <row r="28" spans="2:4">
      <c r="B28" s="1" t="s">
        <v>4614</v>
      </c>
      <c r="C28" s="2" t="s">
        <v>4594</v>
      </c>
      <c r="D28" s="1">
        <v>1</v>
      </c>
    </row>
    <row r="29" spans="2:4">
      <c r="B29" s="1" t="s">
        <v>4614</v>
      </c>
      <c r="C29" s="2" t="s">
        <v>4595</v>
      </c>
      <c r="D29" s="1">
        <v>1</v>
      </c>
    </row>
    <row r="30" spans="2:4">
      <c r="B30" s="1" t="s">
        <v>4614</v>
      </c>
      <c r="C30" s="2" t="s">
        <v>4596</v>
      </c>
      <c r="D30" s="1">
        <v>1</v>
      </c>
    </row>
    <row r="31" spans="2:4">
      <c r="B31" s="1" t="s">
        <v>4614</v>
      </c>
      <c r="C31" s="2" t="s">
        <v>4597</v>
      </c>
      <c r="D31" s="1">
        <v>1</v>
      </c>
    </row>
    <row r="32" spans="2:4">
      <c r="B32" s="1" t="s">
        <v>4614</v>
      </c>
      <c r="C32" s="2" t="s">
        <v>4598</v>
      </c>
      <c r="D32" s="1">
        <v>1</v>
      </c>
    </row>
    <row r="33" spans="2:4">
      <c r="B33" s="1" t="s">
        <v>4614</v>
      </c>
      <c r="C33" s="2" t="s">
        <v>511</v>
      </c>
      <c r="D33" s="1">
        <v>1</v>
      </c>
    </row>
    <row r="34" spans="2:4">
      <c r="B34" s="1" t="s">
        <v>4614</v>
      </c>
      <c r="C34" s="2" t="s">
        <v>4599</v>
      </c>
      <c r="D34" s="1">
        <v>1</v>
      </c>
    </row>
    <row r="35" spans="2:4">
      <c r="B35" s="1" t="s">
        <v>4614</v>
      </c>
      <c r="C35" s="2" t="s">
        <v>4600</v>
      </c>
      <c r="D35" s="1">
        <v>1</v>
      </c>
    </row>
    <row r="36" spans="2:4">
      <c r="B36" s="1" t="s">
        <v>4614</v>
      </c>
      <c r="C36" s="2" t="s">
        <v>4601</v>
      </c>
      <c r="D36" s="1">
        <v>1</v>
      </c>
    </row>
    <row r="37" spans="2:4">
      <c r="B37" s="1" t="s">
        <v>4614</v>
      </c>
      <c r="C37" s="2" t="s">
        <v>4602</v>
      </c>
      <c r="D37" s="1">
        <v>1</v>
      </c>
    </row>
    <row r="38" spans="2:4">
      <c r="B38" s="1" t="s">
        <v>4614</v>
      </c>
      <c r="C38" s="2" t="s">
        <v>4603</v>
      </c>
      <c r="D38" s="1">
        <v>1</v>
      </c>
    </row>
    <row r="39" spans="2:4">
      <c r="B39" s="1" t="s">
        <v>4614</v>
      </c>
      <c r="C39" s="2" t="s">
        <v>4604</v>
      </c>
      <c r="D39" s="1">
        <v>1</v>
      </c>
    </row>
    <row r="40" spans="2:4">
      <c r="B40" s="1" t="s">
        <v>4614</v>
      </c>
      <c r="C40" s="2" t="s">
        <v>503</v>
      </c>
      <c r="D40" s="1">
        <v>1</v>
      </c>
    </row>
    <row r="41" spans="2:4">
      <c r="B41" s="1" t="s">
        <v>4614</v>
      </c>
      <c r="C41" s="2" t="s">
        <v>4605</v>
      </c>
      <c r="D41" s="1">
        <v>1</v>
      </c>
    </row>
    <row r="42" spans="2:4">
      <c r="B42" s="1" t="s">
        <v>4614</v>
      </c>
      <c r="C42" s="2" t="s">
        <v>4606</v>
      </c>
      <c r="D42" s="1">
        <v>1</v>
      </c>
    </row>
    <row r="43" spans="2:4">
      <c r="B43" s="1" t="s">
        <v>4614</v>
      </c>
      <c r="C43" s="2" t="s">
        <v>4607</v>
      </c>
      <c r="D43" s="1">
        <v>1</v>
      </c>
    </row>
    <row r="44" spans="2:4">
      <c r="B44" s="1" t="s">
        <v>4614</v>
      </c>
      <c r="C44" s="2" t="s">
        <v>4608</v>
      </c>
      <c r="D44" s="1">
        <v>1</v>
      </c>
    </row>
    <row r="45" spans="2:4">
      <c r="B45" s="1" t="s">
        <v>4614</v>
      </c>
      <c r="C45" s="2" t="s">
        <v>4609</v>
      </c>
      <c r="D45" s="1">
        <v>1</v>
      </c>
    </row>
    <row r="46" spans="2:4">
      <c r="B46" s="1" t="s">
        <v>4614</v>
      </c>
      <c r="C46" s="2" t="s">
        <v>4610</v>
      </c>
      <c r="D46" s="1">
        <v>1</v>
      </c>
    </row>
    <row r="47" spans="2:4">
      <c r="B47" s="1" t="s">
        <v>4614</v>
      </c>
      <c r="C47" s="2" t="s">
        <v>4611</v>
      </c>
      <c r="D47" s="1">
        <v>1</v>
      </c>
    </row>
    <row r="48" spans="2:4">
      <c r="B48" s="1" t="s">
        <v>4614</v>
      </c>
      <c r="C48" s="2" t="s">
        <v>4612</v>
      </c>
      <c r="D48" s="1">
        <v>1</v>
      </c>
    </row>
    <row r="49" spans="2:4">
      <c r="B49" s="1" t="s">
        <v>4614</v>
      </c>
      <c r="C49" s="2" t="s">
        <v>504</v>
      </c>
      <c r="D49" s="1">
        <v>1</v>
      </c>
    </row>
  </sheetData>
  <phoneticPr fontId="3" type="noConversion"/>
  <hyperlinks>
    <hyperlink ref="A1" location="目錄!A1" display="回到目錄"/>
  </hyperlinks>
  <pageMargins left="0.7" right="0.7" top="0.75" bottom="0.75" header="0.3" footer="0.3"/>
  <pageSetup paperSize="9"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"/>
  <dimension ref="A1:S16"/>
  <sheetViews>
    <sheetView zoomScaleNormal="100" workbookViewId="0"/>
  </sheetViews>
  <sheetFormatPr defaultColWidth="11.1796875" defaultRowHeight="13.8"/>
  <cols>
    <col min="1" max="1" width="7.453125" style="10" bestFit="1" customWidth="1"/>
    <col min="2" max="2" width="4.36328125" style="14" bestFit="1" customWidth="1"/>
    <col min="3" max="3" width="15.26953125" style="15" bestFit="1" customWidth="1"/>
    <col min="4" max="4" width="9.1796875" style="15" bestFit="1" customWidth="1"/>
    <col min="5" max="5" width="7.54296875" style="14" bestFit="1" customWidth="1"/>
    <col min="6" max="6" width="10" style="10" bestFit="1" customWidth="1"/>
    <col min="7" max="7" width="13.90625" style="10" bestFit="1" customWidth="1"/>
    <col min="8" max="8" width="14.36328125" style="15" bestFit="1" customWidth="1"/>
    <col min="9" max="9" width="10.08984375" style="15" bestFit="1" customWidth="1"/>
    <col min="10" max="11" width="6.1796875" style="15" customWidth="1"/>
    <col min="12" max="12" width="4.26953125" style="10" bestFit="1" customWidth="1"/>
    <col min="13" max="13" width="18.1796875" style="10" bestFit="1" customWidth="1"/>
    <col min="14" max="16384" width="11.1796875" style="10"/>
  </cols>
  <sheetData>
    <row r="1" spans="1:19" s="17" customFormat="1">
      <c r="A1" s="23" t="s">
        <v>36</v>
      </c>
      <c r="B1" s="5" t="s">
        <v>5</v>
      </c>
      <c r="C1" s="20" t="s">
        <v>3</v>
      </c>
      <c r="D1" s="20" t="s">
        <v>4</v>
      </c>
      <c r="E1" s="7" t="s">
        <v>6</v>
      </c>
      <c r="F1" s="8" t="s">
        <v>13</v>
      </c>
      <c r="G1" s="8" t="s">
        <v>7</v>
      </c>
      <c r="H1" s="9" t="s">
        <v>8</v>
      </c>
      <c r="I1" s="9" t="s">
        <v>489</v>
      </c>
      <c r="J1" s="38"/>
      <c r="K1" s="38"/>
      <c r="L1" s="72" t="s">
        <v>240</v>
      </c>
      <c r="M1" s="72" t="s">
        <v>492</v>
      </c>
      <c r="N1" s="72" t="s">
        <v>470</v>
      </c>
      <c r="O1" s="72" t="s">
        <v>471</v>
      </c>
      <c r="P1" s="72" t="s">
        <v>472</v>
      </c>
      <c r="Q1" s="72" t="s">
        <v>473</v>
      </c>
      <c r="R1" s="72" t="s">
        <v>474</v>
      </c>
      <c r="S1" s="73" t="s">
        <v>475</v>
      </c>
    </row>
    <row r="2" spans="1:19">
      <c r="B2" s="14" t="s">
        <v>14</v>
      </c>
      <c r="C2" s="13" t="s">
        <v>80</v>
      </c>
      <c r="D2" s="18" t="s">
        <v>24</v>
      </c>
      <c r="E2" s="11"/>
      <c r="F2" s="12"/>
      <c r="G2" s="12" t="s">
        <v>600</v>
      </c>
      <c r="J2" s="15" t="s">
        <v>601</v>
      </c>
      <c r="K2" s="15" t="s">
        <v>601</v>
      </c>
      <c r="L2" s="36"/>
      <c r="M2" s="34"/>
      <c r="N2" s="36" t="str">
        <f>"EXEC sp_dropextendedproperty @name = N'MS_Description', @level0type=N'SCHEMA',@level0name=N'"&amp;$L$1&amp;"', @level1type=N'TABLE',@level1name=N'"&amp;$M$1&amp;"', @level2type=N'COLUMN',@level2name=N'"&amp;$C2&amp;"'"</f>
        <v>EXEC sp_dropextendedproperty @name = N'MS_Description', @level0type=N'SCHEMA',@level0name=N'dbo', @level1type=N'TABLE',@level1name=N'LifeInsAddRuleRider', @level2type=N'COLUMN',@level2name=N'PlanCode'</v>
      </c>
      <c r="O2" s="36" t="str">
        <f>"EXEC sp_dropextendedproperty @name = N'Rule', @level0type=N'SCHEMA',@level0name=N'"&amp;$L$1&amp;"', @level1type=N'TABLE',@level1name=N'"&amp;$M$1&amp;"', @level2type=N'COLUMN',@level2name=N'"&amp;$C2&amp;"'"</f>
        <v>EXEC sp_dropextendedproperty @name = N'Rule', @level0type=N'SCHEMA',@level0name=N'dbo', @level1type=N'TABLE',@level1name=N'LifeInsAddRuleRider', @level2type=N'COLUMN',@level2name=N'PlanCode'</v>
      </c>
      <c r="P2" s="36" t="str">
        <f>"EXEC sp_dropextendedproperty @name = N'Memo', @level0type=N'SCHEMA',@level0name=N'"&amp;$L$1&amp;"', @level1type=N'TABLE',@level1name=N'"&amp;$M$1&amp;"', @level2type=N'COLUMN',@level2name=N'"&amp;$C2&amp;"'"</f>
        <v>EXEC sp_dropextendedproperty @name = N'Memo', @level0type=N'SCHEMA',@level0name=N'dbo', @level1type=N'TABLE',@level1name=N'LifeInsAddRuleRider', @level2type=N'COLUMN',@level2name=N'PlanCode'</v>
      </c>
      <c r="Q2" s="36" t="str">
        <f>"set @OldWording = N'"&amp;SUBSTITUTE($G2,CHAR(10),"")&amp;"'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@level2type=N'COLUMN',@level2name=N'"&amp;$C2&amp;"'"</f>
        <v>set @OldWording = N'險種代碼' set @NewWording = REPLACE(@OldWording,'***',char(13)+char(10)) EXEC sys.sp_addextendedproperty @name=N'MS_Description', @value=@NewWording , @level0type=N'SCHEMA',@level0name=N'dbo', @level1type=N'TABLE',@level1name=N'LifeInsAddRuleRider', @level2type=N'COLUMN',@level2name=N'PlanCode'</v>
      </c>
      <c r="R2" s="32" t="str">
        <f>"set @OldWording = N'"&amp;SUBSTITUTE($H2,CHAR(10),"")&amp;"'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@name=N'Rule', @value=@NewWording , @level0type=N'SCHEMA',@level0name=N'dbo', @level1type=N'TABLE',@level1name=N'LifeInsAddRuleRider', @level2type=N'COLUMN',@level2name=N'PlanCode'</v>
      </c>
      <c r="S2" s="36" t="str">
        <f>"set @OldWording = N'"&amp;SUBSTITUTE($I2,CHAR(10),"")&amp;"' set @NewWording = REPLACE(@OldWording,'***',char(13)+char(10)) "&amp;"EXEC sys.sp_addextendedproperty @name=N'Memo',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@name=N'Memo', @value=@NewWording , @level0type=N'SCHEMA',@level0name=N'dbo', @level1type=N'TABLE',@level1name=N'LifeInsAddRuleRider', @level2type=N'COLUMN',@level2name=N'PlanCode'</v>
      </c>
    </row>
    <row r="3" spans="1:19">
      <c r="B3" s="11" t="s">
        <v>14</v>
      </c>
      <c r="C3" s="13" t="s">
        <v>114</v>
      </c>
      <c r="D3" s="18" t="s">
        <v>24</v>
      </c>
      <c r="E3" s="11"/>
      <c r="F3" s="12"/>
      <c r="G3" s="12" t="s">
        <v>115</v>
      </c>
      <c r="I3" s="24"/>
      <c r="J3" s="15" t="s">
        <v>602</v>
      </c>
      <c r="K3" s="15" t="s">
        <v>602</v>
      </c>
    </row>
    <row r="4" spans="1:19">
      <c r="C4" s="15" t="s">
        <v>116</v>
      </c>
      <c r="D4" s="15" t="s">
        <v>21</v>
      </c>
      <c r="G4" s="10" t="s">
        <v>113</v>
      </c>
      <c r="H4" s="24"/>
      <c r="I4" s="10" t="s">
        <v>283</v>
      </c>
      <c r="J4" s="15">
        <v>1</v>
      </c>
      <c r="K4" s="15">
        <v>1</v>
      </c>
    </row>
    <row r="5" spans="1:19">
      <c r="C5" s="12" t="s">
        <v>69</v>
      </c>
      <c r="D5" s="12" t="s">
        <v>11</v>
      </c>
      <c r="E5" s="11" t="s">
        <v>16</v>
      </c>
      <c r="F5" s="13" t="s">
        <v>20</v>
      </c>
      <c r="G5" s="12" t="s">
        <v>30</v>
      </c>
    </row>
    <row r="6" spans="1:19">
      <c r="C6" s="12" t="s">
        <v>1</v>
      </c>
      <c r="D6" s="12" t="s">
        <v>37</v>
      </c>
      <c r="E6" s="11"/>
      <c r="F6" s="13"/>
      <c r="G6" s="12" t="s">
        <v>31</v>
      </c>
    </row>
    <row r="7" spans="1:19">
      <c r="C7" s="12" t="s">
        <v>19</v>
      </c>
      <c r="D7" s="12" t="s">
        <v>11</v>
      </c>
      <c r="E7" s="11" t="s">
        <v>16</v>
      </c>
      <c r="F7" s="13" t="s">
        <v>20</v>
      </c>
      <c r="G7" s="12" t="s">
        <v>32</v>
      </c>
    </row>
    <row r="8" spans="1:19">
      <c r="C8" s="12" t="s">
        <v>70</v>
      </c>
      <c r="D8" s="12" t="s">
        <v>37</v>
      </c>
      <c r="E8" s="11"/>
      <c r="F8" s="13"/>
      <c r="G8" s="12" t="s">
        <v>33</v>
      </c>
    </row>
    <row r="14" spans="1:19">
      <c r="C14" s="2"/>
    </row>
    <row r="15" spans="1:19">
      <c r="C15" s="2"/>
    </row>
    <row r="16" spans="1:19">
      <c r="C16" s="2"/>
    </row>
  </sheetData>
  <phoneticPr fontId="3" type="noConversion"/>
  <hyperlinks>
    <hyperlink ref="A1" location="目錄!A1" display="回到目錄"/>
  </hyperlinks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"/>
  <dimension ref="A1:N132"/>
  <sheetViews>
    <sheetView workbookViewId="0">
      <pane ySplit="1" topLeftCell="A2" activePane="bottomLeft" state="frozen"/>
      <selection pane="bottomLeft"/>
    </sheetView>
  </sheetViews>
  <sheetFormatPr defaultColWidth="11.1796875" defaultRowHeight="13.8"/>
  <cols>
    <col min="1" max="1" width="7.453125" style="15" bestFit="1" customWidth="1"/>
    <col min="2" max="2" width="8.54296875" style="15" bestFit="1" customWidth="1"/>
    <col min="3" max="3" width="11.81640625" style="15" bestFit="1" customWidth="1"/>
    <col min="4" max="4" width="8" style="15" bestFit="1" customWidth="1"/>
    <col min="5" max="5" width="10" style="15" bestFit="1" customWidth="1"/>
    <col min="6" max="6" width="7" style="15" bestFit="1" customWidth="1"/>
    <col min="7" max="7" width="10.36328125" style="15" bestFit="1" customWidth="1"/>
    <col min="8" max="8" width="7.81640625" style="15" bestFit="1" customWidth="1"/>
    <col min="9" max="10" width="3.6328125" style="15" bestFit="1" customWidth="1"/>
    <col min="11" max="11" width="3.36328125" style="15" bestFit="1" customWidth="1"/>
    <col min="12" max="12" width="3.54296875" style="15" bestFit="1" customWidth="1"/>
    <col min="13" max="13" width="2.81640625" style="15" bestFit="1" customWidth="1"/>
    <col min="14" max="14" width="3.36328125" style="15" bestFit="1" customWidth="1"/>
    <col min="15" max="15" width="2.90625" style="15" bestFit="1" customWidth="1"/>
    <col min="16" max="16" width="3.1796875" style="15" bestFit="1" customWidth="1"/>
    <col min="17" max="17" width="3.36328125" style="15" bestFit="1" customWidth="1"/>
    <col min="18" max="18" width="3.26953125" style="15" bestFit="1" customWidth="1"/>
    <col min="19" max="19" width="3.1796875" style="15" bestFit="1" customWidth="1"/>
    <col min="20" max="20" width="3.54296875" style="15" bestFit="1" customWidth="1"/>
    <col min="21" max="21" width="3.1796875" style="15" bestFit="1" customWidth="1"/>
    <col min="22" max="22" width="3.7265625" style="15" bestFit="1" customWidth="1"/>
    <col min="23" max="23" width="4" style="15" bestFit="1" customWidth="1"/>
    <col min="24" max="24" width="3.1796875" style="15" bestFit="1" customWidth="1"/>
    <col min="25" max="25" width="3.08984375" style="15" bestFit="1" customWidth="1"/>
    <col min="26" max="16384" width="11.1796875" style="15"/>
  </cols>
  <sheetData>
    <row r="1" spans="1:14" s="38" customFormat="1">
      <c r="A1" s="63" t="s">
        <v>36</v>
      </c>
      <c r="B1" s="78" t="s">
        <v>171</v>
      </c>
      <c r="C1" s="78" t="s">
        <v>524</v>
      </c>
      <c r="D1" s="79" t="s">
        <v>525</v>
      </c>
      <c r="E1" s="79" t="s">
        <v>0</v>
      </c>
      <c r="F1" s="79" t="s">
        <v>1</v>
      </c>
      <c r="G1" s="79" t="s">
        <v>19</v>
      </c>
      <c r="H1" s="79" t="s">
        <v>2</v>
      </c>
    </row>
    <row r="2" spans="1:14">
      <c r="B2" s="15" t="s">
        <v>503</v>
      </c>
      <c r="C2" s="64" t="s">
        <v>177</v>
      </c>
      <c r="D2" s="13">
        <v>1</v>
      </c>
      <c r="E2" s="77"/>
      <c r="F2" s="13" t="s">
        <v>522</v>
      </c>
      <c r="G2" s="75"/>
      <c r="H2" s="15" t="s">
        <v>522</v>
      </c>
      <c r="I2" s="36"/>
      <c r="J2" s="36"/>
      <c r="K2" s="36"/>
      <c r="L2" s="36"/>
      <c r="M2" s="36"/>
      <c r="N2" s="36"/>
    </row>
    <row r="3" spans="1:14">
      <c r="B3" s="15" t="s">
        <v>503</v>
      </c>
      <c r="C3" s="64" t="s">
        <v>510</v>
      </c>
      <c r="D3" s="13">
        <v>1</v>
      </c>
      <c r="E3" s="77"/>
      <c r="F3" s="13" t="s">
        <v>522</v>
      </c>
      <c r="G3" s="75"/>
      <c r="H3" s="15" t="s">
        <v>522</v>
      </c>
      <c r="I3" s="36"/>
      <c r="J3" s="36"/>
      <c r="K3" s="36"/>
      <c r="L3" s="36"/>
      <c r="M3" s="36"/>
      <c r="N3" s="36"/>
    </row>
    <row r="4" spans="1:14">
      <c r="B4" s="15" t="s">
        <v>503</v>
      </c>
      <c r="C4" s="64" t="s">
        <v>507</v>
      </c>
      <c r="D4" s="13">
        <v>1</v>
      </c>
      <c r="E4" s="77"/>
      <c r="F4" s="13" t="s">
        <v>522</v>
      </c>
      <c r="G4" s="75"/>
      <c r="H4" s="24" t="s">
        <v>522</v>
      </c>
      <c r="I4" s="36"/>
      <c r="J4" s="36"/>
      <c r="K4" s="36"/>
      <c r="L4" s="36"/>
      <c r="M4" s="36"/>
      <c r="N4" s="36"/>
    </row>
    <row r="5" spans="1:14">
      <c r="B5" s="15" t="s">
        <v>503</v>
      </c>
      <c r="C5" s="15" t="s">
        <v>508</v>
      </c>
      <c r="D5" s="15">
        <v>1</v>
      </c>
      <c r="E5" s="75"/>
      <c r="F5" s="15" t="s">
        <v>522</v>
      </c>
      <c r="G5" s="76"/>
      <c r="H5" s="15" t="s">
        <v>522</v>
      </c>
      <c r="I5" s="36"/>
      <c r="J5" s="36"/>
      <c r="K5" s="36"/>
      <c r="L5" s="36"/>
      <c r="M5" s="36"/>
      <c r="N5" s="36"/>
    </row>
    <row r="6" spans="1:14">
      <c r="B6" s="15" t="s">
        <v>503</v>
      </c>
      <c r="C6" s="13" t="s">
        <v>509</v>
      </c>
      <c r="D6" s="13">
        <v>1</v>
      </c>
      <c r="E6" s="77"/>
      <c r="F6" s="13" t="s">
        <v>522</v>
      </c>
      <c r="G6" s="75"/>
      <c r="H6" s="15" t="s">
        <v>522</v>
      </c>
    </row>
    <row r="7" spans="1:14">
      <c r="B7" s="15" t="s">
        <v>503</v>
      </c>
      <c r="C7" s="13" t="s">
        <v>172</v>
      </c>
      <c r="D7" s="13">
        <v>1</v>
      </c>
      <c r="E7" s="77"/>
      <c r="F7" s="13" t="s">
        <v>522</v>
      </c>
      <c r="G7" s="75"/>
      <c r="H7" s="15" t="s">
        <v>522</v>
      </c>
    </row>
    <row r="8" spans="1:14">
      <c r="B8" s="15" t="s">
        <v>503</v>
      </c>
      <c r="C8" s="13" t="s">
        <v>173</v>
      </c>
      <c r="D8" s="13">
        <v>1</v>
      </c>
      <c r="E8" s="77"/>
      <c r="F8" s="13" t="s">
        <v>522</v>
      </c>
      <c r="G8" s="75"/>
      <c r="H8" s="15" t="s">
        <v>522</v>
      </c>
    </row>
    <row r="9" spans="1:14">
      <c r="B9" s="15" t="s">
        <v>503</v>
      </c>
      <c r="C9" s="13" t="s">
        <v>505</v>
      </c>
      <c r="D9" s="13">
        <v>1</v>
      </c>
      <c r="E9" s="77"/>
      <c r="F9" s="13" t="s">
        <v>522</v>
      </c>
      <c r="G9" s="75"/>
      <c r="H9" s="15" t="s">
        <v>522</v>
      </c>
    </row>
    <row r="10" spans="1:14">
      <c r="B10" s="15" t="s">
        <v>503</v>
      </c>
      <c r="C10" s="13" t="s">
        <v>512</v>
      </c>
      <c r="D10" s="13">
        <v>1</v>
      </c>
      <c r="E10" s="77"/>
      <c r="F10" s="13" t="s">
        <v>522</v>
      </c>
      <c r="G10" s="75"/>
      <c r="H10" s="15" t="s">
        <v>522</v>
      </c>
    </row>
    <row r="11" spans="1:14">
      <c r="B11" s="15" t="s">
        <v>503</v>
      </c>
      <c r="C11" s="13" t="s">
        <v>174</v>
      </c>
      <c r="D11" s="13">
        <v>1</v>
      </c>
      <c r="E11" s="77"/>
      <c r="F11" s="13" t="s">
        <v>522</v>
      </c>
      <c r="G11" s="75"/>
      <c r="H11" s="15" t="s">
        <v>522</v>
      </c>
    </row>
    <row r="12" spans="1:14">
      <c r="B12" s="15" t="s">
        <v>503</v>
      </c>
      <c r="C12" s="15" t="s">
        <v>502</v>
      </c>
      <c r="D12" s="15">
        <v>1</v>
      </c>
      <c r="E12" s="75"/>
      <c r="F12" s="15" t="s">
        <v>522</v>
      </c>
      <c r="G12" s="75"/>
      <c r="H12" s="15" t="s">
        <v>522</v>
      </c>
    </row>
    <row r="13" spans="1:14">
      <c r="B13" s="15" t="s">
        <v>503</v>
      </c>
      <c r="C13" s="15" t="s">
        <v>513</v>
      </c>
      <c r="D13" s="15">
        <v>1</v>
      </c>
      <c r="E13" s="75"/>
      <c r="F13" s="15" t="s">
        <v>522</v>
      </c>
      <c r="G13" s="75"/>
      <c r="H13" s="15" t="s">
        <v>522</v>
      </c>
    </row>
    <row r="14" spans="1:14">
      <c r="B14" s="15" t="s">
        <v>503</v>
      </c>
      <c r="C14" s="15" t="s">
        <v>527</v>
      </c>
      <c r="D14" s="15">
        <v>1</v>
      </c>
      <c r="E14" s="75"/>
      <c r="F14" s="15" t="s">
        <v>522</v>
      </c>
      <c r="G14" s="75"/>
      <c r="H14" s="15" t="s">
        <v>522</v>
      </c>
    </row>
    <row r="15" spans="1:14">
      <c r="B15" s="15" t="s">
        <v>503</v>
      </c>
      <c r="C15" s="15" t="s">
        <v>506</v>
      </c>
      <c r="D15" s="15">
        <v>1</v>
      </c>
      <c r="E15" s="75"/>
      <c r="F15" s="15" t="s">
        <v>522</v>
      </c>
      <c r="G15" s="75"/>
      <c r="H15" s="15" t="s">
        <v>522</v>
      </c>
    </row>
    <row r="16" spans="1:14">
      <c r="B16" s="15" t="s">
        <v>503</v>
      </c>
      <c r="C16" s="15" t="s">
        <v>514</v>
      </c>
      <c r="D16" s="15">
        <v>1</v>
      </c>
      <c r="E16" s="75"/>
      <c r="F16" s="15" t="s">
        <v>522</v>
      </c>
      <c r="G16" s="75"/>
      <c r="H16" s="15" t="s">
        <v>522</v>
      </c>
    </row>
    <row r="17" spans="2:8">
      <c r="B17" s="15" t="s">
        <v>503</v>
      </c>
      <c r="C17" s="15" t="s">
        <v>515</v>
      </c>
      <c r="D17" s="15">
        <v>1</v>
      </c>
      <c r="E17" s="75"/>
      <c r="F17" s="15" t="s">
        <v>522</v>
      </c>
      <c r="G17" s="75"/>
      <c r="H17" s="15" t="s">
        <v>522</v>
      </c>
    </row>
    <row r="18" spans="2:8">
      <c r="B18" s="1" t="s">
        <v>543</v>
      </c>
      <c r="C18" s="15" t="s">
        <v>508</v>
      </c>
      <c r="D18" s="15">
        <v>1</v>
      </c>
      <c r="E18" s="75"/>
      <c r="F18" s="15" t="s">
        <v>522</v>
      </c>
      <c r="G18" s="75"/>
      <c r="H18" s="15" t="s">
        <v>522</v>
      </c>
    </row>
    <row r="19" spans="2:8">
      <c r="B19" s="1" t="s">
        <v>543</v>
      </c>
      <c r="C19" s="15" t="s">
        <v>509</v>
      </c>
      <c r="D19" s="15">
        <v>1</v>
      </c>
      <c r="E19" s="75"/>
      <c r="F19" s="15" t="s">
        <v>522</v>
      </c>
      <c r="G19" s="75"/>
      <c r="H19" s="15" t="s">
        <v>522</v>
      </c>
    </row>
    <row r="20" spans="2:8">
      <c r="B20" s="1" t="s">
        <v>543</v>
      </c>
      <c r="C20" s="15" t="s">
        <v>174</v>
      </c>
      <c r="D20" s="15">
        <v>1</v>
      </c>
      <c r="E20" s="75"/>
      <c r="F20" s="15" t="s">
        <v>522</v>
      </c>
      <c r="G20" s="75"/>
      <c r="H20" s="15" t="s">
        <v>522</v>
      </c>
    </row>
    <row r="21" spans="2:8">
      <c r="B21" s="1" t="s">
        <v>543</v>
      </c>
      <c r="C21" s="15" t="s">
        <v>172</v>
      </c>
      <c r="D21" s="15">
        <v>1</v>
      </c>
      <c r="E21" s="75"/>
      <c r="F21" s="15" t="s">
        <v>522</v>
      </c>
      <c r="G21" s="75"/>
      <c r="H21" s="15" t="s">
        <v>522</v>
      </c>
    </row>
    <row r="22" spans="2:8">
      <c r="B22" s="1" t="s">
        <v>543</v>
      </c>
      <c r="C22" s="15" t="s">
        <v>173</v>
      </c>
      <c r="D22" s="15">
        <v>1</v>
      </c>
      <c r="E22" s="75"/>
      <c r="F22" s="15" t="s">
        <v>522</v>
      </c>
      <c r="G22" s="75"/>
      <c r="H22" s="15" t="s">
        <v>522</v>
      </c>
    </row>
    <row r="23" spans="2:8">
      <c r="B23" s="1" t="s">
        <v>543</v>
      </c>
      <c r="C23" s="15" t="s">
        <v>502</v>
      </c>
      <c r="D23" s="15">
        <v>1</v>
      </c>
      <c r="E23" s="75"/>
      <c r="F23" s="15" t="s">
        <v>522</v>
      </c>
      <c r="G23" s="75"/>
      <c r="H23" s="15" t="s">
        <v>522</v>
      </c>
    </row>
    <row r="24" spans="2:8">
      <c r="B24" s="1" t="s">
        <v>543</v>
      </c>
      <c r="C24" s="15" t="s">
        <v>513</v>
      </c>
      <c r="D24" s="15">
        <v>1</v>
      </c>
      <c r="E24" s="75"/>
      <c r="F24" s="15" t="s">
        <v>522</v>
      </c>
      <c r="G24" s="75"/>
      <c r="H24" s="15" t="s">
        <v>522</v>
      </c>
    </row>
    <row r="25" spans="2:8">
      <c r="B25" s="1" t="s">
        <v>543</v>
      </c>
      <c r="C25" s="15" t="s">
        <v>512</v>
      </c>
      <c r="D25" s="15">
        <v>1</v>
      </c>
      <c r="E25" s="75"/>
      <c r="F25" s="15" t="s">
        <v>522</v>
      </c>
      <c r="G25" s="75"/>
      <c r="H25" s="15" t="s">
        <v>522</v>
      </c>
    </row>
    <row r="26" spans="2:8">
      <c r="B26" s="1" t="s">
        <v>543</v>
      </c>
      <c r="C26" s="15" t="s">
        <v>506</v>
      </c>
      <c r="D26" s="15">
        <v>1</v>
      </c>
      <c r="E26" s="75"/>
      <c r="F26" s="15" t="s">
        <v>522</v>
      </c>
      <c r="G26" s="75"/>
      <c r="H26" s="15" t="s">
        <v>522</v>
      </c>
    </row>
    <row r="27" spans="2:8">
      <c r="B27" s="1" t="s">
        <v>543</v>
      </c>
      <c r="C27" s="15" t="s">
        <v>514</v>
      </c>
      <c r="D27" s="15">
        <v>1</v>
      </c>
      <c r="E27" s="75"/>
      <c r="F27" s="15" t="s">
        <v>522</v>
      </c>
      <c r="G27" s="75"/>
      <c r="H27" s="15" t="s">
        <v>522</v>
      </c>
    </row>
    <row r="28" spans="2:8">
      <c r="B28" s="1" t="s">
        <v>543</v>
      </c>
      <c r="C28" s="15" t="s">
        <v>515</v>
      </c>
      <c r="D28" s="15">
        <v>1</v>
      </c>
      <c r="E28" s="75"/>
      <c r="F28" s="15" t="s">
        <v>522</v>
      </c>
      <c r="G28" s="75"/>
      <c r="H28" s="15" t="s">
        <v>522</v>
      </c>
    </row>
    <row r="29" spans="2:8">
      <c r="B29" s="1" t="s">
        <v>543</v>
      </c>
      <c r="C29" s="15" t="s">
        <v>505</v>
      </c>
      <c r="D29" s="15">
        <v>1</v>
      </c>
      <c r="E29" s="75"/>
      <c r="F29" s="15" t="s">
        <v>522</v>
      </c>
      <c r="G29" s="75"/>
      <c r="H29" s="15" t="s">
        <v>522</v>
      </c>
    </row>
    <row r="30" spans="2:8">
      <c r="B30" s="1" t="s">
        <v>543</v>
      </c>
      <c r="C30" s="15" t="s">
        <v>507</v>
      </c>
      <c r="D30" s="15">
        <v>1</v>
      </c>
      <c r="E30" s="75"/>
      <c r="F30" s="15" t="s">
        <v>522</v>
      </c>
      <c r="G30" s="75"/>
      <c r="H30" s="15" t="s">
        <v>522</v>
      </c>
    </row>
    <row r="31" spans="2:8">
      <c r="B31" s="1" t="s">
        <v>176</v>
      </c>
      <c r="C31" s="15" t="s">
        <v>502</v>
      </c>
      <c r="D31" s="15">
        <v>1</v>
      </c>
      <c r="E31" s="75"/>
      <c r="F31" s="15" t="s">
        <v>522</v>
      </c>
      <c r="G31" s="75"/>
      <c r="H31" s="15" t="s">
        <v>522</v>
      </c>
    </row>
    <row r="32" spans="2:8">
      <c r="B32" s="1" t="s">
        <v>176</v>
      </c>
      <c r="C32" s="15" t="s">
        <v>513</v>
      </c>
      <c r="D32" s="15">
        <v>1</v>
      </c>
      <c r="E32" s="75"/>
      <c r="F32" s="15" t="s">
        <v>522</v>
      </c>
      <c r="G32" s="75"/>
      <c r="H32" s="15" t="s">
        <v>522</v>
      </c>
    </row>
    <row r="33" spans="2:11">
      <c r="B33" s="1" t="s">
        <v>176</v>
      </c>
      <c r="C33" s="15" t="s">
        <v>512</v>
      </c>
      <c r="D33" s="15">
        <v>1</v>
      </c>
      <c r="E33" s="75"/>
      <c r="F33" s="15" t="s">
        <v>522</v>
      </c>
      <c r="G33" s="75"/>
      <c r="H33" s="15" t="s">
        <v>522</v>
      </c>
    </row>
    <row r="34" spans="2:11">
      <c r="B34" s="1" t="s">
        <v>176</v>
      </c>
      <c r="C34" s="15" t="s">
        <v>174</v>
      </c>
      <c r="D34" s="15">
        <v>1</v>
      </c>
      <c r="E34" s="75"/>
      <c r="F34" s="15" t="s">
        <v>522</v>
      </c>
      <c r="G34" s="75"/>
      <c r="H34" s="15" t="s">
        <v>522</v>
      </c>
    </row>
    <row r="35" spans="2:11">
      <c r="B35" s="1" t="s">
        <v>176</v>
      </c>
      <c r="C35" s="15" t="s">
        <v>172</v>
      </c>
      <c r="D35" s="15">
        <v>1</v>
      </c>
      <c r="E35" s="75"/>
      <c r="F35" s="15" t="s">
        <v>522</v>
      </c>
      <c r="G35" s="75"/>
      <c r="H35" s="15" t="s">
        <v>522</v>
      </c>
    </row>
    <row r="36" spans="2:11">
      <c r="B36" s="1" t="s">
        <v>176</v>
      </c>
      <c r="C36" s="15" t="s">
        <v>173</v>
      </c>
      <c r="D36" s="15">
        <v>1</v>
      </c>
      <c r="E36" s="75"/>
      <c r="F36" s="15" t="s">
        <v>522</v>
      </c>
      <c r="G36" s="75"/>
      <c r="H36" s="15" t="s">
        <v>522</v>
      </c>
    </row>
    <row r="37" spans="2:11">
      <c r="B37" s="1" t="s">
        <v>176</v>
      </c>
      <c r="C37" s="15" t="s">
        <v>506</v>
      </c>
      <c r="D37" s="15">
        <v>1</v>
      </c>
      <c r="E37" s="75"/>
      <c r="F37" s="15" t="s">
        <v>522</v>
      </c>
      <c r="G37" s="75"/>
      <c r="H37" s="15" t="s">
        <v>522</v>
      </c>
    </row>
    <row r="38" spans="2:11">
      <c r="B38" s="1" t="s">
        <v>176</v>
      </c>
      <c r="C38" s="15" t="s">
        <v>508</v>
      </c>
      <c r="D38" s="15">
        <v>1</v>
      </c>
      <c r="E38" s="75"/>
      <c r="F38" s="15" t="s">
        <v>522</v>
      </c>
      <c r="G38" s="75"/>
      <c r="H38" s="15" t="s">
        <v>522</v>
      </c>
    </row>
    <row r="39" spans="2:11">
      <c r="B39" s="1" t="s">
        <v>176</v>
      </c>
      <c r="C39" s="15" t="s">
        <v>509</v>
      </c>
      <c r="D39" s="15">
        <v>1</v>
      </c>
      <c r="E39" s="75"/>
      <c r="F39" s="15" t="s">
        <v>522</v>
      </c>
      <c r="G39" s="75"/>
      <c r="H39" s="15" t="s">
        <v>522</v>
      </c>
    </row>
    <row r="40" spans="2:11">
      <c r="B40" s="1" t="s">
        <v>176</v>
      </c>
      <c r="C40" s="15" t="s">
        <v>510</v>
      </c>
      <c r="D40" s="15">
        <v>1</v>
      </c>
      <c r="E40" s="75"/>
      <c r="F40" s="15" t="s">
        <v>522</v>
      </c>
      <c r="G40" s="75"/>
      <c r="H40" s="15" t="s">
        <v>522</v>
      </c>
    </row>
    <row r="41" spans="2:11">
      <c r="B41" s="1" t="s">
        <v>176</v>
      </c>
      <c r="C41" s="15" t="s">
        <v>514</v>
      </c>
      <c r="D41" s="15">
        <v>1</v>
      </c>
      <c r="E41" s="75"/>
      <c r="F41" s="15" t="s">
        <v>522</v>
      </c>
      <c r="G41" s="75"/>
      <c r="H41" s="15" t="s">
        <v>522</v>
      </c>
    </row>
    <row r="42" spans="2:11">
      <c r="B42" s="1" t="s">
        <v>176</v>
      </c>
      <c r="C42" s="15" t="s">
        <v>515</v>
      </c>
      <c r="D42" s="15">
        <v>1</v>
      </c>
      <c r="E42" s="75"/>
      <c r="F42" s="15" t="s">
        <v>522</v>
      </c>
      <c r="G42" s="75"/>
      <c r="H42" s="15" t="s">
        <v>522</v>
      </c>
    </row>
    <row r="43" spans="2:11">
      <c r="B43" s="1" t="s">
        <v>176</v>
      </c>
      <c r="C43" s="15" t="s">
        <v>177</v>
      </c>
      <c r="D43" s="15">
        <v>1</v>
      </c>
      <c r="E43" s="75"/>
      <c r="F43" s="15" t="s">
        <v>522</v>
      </c>
      <c r="G43" s="75"/>
      <c r="H43" s="15" t="s">
        <v>522</v>
      </c>
    </row>
    <row r="44" spans="2:11">
      <c r="B44" s="1" t="s">
        <v>176</v>
      </c>
      <c r="C44" s="15" t="s">
        <v>505</v>
      </c>
      <c r="D44" s="15">
        <v>1</v>
      </c>
      <c r="E44" s="75"/>
      <c r="F44" s="15" t="s">
        <v>522</v>
      </c>
      <c r="G44" s="75"/>
      <c r="H44" s="15" t="s">
        <v>522</v>
      </c>
    </row>
    <row r="45" spans="2:11">
      <c r="B45" s="1" t="s">
        <v>176</v>
      </c>
      <c r="C45" s="15" t="s">
        <v>507</v>
      </c>
      <c r="D45" s="15">
        <v>1</v>
      </c>
      <c r="E45" s="75"/>
      <c r="F45" s="15" t="s">
        <v>522</v>
      </c>
      <c r="G45" s="75"/>
      <c r="H45" s="15" t="s">
        <v>522</v>
      </c>
    </row>
    <row r="46" spans="2:11">
      <c r="B46" s="1" t="s">
        <v>176</v>
      </c>
      <c r="C46" s="15" t="s">
        <v>527</v>
      </c>
      <c r="D46" s="15">
        <v>1</v>
      </c>
      <c r="E46" s="75"/>
      <c r="F46" s="15" t="s">
        <v>522</v>
      </c>
      <c r="G46" s="75"/>
      <c r="H46" s="15" t="s">
        <v>522</v>
      </c>
    </row>
    <row r="47" spans="2:11">
      <c r="B47" s="1" t="s">
        <v>3123</v>
      </c>
      <c r="C47" s="15" t="s">
        <v>174</v>
      </c>
      <c r="D47" s="15">
        <v>1</v>
      </c>
      <c r="E47" s="75"/>
      <c r="F47" s="15" t="s">
        <v>522</v>
      </c>
      <c r="G47" s="75"/>
      <c r="H47" s="15" t="s">
        <v>522</v>
      </c>
    </row>
    <row r="48" spans="2:11">
      <c r="B48" s="1" t="s">
        <v>3123</v>
      </c>
      <c r="C48" s="15" t="s">
        <v>173</v>
      </c>
      <c r="D48" s="15">
        <v>1</v>
      </c>
      <c r="E48" s="75"/>
      <c r="F48" s="15" t="s">
        <v>522</v>
      </c>
      <c r="G48" s="75"/>
      <c r="H48" s="15" t="s">
        <v>522</v>
      </c>
      <c r="K48" s="2"/>
    </row>
    <row r="49" spans="2:8">
      <c r="B49" s="1" t="s">
        <v>3123</v>
      </c>
      <c r="C49" s="15" t="s">
        <v>172</v>
      </c>
      <c r="D49" s="15">
        <v>1</v>
      </c>
      <c r="E49" s="75"/>
      <c r="F49" s="15" t="s">
        <v>522</v>
      </c>
      <c r="G49" s="75"/>
      <c r="H49" s="15" t="s">
        <v>522</v>
      </c>
    </row>
    <row r="50" spans="2:8">
      <c r="B50" s="1" t="s">
        <v>3123</v>
      </c>
      <c r="C50" s="15" t="s">
        <v>510</v>
      </c>
      <c r="D50" s="15">
        <v>1</v>
      </c>
      <c r="E50" s="75"/>
      <c r="F50" s="15" t="s">
        <v>522</v>
      </c>
      <c r="G50" s="75"/>
      <c r="H50" s="15" t="s">
        <v>522</v>
      </c>
    </row>
    <row r="51" spans="2:8">
      <c r="B51" s="1" t="s">
        <v>3123</v>
      </c>
      <c r="C51" s="15" t="s">
        <v>506</v>
      </c>
      <c r="D51" s="15">
        <v>1</v>
      </c>
      <c r="E51" s="75"/>
      <c r="F51" s="15" t="s">
        <v>522</v>
      </c>
      <c r="G51" s="75"/>
      <c r="H51" s="15" t="s">
        <v>522</v>
      </c>
    </row>
    <row r="52" spans="2:8">
      <c r="B52" s="1" t="s">
        <v>3123</v>
      </c>
      <c r="C52" s="15" t="s">
        <v>502</v>
      </c>
      <c r="D52" s="15">
        <v>1</v>
      </c>
      <c r="E52" s="75"/>
      <c r="F52" s="15" t="s">
        <v>522</v>
      </c>
      <c r="G52" s="75"/>
      <c r="H52" s="15" t="s">
        <v>522</v>
      </c>
    </row>
    <row r="53" spans="2:8">
      <c r="B53" s="1" t="s">
        <v>3123</v>
      </c>
      <c r="C53" s="15" t="s">
        <v>513</v>
      </c>
      <c r="D53" s="15">
        <v>1</v>
      </c>
      <c r="E53" s="75"/>
      <c r="F53" s="15" t="s">
        <v>522</v>
      </c>
      <c r="G53" s="75"/>
      <c r="H53" s="15" t="s">
        <v>522</v>
      </c>
    </row>
    <row r="54" spans="2:8">
      <c r="B54" s="1" t="s">
        <v>3123</v>
      </c>
      <c r="C54" s="15" t="s">
        <v>512</v>
      </c>
      <c r="D54" s="15">
        <v>1</v>
      </c>
      <c r="E54" s="75"/>
      <c r="F54" s="15" t="s">
        <v>522</v>
      </c>
      <c r="G54" s="75"/>
      <c r="H54" s="15" t="s">
        <v>522</v>
      </c>
    </row>
    <row r="55" spans="2:8">
      <c r="B55" s="1" t="s">
        <v>3123</v>
      </c>
      <c r="C55" s="15" t="s">
        <v>514</v>
      </c>
      <c r="D55" s="15">
        <v>1</v>
      </c>
      <c r="E55" s="75"/>
      <c r="F55" s="15" t="s">
        <v>522</v>
      </c>
      <c r="G55" s="75"/>
      <c r="H55" s="15" t="s">
        <v>522</v>
      </c>
    </row>
    <row r="56" spans="2:8">
      <c r="B56" s="1" t="s">
        <v>3123</v>
      </c>
      <c r="C56" s="15" t="s">
        <v>515</v>
      </c>
      <c r="D56" s="15">
        <v>1</v>
      </c>
      <c r="E56" s="75"/>
      <c r="F56" s="15" t="s">
        <v>522</v>
      </c>
      <c r="G56" s="75"/>
      <c r="H56" s="15" t="s">
        <v>522</v>
      </c>
    </row>
    <row r="57" spans="2:8">
      <c r="B57" s="1" t="s">
        <v>3123</v>
      </c>
      <c r="C57" s="15" t="s">
        <v>177</v>
      </c>
      <c r="D57" s="15">
        <v>1</v>
      </c>
      <c r="E57" s="75"/>
      <c r="F57" s="15" t="s">
        <v>522</v>
      </c>
      <c r="G57" s="75"/>
      <c r="H57" s="15" t="s">
        <v>522</v>
      </c>
    </row>
    <row r="58" spans="2:8">
      <c r="B58" s="1" t="s">
        <v>3123</v>
      </c>
      <c r="C58" s="15" t="s">
        <v>508</v>
      </c>
      <c r="D58" s="15">
        <v>1</v>
      </c>
      <c r="E58" s="75"/>
      <c r="F58" s="15" t="s">
        <v>522</v>
      </c>
      <c r="G58" s="75"/>
      <c r="H58" s="15" t="s">
        <v>522</v>
      </c>
    </row>
    <row r="59" spans="2:8">
      <c r="B59" s="1" t="s">
        <v>3123</v>
      </c>
      <c r="C59" s="15" t="s">
        <v>509</v>
      </c>
      <c r="D59" s="15">
        <v>1</v>
      </c>
      <c r="E59" s="75"/>
      <c r="F59" s="15" t="s">
        <v>522</v>
      </c>
      <c r="G59" s="75"/>
      <c r="H59" s="15" t="s">
        <v>522</v>
      </c>
    </row>
    <row r="60" spans="2:8">
      <c r="B60" s="1" t="s">
        <v>3123</v>
      </c>
      <c r="C60" s="15" t="s">
        <v>505</v>
      </c>
      <c r="D60" s="15">
        <v>1</v>
      </c>
      <c r="E60" s="75"/>
      <c r="F60" s="15" t="s">
        <v>522</v>
      </c>
      <c r="G60" s="75"/>
      <c r="H60" s="15" t="s">
        <v>522</v>
      </c>
    </row>
    <row r="61" spans="2:8">
      <c r="B61" s="1" t="s">
        <v>3123</v>
      </c>
      <c r="C61" s="15" t="s">
        <v>507</v>
      </c>
      <c r="D61" s="15">
        <v>1</v>
      </c>
      <c r="E61" s="75"/>
      <c r="F61" s="15" t="s">
        <v>522</v>
      </c>
      <c r="G61" s="75"/>
      <c r="H61" s="15" t="s">
        <v>522</v>
      </c>
    </row>
    <row r="62" spans="2:8">
      <c r="B62" s="1" t="s">
        <v>3123</v>
      </c>
      <c r="C62" s="15" t="s">
        <v>527</v>
      </c>
      <c r="D62" s="15">
        <v>1</v>
      </c>
      <c r="E62" s="75"/>
      <c r="F62" s="15" t="s">
        <v>522</v>
      </c>
      <c r="G62" s="75"/>
      <c r="H62" s="15" t="s">
        <v>522</v>
      </c>
    </row>
    <row r="63" spans="2:8">
      <c r="B63" s="1" t="s">
        <v>3128</v>
      </c>
      <c r="C63" s="15" t="s">
        <v>508</v>
      </c>
      <c r="D63" s="15">
        <v>1</v>
      </c>
      <c r="E63" s="75"/>
      <c r="F63" s="15" t="s">
        <v>522</v>
      </c>
      <c r="G63" s="75"/>
      <c r="H63" s="15" t="s">
        <v>522</v>
      </c>
    </row>
    <row r="64" spans="2:8">
      <c r="B64" s="1" t="s">
        <v>3128</v>
      </c>
      <c r="C64" s="15" t="s">
        <v>509</v>
      </c>
      <c r="D64" s="15">
        <v>1</v>
      </c>
      <c r="E64" s="75"/>
      <c r="F64" s="15" t="s">
        <v>522</v>
      </c>
      <c r="G64" s="75"/>
      <c r="H64" s="15" t="s">
        <v>522</v>
      </c>
    </row>
    <row r="65" spans="2:8">
      <c r="B65" s="1" t="s">
        <v>3128</v>
      </c>
      <c r="C65" s="15" t="s">
        <v>174</v>
      </c>
      <c r="D65" s="15">
        <v>1</v>
      </c>
      <c r="E65" s="75"/>
      <c r="F65" s="15" t="s">
        <v>522</v>
      </c>
      <c r="G65" s="75"/>
      <c r="H65" s="15" t="s">
        <v>522</v>
      </c>
    </row>
    <row r="66" spans="2:8">
      <c r="B66" s="1" t="s">
        <v>3128</v>
      </c>
      <c r="C66" s="15" t="s">
        <v>173</v>
      </c>
      <c r="D66" s="15">
        <v>1</v>
      </c>
      <c r="E66" s="75"/>
      <c r="F66" s="15" t="s">
        <v>522</v>
      </c>
      <c r="G66" s="75"/>
      <c r="H66" s="15" t="s">
        <v>522</v>
      </c>
    </row>
    <row r="67" spans="2:8">
      <c r="B67" s="1" t="s">
        <v>3128</v>
      </c>
      <c r="C67" s="15" t="s">
        <v>172</v>
      </c>
      <c r="D67" s="15">
        <v>1</v>
      </c>
      <c r="E67" s="75"/>
      <c r="F67" s="15" t="s">
        <v>522</v>
      </c>
      <c r="G67" s="75"/>
      <c r="H67" s="15" t="s">
        <v>522</v>
      </c>
    </row>
    <row r="68" spans="2:8">
      <c r="B68" s="1" t="s">
        <v>3128</v>
      </c>
      <c r="C68" s="15" t="s">
        <v>510</v>
      </c>
      <c r="D68" s="15">
        <v>1</v>
      </c>
      <c r="E68" s="75"/>
      <c r="F68" s="15" t="s">
        <v>522</v>
      </c>
      <c r="G68" s="75"/>
      <c r="H68" s="15" t="s">
        <v>522</v>
      </c>
    </row>
    <row r="69" spans="2:8">
      <c r="B69" s="1" t="s">
        <v>3128</v>
      </c>
      <c r="C69" s="15" t="s">
        <v>506</v>
      </c>
      <c r="D69" s="15">
        <v>1</v>
      </c>
      <c r="E69" s="75"/>
      <c r="F69" s="15" t="s">
        <v>522</v>
      </c>
      <c r="G69" s="75"/>
      <c r="H69" s="15" t="s">
        <v>522</v>
      </c>
    </row>
    <row r="70" spans="2:8">
      <c r="B70" s="1" t="s">
        <v>3128</v>
      </c>
      <c r="C70" s="15" t="s">
        <v>502</v>
      </c>
      <c r="D70" s="15">
        <v>1</v>
      </c>
      <c r="E70" s="75"/>
      <c r="F70" s="15" t="s">
        <v>522</v>
      </c>
      <c r="G70" s="75"/>
      <c r="H70" s="15" t="s">
        <v>522</v>
      </c>
    </row>
    <row r="71" spans="2:8">
      <c r="B71" s="1" t="s">
        <v>3128</v>
      </c>
      <c r="C71" s="15" t="s">
        <v>513</v>
      </c>
      <c r="D71" s="15">
        <v>1</v>
      </c>
      <c r="E71" s="75"/>
      <c r="F71" s="15" t="s">
        <v>522</v>
      </c>
      <c r="G71" s="75"/>
      <c r="H71" s="15" t="s">
        <v>522</v>
      </c>
    </row>
    <row r="72" spans="2:8">
      <c r="B72" s="1" t="s">
        <v>3128</v>
      </c>
      <c r="C72" s="15" t="s">
        <v>512</v>
      </c>
      <c r="D72" s="15">
        <v>1</v>
      </c>
      <c r="E72" s="75"/>
      <c r="F72" s="15" t="s">
        <v>522</v>
      </c>
      <c r="G72" s="75"/>
      <c r="H72" s="15" t="s">
        <v>522</v>
      </c>
    </row>
    <row r="73" spans="2:8">
      <c r="B73" s="1" t="s">
        <v>3128</v>
      </c>
      <c r="C73" s="15" t="s">
        <v>177</v>
      </c>
      <c r="D73" s="15">
        <v>1</v>
      </c>
      <c r="E73" s="75"/>
      <c r="F73" s="15" t="s">
        <v>522</v>
      </c>
      <c r="G73" s="75"/>
      <c r="H73" s="15" t="s">
        <v>522</v>
      </c>
    </row>
    <row r="74" spans="2:8">
      <c r="B74" s="1" t="s">
        <v>3128</v>
      </c>
      <c r="C74" s="15" t="s">
        <v>505</v>
      </c>
      <c r="D74" s="15">
        <v>1</v>
      </c>
      <c r="E74" s="75"/>
      <c r="F74" s="15" t="s">
        <v>522</v>
      </c>
      <c r="G74" s="75"/>
      <c r="H74" s="15" t="s">
        <v>522</v>
      </c>
    </row>
    <row r="75" spans="2:8">
      <c r="B75" s="1" t="s">
        <v>3128</v>
      </c>
      <c r="C75" s="15" t="s">
        <v>507</v>
      </c>
      <c r="D75" s="15">
        <v>1</v>
      </c>
      <c r="E75" s="75"/>
      <c r="F75" s="15" t="s">
        <v>522</v>
      </c>
      <c r="G75" s="75"/>
      <c r="H75" s="15" t="s">
        <v>522</v>
      </c>
    </row>
    <row r="76" spans="2:8">
      <c r="B76" s="1" t="s">
        <v>3128</v>
      </c>
      <c r="C76" s="15" t="s">
        <v>527</v>
      </c>
      <c r="D76" s="15">
        <v>1</v>
      </c>
      <c r="E76" s="75"/>
      <c r="F76" s="15" t="s">
        <v>522</v>
      </c>
      <c r="G76" s="75"/>
      <c r="H76" s="15" t="s">
        <v>522</v>
      </c>
    </row>
    <row r="77" spans="2:8">
      <c r="B77" s="1" t="s">
        <v>3128</v>
      </c>
      <c r="C77" s="15" t="s">
        <v>514</v>
      </c>
      <c r="D77" s="15">
        <v>1</v>
      </c>
      <c r="E77" s="75"/>
      <c r="F77" s="15" t="s">
        <v>522</v>
      </c>
      <c r="G77" s="75"/>
      <c r="H77" s="15" t="s">
        <v>522</v>
      </c>
    </row>
    <row r="78" spans="2:8">
      <c r="B78" s="1" t="s">
        <v>3128</v>
      </c>
      <c r="C78" s="15" t="s">
        <v>515</v>
      </c>
      <c r="D78" s="15">
        <v>1</v>
      </c>
      <c r="E78" s="75"/>
      <c r="F78" s="15" t="s">
        <v>522</v>
      </c>
      <c r="G78" s="75"/>
      <c r="H78" s="15" t="s">
        <v>522</v>
      </c>
    </row>
    <row r="79" spans="2:8">
      <c r="B79" s="1" t="s">
        <v>169</v>
      </c>
      <c r="C79" s="15" t="s">
        <v>3168</v>
      </c>
      <c r="D79" s="15">
        <v>1</v>
      </c>
      <c r="E79" s="75"/>
      <c r="F79" s="15" t="s">
        <v>522</v>
      </c>
      <c r="G79" s="75"/>
      <c r="H79" s="15" t="s">
        <v>522</v>
      </c>
    </row>
    <row r="80" spans="2:8">
      <c r="B80" s="1" t="s">
        <v>169</v>
      </c>
      <c r="C80" s="15" t="s">
        <v>3169</v>
      </c>
      <c r="D80" s="15">
        <v>1</v>
      </c>
      <c r="E80" s="75"/>
      <c r="F80" s="15" t="s">
        <v>522</v>
      </c>
      <c r="G80" s="75"/>
      <c r="H80" s="15" t="s">
        <v>522</v>
      </c>
    </row>
    <row r="81" spans="2:8">
      <c r="B81" s="15" t="s">
        <v>3206</v>
      </c>
      <c r="C81" s="15" t="s">
        <v>508</v>
      </c>
      <c r="D81" s="15">
        <v>1</v>
      </c>
      <c r="E81" s="75"/>
      <c r="F81" s="15" t="s">
        <v>522</v>
      </c>
      <c r="G81" s="75"/>
      <c r="H81" s="15" t="s">
        <v>522</v>
      </c>
    </row>
    <row r="82" spans="2:8">
      <c r="B82" s="15" t="s">
        <v>3206</v>
      </c>
      <c r="C82" s="15" t="s">
        <v>509</v>
      </c>
      <c r="D82" s="15">
        <v>1</v>
      </c>
      <c r="E82" s="75"/>
      <c r="F82" s="15" t="s">
        <v>522</v>
      </c>
      <c r="G82" s="75"/>
      <c r="H82" s="15" t="s">
        <v>522</v>
      </c>
    </row>
    <row r="83" spans="2:8">
      <c r="B83" s="15" t="s">
        <v>3206</v>
      </c>
      <c r="C83" s="15" t="s">
        <v>174</v>
      </c>
      <c r="D83" s="15">
        <v>1</v>
      </c>
      <c r="E83" s="75"/>
      <c r="F83" s="15" t="s">
        <v>522</v>
      </c>
      <c r="G83" s="75"/>
      <c r="H83" s="15" t="s">
        <v>522</v>
      </c>
    </row>
    <row r="84" spans="2:8">
      <c r="B84" s="15" t="s">
        <v>3206</v>
      </c>
      <c r="C84" s="15" t="s">
        <v>173</v>
      </c>
      <c r="D84" s="15">
        <v>1</v>
      </c>
      <c r="E84" s="75"/>
      <c r="F84" s="15" t="s">
        <v>522</v>
      </c>
      <c r="G84" s="75"/>
      <c r="H84" s="15" t="s">
        <v>522</v>
      </c>
    </row>
    <row r="85" spans="2:8">
      <c r="B85" s="15" t="s">
        <v>3206</v>
      </c>
      <c r="C85" s="15" t="s">
        <v>172</v>
      </c>
      <c r="D85" s="15">
        <v>1</v>
      </c>
      <c r="E85" s="75"/>
      <c r="F85" s="15" t="s">
        <v>522</v>
      </c>
      <c r="G85" s="75"/>
      <c r="H85" s="15" t="s">
        <v>522</v>
      </c>
    </row>
    <row r="86" spans="2:8">
      <c r="B86" s="15" t="s">
        <v>3206</v>
      </c>
      <c r="C86" s="15" t="s">
        <v>510</v>
      </c>
      <c r="D86" s="15">
        <v>1</v>
      </c>
      <c r="E86" s="75"/>
      <c r="F86" s="15" t="s">
        <v>522</v>
      </c>
      <c r="G86" s="75"/>
      <c r="H86" s="15" t="s">
        <v>522</v>
      </c>
    </row>
    <row r="87" spans="2:8">
      <c r="B87" s="15" t="s">
        <v>3206</v>
      </c>
      <c r="C87" s="15" t="s">
        <v>506</v>
      </c>
      <c r="D87" s="15">
        <v>1</v>
      </c>
      <c r="E87" s="75"/>
      <c r="F87" s="15" t="s">
        <v>522</v>
      </c>
      <c r="G87" s="75"/>
      <c r="H87" s="15" t="s">
        <v>522</v>
      </c>
    </row>
    <row r="88" spans="2:8">
      <c r="B88" s="15" t="s">
        <v>3206</v>
      </c>
      <c r="C88" s="15" t="s">
        <v>502</v>
      </c>
      <c r="D88" s="15">
        <v>1</v>
      </c>
      <c r="E88" s="75"/>
      <c r="F88" s="15" t="s">
        <v>522</v>
      </c>
      <c r="G88" s="75"/>
      <c r="H88" s="15" t="s">
        <v>522</v>
      </c>
    </row>
    <row r="89" spans="2:8">
      <c r="B89" s="15" t="s">
        <v>3206</v>
      </c>
      <c r="C89" s="15" t="s">
        <v>513</v>
      </c>
      <c r="D89" s="15">
        <v>1</v>
      </c>
      <c r="E89" s="75"/>
      <c r="F89" s="15" t="s">
        <v>522</v>
      </c>
      <c r="G89" s="75"/>
      <c r="H89" s="15" t="s">
        <v>522</v>
      </c>
    </row>
    <row r="90" spans="2:8">
      <c r="B90" s="15" t="s">
        <v>3206</v>
      </c>
      <c r="C90" s="15" t="s">
        <v>512</v>
      </c>
      <c r="D90" s="15">
        <v>1</v>
      </c>
      <c r="E90" s="75"/>
      <c r="F90" s="15" t="s">
        <v>522</v>
      </c>
      <c r="G90" s="75"/>
      <c r="H90" s="15" t="s">
        <v>522</v>
      </c>
    </row>
    <row r="91" spans="2:8">
      <c r="B91" s="15" t="s">
        <v>3206</v>
      </c>
      <c r="C91" s="15" t="s">
        <v>514</v>
      </c>
      <c r="D91" s="15">
        <v>1</v>
      </c>
      <c r="E91" s="75"/>
      <c r="F91" s="15" t="s">
        <v>522</v>
      </c>
      <c r="G91" s="75"/>
      <c r="H91" s="15" t="s">
        <v>522</v>
      </c>
    </row>
    <row r="92" spans="2:8">
      <c r="B92" s="15" t="s">
        <v>3206</v>
      </c>
      <c r="C92" s="15" t="s">
        <v>515</v>
      </c>
      <c r="D92" s="15">
        <v>1</v>
      </c>
      <c r="E92" s="75"/>
      <c r="F92" s="15" t="s">
        <v>522</v>
      </c>
      <c r="G92" s="75"/>
      <c r="H92" s="15" t="s">
        <v>522</v>
      </c>
    </row>
    <row r="93" spans="2:8">
      <c r="B93" s="15" t="s">
        <v>3206</v>
      </c>
      <c r="C93" s="15" t="s">
        <v>177</v>
      </c>
      <c r="D93" s="15">
        <v>1</v>
      </c>
      <c r="E93" s="75"/>
      <c r="F93" s="15" t="s">
        <v>522</v>
      </c>
      <c r="G93" s="75"/>
      <c r="H93" s="15" t="s">
        <v>522</v>
      </c>
    </row>
    <row r="94" spans="2:8">
      <c r="B94" s="15" t="s">
        <v>3206</v>
      </c>
      <c r="C94" s="15" t="s">
        <v>505</v>
      </c>
      <c r="D94" s="15">
        <v>1</v>
      </c>
      <c r="E94" s="75"/>
      <c r="F94" s="15" t="s">
        <v>522</v>
      </c>
      <c r="G94" s="75"/>
      <c r="H94" s="15" t="s">
        <v>522</v>
      </c>
    </row>
    <row r="95" spans="2:8">
      <c r="B95" s="15" t="s">
        <v>3206</v>
      </c>
      <c r="C95" s="15" t="s">
        <v>507</v>
      </c>
      <c r="D95" s="15">
        <v>1</v>
      </c>
      <c r="E95" s="75"/>
      <c r="F95" s="15" t="s">
        <v>522</v>
      </c>
      <c r="G95" s="75"/>
      <c r="H95" s="15" t="s">
        <v>522</v>
      </c>
    </row>
    <row r="96" spans="2:8">
      <c r="B96" s="15" t="s">
        <v>3206</v>
      </c>
      <c r="C96" s="15" t="s">
        <v>527</v>
      </c>
      <c r="D96" s="15">
        <v>1</v>
      </c>
      <c r="E96" s="75"/>
      <c r="F96" s="15" t="s">
        <v>522</v>
      </c>
      <c r="G96" s="75"/>
      <c r="H96" s="15" t="s">
        <v>522</v>
      </c>
    </row>
    <row r="97" spans="2:8">
      <c r="B97" s="15" t="s">
        <v>3223</v>
      </c>
      <c r="C97" s="15" t="s">
        <v>508</v>
      </c>
      <c r="D97" s="15">
        <v>1</v>
      </c>
      <c r="E97" s="75"/>
      <c r="F97" s="15" t="s">
        <v>522</v>
      </c>
      <c r="G97" s="75"/>
      <c r="H97" s="15" t="s">
        <v>522</v>
      </c>
    </row>
    <row r="98" spans="2:8">
      <c r="B98" s="15" t="s">
        <v>3223</v>
      </c>
      <c r="C98" s="15" t="s">
        <v>509</v>
      </c>
      <c r="D98" s="15">
        <v>1</v>
      </c>
      <c r="E98" s="75"/>
      <c r="F98" s="15" t="s">
        <v>522</v>
      </c>
      <c r="G98" s="75"/>
      <c r="H98" s="15" t="s">
        <v>522</v>
      </c>
    </row>
    <row r="99" spans="2:8">
      <c r="B99" s="15" t="s">
        <v>3223</v>
      </c>
      <c r="C99" s="15" t="s">
        <v>174</v>
      </c>
      <c r="D99" s="15">
        <v>1</v>
      </c>
      <c r="E99" s="75"/>
      <c r="F99" s="15" t="s">
        <v>522</v>
      </c>
      <c r="G99" s="75"/>
      <c r="H99" s="15" t="s">
        <v>522</v>
      </c>
    </row>
    <row r="100" spans="2:8">
      <c r="B100" s="15" t="s">
        <v>3223</v>
      </c>
      <c r="C100" s="15" t="s">
        <v>173</v>
      </c>
      <c r="D100" s="15">
        <v>1</v>
      </c>
      <c r="E100" s="75"/>
      <c r="F100" s="15" t="s">
        <v>522</v>
      </c>
      <c r="G100" s="75"/>
      <c r="H100" s="15" t="s">
        <v>522</v>
      </c>
    </row>
    <row r="101" spans="2:8">
      <c r="B101" s="15" t="s">
        <v>3223</v>
      </c>
      <c r="C101" s="15" t="s">
        <v>172</v>
      </c>
      <c r="D101" s="15">
        <v>1</v>
      </c>
      <c r="E101" s="75"/>
      <c r="F101" s="15" t="s">
        <v>522</v>
      </c>
      <c r="G101" s="75"/>
      <c r="H101" s="15" t="s">
        <v>522</v>
      </c>
    </row>
    <row r="102" spans="2:8">
      <c r="B102" s="15" t="s">
        <v>3223</v>
      </c>
      <c r="C102" s="15" t="s">
        <v>510</v>
      </c>
      <c r="D102" s="15">
        <v>1</v>
      </c>
      <c r="E102" s="75"/>
      <c r="F102" s="15" t="s">
        <v>522</v>
      </c>
      <c r="G102" s="75"/>
      <c r="H102" s="15" t="s">
        <v>522</v>
      </c>
    </row>
    <row r="103" spans="2:8">
      <c r="B103" s="15" t="s">
        <v>3223</v>
      </c>
      <c r="C103" s="15" t="s">
        <v>506</v>
      </c>
      <c r="D103" s="15">
        <v>1</v>
      </c>
      <c r="E103" s="75"/>
      <c r="F103" s="15" t="s">
        <v>522</v>
      </c>
      <c r="G103" s="75"/>
      <c r="H103" s="15" t="s">
        <v>522</v>
      </c>
    </row>
    <row r="104" spans="2:8">
      <c r="B104" s="15" t="s">
        <v>3223</v>
      </c>
      <c r="C104" s="15" t="s">
        <v>513</v>
      </c>
      <c r="D104" s="15">
        <v>1</v>
      </c>
      <c r="E104" s="75"/>
      <c r="F104" s="15" t="s">
        <v>522</v>
      </c>
      <c r="G104" s="75"/>
      <c r="H104" s="15" t="s">
        <v>522</v>
      </c>
    </row>
    <row r="105" spans="2:8">
      <c r="B105" s="15" t="s">
        <v>3223</v>
      </c>
      <c r="C105" s="15" t="s">
        <v>514</v>
      </c>
      <c r="D105" s="15">
        <v>1</v>
      </c>
      <c r="E105" s="75"/>
      <c r="F105" s="15" t="s">
        <v>522</v>
      </c>
      <c r="G105" s="75"/>
      <c r="H105" s="15" t="s">
        <v>522</v>
      </c>
    </row>
    <row r="106" spans="2:8">
      <c r="B106" s="15" t="s">
        <v>3223</v>
      </c>
      <c r="C106" s="15" t="s">
        <v>515</v>
      </c>
      <c r="D106" s="15">
        <v>1</v>
      </c>
      <c r="E106" s="75"/>
      <c r="F106" s="15" t="s">
        <v>522</v>
      </c>
      <c r="G106" s="75"/>
      <c r="H106" s="15" t="s">
        <v>522</v>
      </c>
    </row>
    <row r="107" spans="2:8">
      <c r="B107" s="15" t="s">
        <v>3223</v>
      </c>
      <c r="C107" s="15" t="s">
        <v>177</v>
      </c>
      <c r="D107" s="15">
        <v>1</v>
      </c>
      <c r="E107" s="75"/>
      <c r="F107" s="15" t="s">
        <v>522</v>
      </c>
      <c r="G107" s="75"/>
      <c r="H107" s="15" t="s">
        <v>522</v>
      </c>
    </row>
    <row r="108" spans="2:8">
      <c r="B108" s="15" t="s">
        <v>3223</v>
      </c>
      <c r="C108" s="15" t="s">
        <v>505</v>
      </c>
      <c r="D108" s="15">
        <v>1</v>
      </c>
      <c r="E108" s="75"/>
      <c r="F108" s="15" t="s">
        <v>522</v>
      </c>
      <c r="G108" s="75"/>
      <c r="H108" s="15" t="s">
        <v>522</v>
      </c>
    </row>
    <row r="109" spans="2:8">
      <c r="B109" s="15" t="s">
        <v>3223</v>
      </c>
      <c r="C109" s="15" t="s">
        <v>507</v>
      </c>
      <c r="D109" s="15">
        <v>1</v>
      </c>
      <c r="E109" s="75"/>
      <c r="F109" s="15" t="s">
        <v>522</v>
      </c>
      <c r="G109" s="75"/>
      <c r="H109" s="15" t="s">
        <v>522</v>
      </c>
    </row>
    <row r="110" spans="2:8">
      <c r="B110" s="15" t="s">
        <v>3223</v>
      </c>
      <c r="C110" s="15" t="s">
        <v>527</v>
      </c>
      <c r="D110" s="15">
        <v>1</v>
      </c>
      <c r="E110" s="75"/>
      <c r="F110" s="15" t="s">
        <v>522</v>
      </c>
      <c r="G110" s="75"/>
      <c r="H110" s="15" t="s">
        <v>522</v>
      </c>
    </row>
    <row r="111" spans="2:8">
      <c r="B111" s="15" t="s">
        <v>3238</v>
      </c>
      <c r="C111" s="15" t="s">
        <v>508</v>
      </c>
      <c r="D111" s="15">
        <v>1</v>
      </c>
      <c r="E111" s="75"/>
      <c r="F111" s="15" t="s">
        <v>522</v>
      </c>
      <c r="G111" s="75"/>
      <c r="H111" s="15" t="s">
        <v>522</v>
      </c>
    </row>
    <row r="112" spans="2:8">
      <c r="B112" s="15" t="s">
        <v>3238</v>
      </c>
      <c r="C112" s="15" t="s">
        <v>509</v>
      </c>
      <c r="D112" s="15">
        <v>1</v>
      </c>
      <c r="E112" s="75"/>
      <c r="F112" s="15" t="s">
        <v>522</v>
      </c>
      <c r="G112" s="75"/>
      <c r="H112" s="15" t="s">
        <v>522</v>
      </c>
    </row>
    <row r="113" spans="2:8">
      <c r="B113" s="15" t="s">
        <v>3238</v>
      </c>
      <c r="C113" s="15" t="s">
        <v>174</v>
      </c>
      <c r="D113" s="15">
        <v>1</v>
      </c>
      <c r="E113" s="75"/>
      <c r="F113" s="15" t="s">
        <v>522</v>
      </c>
      <c r="G113" s="75"/>
      <c r="H113" s="15" t="s">
        <v>522</v>
      </c>
    </row>
    <row r="114" spans="2:8">
      <c r="B114" s="15" t="s">
        <v>3238</v>
      </c>
      <c r="C114" s="15" t="s">
        <v>505</v>
      </c>
      <c r="D114" s="15">
        <v>1</v>
      </c>
      <c r="E114" s="75"/>
      <c r="F114" s="15" t="s">
        <v>522</v>
      </c>
      <c r="G114" s="75"/>
      <c r="H114" s="15" t="s">
        <v>522</v>
      </c>
    </row>
    <row r="115" spans="2:8">
      <c r="B115" s="15" t="s">
        <v>3238</v>
      </c>
      <c r="C115" s="15" t="s">
        <v>173</v>
      </c>
      <c r="D115" s="15">
        <v>1</v>
      </c>
      <c r="E115" s="75"/>
      <c r="F115" s="15" t="s">
        <v>522</v>
      </c>
      <c r="G115" s="75"/>
      <c r="H115" s="15" t="s">
        <v>522</v>
      </c>
    </row>
    <row r="116" spans="2:8">
      <c r="B116" s="15" t="s">
        <v>3238</v>
      </c>
      <c r="C116" s="15" t="s">
        <v>172</v>
      </c>
      <c r="D116" s="15">
        <v>1</v>
      </c>
      <c r="E116" s="75"/>
      <c r="F116" s="15" t="s">
        <v>522</v>
      </c>
      <c r="G116" s="75"/>
      <c r="H116" s="15" t="s">
        <v>522</v>
      </c>
    </row>
    <row r="117" spans="2:8">
      <c r="B117" s="15" t="s">
        <v>3238</v>
      </c>
      <c r="C117" s="15" t="s">
        <v>510</v>
      </c>
      <c r="D117" s="15">
        <v>1</v>
      </c>
      <c r="E117" s="75"/>
      <c r="F117" s="15" t="s">
        <v>522</v>
      </c>
      <c r="G117" s="75"/>
      <c r="H117" s="15" t="s">
        <v>522</v>
      </c>
    </row>
    <row r="118" spans="2:8">
      <c r="B118" s="15" t="s">
        <v>3238</v>
      </c>
      <c r="C118" s="15" t="s">
        <v>506</v>
      </c>
      <c r="D118" s="15">
        <v>1</v>
      </c>
      <c r="E118" s="75"/>
      <c r="F118" s="15" t="s">
        <v>522</v>
      </c>
      <c r="G118" s="75"/>
      <c r="H118" s="15" t="s">
        <v>522</v>
      </c>
    </row>
    <row r="119" spans="2:8">
      <c r="B119" s="15" t="s">
        <v>3238</v>
      </c>
      <c r="C119" s="15" t="s">
        <v>502</v>
      </c>
      <c r="D119" s="15">
        <v>1</v>
      </c>
      <c r="E119" s="75"/>
      <c r="F119" s="15" t="s">
        <v>522</v>
      </c>
      <c r="G119" s="75"/>
      <c r="H119" s="15" t="s">
        <v>522</v>
      </c>
    </row>
    <row r="120" spans="2:8">
      <c r="B120" s="15" t="s">
        <v>3238</v>
      </c>
      <c r="C120" s="15" t="s">
        <v>513</v>
      </c>
      <c r="D120" s="15">
        <v>1</v>
      </c>
      <c r="E120" s="75"/>
      <c r="F120" s="15" t="s">
        <v>522</v>
      </c>
      <c r="G120" s="75"/>
      <c r="H120" s="15" t="s">
        <v>522</v>
      </c>
    </row>
    <row r="121" spans="2:8">
      <c r="B121" s="15" t="s">
        <v>3238</v>
      </c>
      <c r="C121" s="15" t="s">
        <v>512</v>
      </c>
      <c r="D121" s="15">
        <v>1</v>
      </c>
      <c r="E121" s="75"/>
      <c r="F121" s="15" t="s">
        <v>522</v>
      </c>
      <c r="G121" s="75"/>
      <c r="H121" s="15" t="s">
        <v>522</v>
      </c>
    </row>
    <row r="122" spans="2:8">
      <c r="B122" s="15" t="s">
        <v>3238</v>
      </c>
      <c r="C122" s="15" t="s">
        <v>514</v>
      </c>
      <c r="D122" s="15">
        <v>1</v>
      </c>
      <c r="E122" s="75"/>
      <c r="F122" s="15" t="s">
        <v>522</v>
      </c>
      <c r="G122" s="75"/>
      <c r="H122" s="15" t="s">
        <v>522</v>
      </c>
    </row>
    <row r="123" spans="2:8">
      <c r="B123" s="15" t="s">
        <v>3238</v>
      </c>
      <c r="C123" s="15" t="s">
        <v>515</v>
      </c>
      <c r="D123" s="15">
        <v>1</v>
      </c>
      <c r="E123" s="75"/>
      <c r="F123" s="15" t="s">
        <v>522</v>
      </c>
      <c r="G123" s="75"/>
      <c r="H123" s="15" t="s">
        <v>522</v>
      </c>
    </row>
    <row r="124" spans="2:8">
      <c r="B124" s="15" t="s">
        <v>3238</v>
      </c>
      <c r="C124" s="15" t="s">
        <v>177</v>
      </c>
      <c r="D124" s="15">
        <v>1</v>
      </c>
      <c r="E124" s="75"/>
      <c r="F124" s="15" t="s">
        <v>522</v>
      </c>
      <c r="G124" s="75"/>
      <c r="H124" s="15" t="s">
        <v>522</v>
      </c>
    </row>
    <row r="125" spans="2:8">
      <c r="B125" s="15" t="s">
        <v>3238</v>
      </c>
      <c r="C125" s="15" t="s">
        <v>507</v>
      </c>
      <c r="D125" s="15">
        <v>1</v>
      </c>
      <c r="E125" s="75"/>
      <c r="F125" s="15" t="s">
        <v>522</v>
      </c>
      <c r="G125" s="75"/>
      <c r="H125" s="15" t="s">
        <v>522</v>
      </c>
    </row>
    <row r="126" spans="2:8">
      <c r="B126" s="15" t="s">
        <v>3238</v>
      </c>
      <c r="C126" s="15" t="s">
        <v>527</v>
      </c>
      <c r="D126" s="15">
        <v>1</v>
      </c>
      <c r="E126" s="75"/>
      <c r="F126" s="15" t="s">
        <v>522</v>
      </c>
      <c r="G126" s="75"/>
      <c r="H126" s="15" t="s">
        <v>522</v>
      </c>
    </row>
    <row r="127" spans="2:8">
      <c r="B127" s="15" t="s">
        <v>3248</v>
      </c>
      <c r="C127" s="15" t="s">
        <v>3257</v>
      </c>
      <c r="D127" s="15">
        <v>1</v>
      </c>
      <c r="E127" s="75"/>
      <c r="F127" s="15" t="s">
        <v>522</v>
      </c>
      <c r="G127" s="75"/>
      <c r="H127" s="15" t="s">
        <v>522</v>
      </c>
    </row>
    <row r="128" spans="2:8">
      <c r="B128" s="15" t="s">
        <v>3248</v>
      </c>
      <c r="C128" s="15" t="s">
        <v>3258</v>
      </c>
      <c r="D128" s="15">
        <v>1</v>
      </c>
      <c r="E128" s="75"/>
      <c r="F128" s="15" t="s">
        <v>522</v>
      </c>
      <c r="G128" s="75"/>
      <c r="H128" s="15" t="s">
        <v>522</v>
      </c>
    </row>
    <row r="129" spans="2:8">
      <c r="B129" s="15" t="s">
        <v>3246</v>
      </c>
      <c r="C129" s="15" t="s">
        <v>3257</v>
      </c>
      <c r="D129" s="15">
        <v>1</v>
      </c>
      <c r="E129" s="75"/>
      <c r="F129" s="15" t="s">
        <v>522</v>
      </c>
      <c r="G129" s="75"/>
      <c r="H129" s="15" t="s">
        <v>522</v>
      </c>
    </row>
    <row r="130" spans="2:8">
      <c r="B130" s="15" t="s">
        <v>3246</v>
      </c>
      <c r="C130" s="15" t="s">
        <v>3258</v>
      </c>
      <c r="D130" s="15">
        <v>1</v>
      </c>
      <c r="E130" s="75"/>
      <c r="F130" s="15" t="s">
        <v>522</v>
      </c>
      <c r="G130" s="75"/>
      <c r="H130" s="15" t="s">
        <v>522</v>
      </c>
    </row>
    <row r="131" spans="2:8">
      <c r="B131" s="15" t="s">
        <v>3247</v>
      </c>
      <c r="C131" s="15" t="s">
        <v>3257</v>
      </c>
      <c r="D131" s="15">
        <v>1</v>
      </c>
      <c r="E131" s="75"/>
      <c r="F131" s="15" t="s">
        <v>522</v>
      </c>
      <c r="G131" s="75"/>
      <c r="H131" s="15" t="s">
        <v>522</v>
      </c>
    </row>
    <row r="132" spans="2:8">
      <c r="B132" s="15" t="s">
        <v>3247</v>
      </c>
      <c r="C132" s="15" t="s">
        <v>3258</v>
      </c>
      <c r="D132" s="15">
        <v>1</v>
      </c>
      <c r="E132" s="75"/>
      <c r="F132" s="15" t="s">
        <v>522</v>
      </c>
      <c r="G132" s="75"/>
      <c r="H132" s="15" t="s">
        <v>522</v>
      </c>
    </row>
  </sheetData>
  <phoneticPr fontId="3" type="noConversion"/>
  <hyperlinks>
    <hyperlink ref="A1" location="目錄!A1" display="回到目錄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2"/>
  <dimension ref="A1:S9"/>
  <sheetViews>
    <sheetView workbookViewId="0"/>
  </sheetViews>
  <sheetFormatPr defaultColWidth="11.1796875" defaultRowHeight="13.8"/>
  <cols>
    <col min="1" max="1" width="7.453125" style="10" bestFit="1" customWidth="1"/>
    <col min="2" max="2" width="4.36328125" style="14" bestFit="1" customWidth="1"/>
    <col min="3" max="3" width="16.453125" style="15" bestFit="1" customWidth="1"/>
    <col min="4" max="4" width="11.08984375" style="15" bestFit="1" customWidth="1"/>
    <col min="5" max="5" width="7.54296875" style="14" bestFit="1" customWidth="1"/>
    <col min="6" max="7" width="11.54296875" style="10" bestFit="1" customWidth="1"/>
    <col min="8" max="8" width="11.26953125" style="15" customWidth="1"/>
    <col min="9" max="9" width="10.08984375" style="15" bestFit="1" customWidth="1"/>
    <col min="10" max="10" width="3.6328125" style="14" customWidth="1"/>
    <col min="11" max="11" width="3.6328125" style="14" bestFit="1" customWidth="1"/>
    <col min="12" max="12" width="4.26953125" style="10" bestFit="1" customWidth="1"/>
    <col min="13" max="16384" width="11.1796875" style="10"/>
  </cols>
  <sheetData>
    <row r="1" spans="1:19" s="17" customFormat="1">
      <c r="A1" s="23" t="s">
        <v>36</v>
      </c>
      <c r="B1" s="5" t="s">
        <v>5</v>
      </c>
      <c r="C1" s="20" t="s">
        <v>3</v>
      </c>
      <c r="D1" s="20" t="s">
        <v>4</v>
      </c>
      <c r="E1" s="7" t="s">
        <v>6</v>
      </c>
      <c r="F1" s="8" t="s">
        <v>13</v>
      </c>
      <c r="G1" s="8" t="s">
        <v>7</v>
      </c>
      <c r="H1" s="9" t="s">
        <v>8</v>
      </c>
      <c r="I1" s="9" t="s">
        <v>139</v>
      </c>
      <c r="J1" s="33"/>
      <c r="K1" s="33"/>
      <c r="L1" s="72" t="s">
        <v>240</v>
      </c>
      <c r="M1" s="72" t="s">
        <v>3657</v>
      </c>
      <c r="N1" s="72" t="s">
        <v>470</v>
      </c>
      <c r="O1" s="72" t="s">
        <v>471</v>
      </c>
      <c r="P1" s="72" t="s">
        <v>472</v>
      </c>
      <c r="Q1" s="72" t="s">
        <v>473</v>
      </c>
      <c r="R1" s="72" t="s">
        <v>474</v>
      </c>
      <c r="S1" s="73" t="s">
        <v>475</v>
      </c>
    </row>
    <row r="2" spans="1:19">
      <c r="C2" s="13" t="s">
        <v>3218</v>
      </c>
      <c r="D2" s="18" t="s">
        <v>3219</v>
      </c>
      <c r="E2" s="11"/>
      <c r="F2" s="12"/>
      <c r="G2" s="12" t="s">
        <v>3220</v>
      </c>
      <c r="L2" s="36"/>
      <c r="M2" s="34"/>
      <c r="N2" s="36" t="str">
        <f>"EXEC sp_dropextendedproperty @name = N'MS_Description', @level0type=N'SCHEMA',@level0name=N'"&amp;$L$1&amp;"', @level1type=N'TABLE',@level1name=N'"&amp;$M$1&amp;"', @level2type=N'COLUMN',@level2name=N'"&amp;$C2&amp;"'"</f>
        <v>EXEC sp_dropextendedproperty @name = N'MS_Description', @level0type=N'SCHEMA',@level0name=N'dbo', @level1type=N'TABLE',@level1name=N'LifeInsPlanInputField', @level2type=N'COLUMN',@level2name=N'SerNo'</v>
      </c>
      <c r="O2" s="36" t="str">
        <f>"EXEC sp_dropextendedproperty @name = N'Rule', @level0type=N'SCHEMA',@level0name=N'"&amp;$L$1&amp;"', @level1type=N'TABLE',@level1name=N'"&amp;$M$1&amp;"', @level2type=N'COLUMN',@level2name=N'"&amp;$C2&amp;"'"</f>
        <v>EXEC sp_dropextendedproperty @name = N'Rule', @level0type=N'SCHEMA',@level0name=N'dbo', @level1type=N'TABLE',@level1name=N'LifeInsPlanInputField', @level2type=N'COLUMN',@level2name=N'SerNo'</v>
      </c>
      <c r="P2" s="36" t="str">
        <f>"EXEC sp_dropextendedproperty @name = N'Memo', @level0type=N'SCHEMA',@level0name=N'"&amp;$L$1&amp;"', @level1type=N'TABLE',@level1name=N'"&amp;$M$1&amp;"', @level2type=N'COLUMN',@level2name=N'"&amp;$C2&amp;"'"</f>
        <v>EXEC sp_dropextendedproperty @name = N'Memo', @level0type=N'SCHEMA',@level0name=N'dbo', @level1type=N'TABLE',@level1name=N'LifeInsPlanInputField', @level2type=N'COLUMN',@level2name=N'SerNo'</v>
      </c>
      <c r="Q2" s="36" t="str">
        <f>"set @OldWording = N'"&amp;SUBSTITUTE($G2,CHAR(10),"")&amp;"'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@level2type=N'COLUMN',@level2name=N'"&amp;$C2&amp;"'"</f>
        <v>set @OldWording = N'序號' set @NewWording = REPLACE(@OldWording,'***',char(13)+char(10)) EXEC sys.sp_addextendedproperty @name=N'MS_Description', @value=@NewWording , @level0type=N'SCHEMA',@level0name=N'dbo', @level1type=N'TABLE',@level1name=N'LifeInsPlanInputField', @level2type=N'COLUMN',@level2name=N'SerNo'</v>
      </c>
      <c r="R2" s="32" t="str">
        <f>"set @OldWording = N'"&amp;SUBSTITUTE($H2,CHAR(10),"")&amp;"'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@name=N'Rule', @value=@NewWording , @level0type=N'SCHEMA',@level0name=N'dbo', @level1type=N'TABLE',@level1name=N'LifeInsPlanInputField', @level2type=N'COLUMN',@level2name=N'SerNo'</v>
      </c>
      <c r="S2" s="36" t="str">
        <f>"set @OldWording = N'"&amp;SUBSTITUTE($I2,CHAR(10),"")&amp;"' set @NewWording = REPLACE(@OldWording,'***',char(13)+char(10)) "&amp;"EXEC sys.sp_addextendedproperty @name=N'Memo',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@name=N'Memo', @value=@NewWording , @level0type=N'SCHEMA',@level0name=N'dbo', @level1type=N'TABLE',@level1name=N'LifeInsPlanInputField', @level2type=N'COLUMN',@level2name=N'SerNo'</v>
      </c>
    </row>
    <row r="3" spans="1:19">
      <c r="B3" s="14" t="s">
        <v>14</v>
      </c>
      <c r="C3" s="13" t="s">
        <v>721</v>
      </c>
      <c r="D3" s="18" t="s">
        <v>216</v>
      </c>
      <c r="E3" s="11"/>
      <c r="F3" s="12"/>
      <c r="G3" s="12" t="s">
        <v>204</v>
      </c>
      <c r="L3" s="36"/>
      <c r="M3" s="34"/>
      <c r="N3" s="36"/>
      <c r="O3" s="36"/>
      <c r="P3" s="36"/>
      <c r="Q3" s="36"/>
      <c r="R3" s="32"/>
      <c r="S3" s="36"/>
    </row>
    <row r="4" spans="1:19">
      <c r="C4" s="13" t="s">
        <v>723</v>
      </c>
      <c r="D4" s="15" t="s">
        <v>344</v>
      </c>
      <c r="G4" s="10" t="s">
        <v>341</v>
      </c>
      <c r="H4" s="24"/>
      <c r="I4" s="15" t="s">
        <v>348</v>
      </c>
    </row>
    <row r="5" spans="1:19">
      <c r="C5" s="15" t="s">
        <v>725</v>
      </c>
      <c r="D5" s="15" t="s">
        <v>147</v>
      </c>
      <c r="G5" s="10" t="s">
        <v>205</v>
      </c>
      <c r="H5" s="24"/>
      <c r="I5" s="24"/>
    </row>
    <row r="6" spans="1:19">
      <c r="C6" s="12" t="s">
        <v>69</v>
      </c>
      <c r="D6" s="12" t="s">
        <v>11</v>
      </c>
      <c r="E6" s="11" t="s">
        <v>16</v>
      </c>
      <c r="F6" s="13" t="s">
        <v>20</v>
      </c>
      <c r="G6" s="12" t="s">
        <v>30</v>
      </c>
    </row>
    <row r="7" spans="1:19">
      <c r="C7" s="12" t="s">
        <v>1</v>
      </c>
      <c r="D7" s="12" t="s">
        <v>37</v>
      </c>
      <c r="E7" s="11"/>
      <c r="F7" s="13"/>
      <c r="G7" s="12" t="s">
        <v>31</v>
      </c>
    </row>
    <row r="8" spans="1:19">
      <c r="C8" s="12" t="s">
        <v>19</v>
      </c>
      <c r="D8" s="12" t="s">
        <v>11</v>
      </c>
      <c r="E8" s="11" t="s">
        <v>16</v>
      </c>
      <c r="F8" s="13" t="s">
        <v>20</v>
      </c>
      <c r="G8" s="12" t="s">
        <v>32</v>
      </c>
    </row>
    <row r="9" spans="1:19">
      <c r="C9" s="12" t="s">
        <v>70</v>
      </c>
      <c r="D9" s="12" t="s">
        <v>37</v>
      </c>
      <c r="E9" s="11"/>
      <c r="F9" s="13"/>
      <c r="G9" s="12" t="s">
        <v>33</v>
      </c>
    </row>
  </sheetData>
  <phoneticPr fontId="3" type="noConversion"/>
  <hyperlinks>
    <hyperlink ref="A1" location="目錄!A1" display="回到目錄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3"/>
  <dimension ref="A1:K43"/>
  <sheetViews>
    <sheetView workbookViewId="0">
      <pane ySplit="1" topLeftCell="A26" activePane="bottomLeft" state="frozen"/>
      <selection activeCell="B1" sqref="B1"/>
      <selection pane="bottomLeft"/>
    </sheetView>
  </sheetViews>
  <sheetFormatPr defaultRowHeight="15"/>
  <cols>
    <col min="1" max="1" width="7.453125" style="44" bestFit="1" customWidth="1"/>
    <col min="2" max="2" width="6" style="39" bestFit="1" customWidth="1"/>
    <col min="3" max="3" width="23.1796875" style="44" bestFit="1" customWidth="1"/>
    <col min="4" max="4" width="6.7265625" style="44" bestFit="1" customWidth="1"/>
    <col min="5" max="5" width="40.1796875" style="44" customWidth="1"/>
    <col min="6" max="6" width="10" style="44" bestFit="1" customWidth="1"/>
    <col min="7" max="7" width="7" style="44" customWidth="1"/>
    <col min="8" max="8" width="10.36328125" style="44" bestFit="1" customWidth="1"/>
    <col min="9" max="9" width="7.7265625" bestFit="1" customWidth="1"/>
    <col min="10" max="11" width="3.08984375" style="44" bestFit="1" customWidth="1"/>
    <col min="12" max="16384" width="8.7265625" style="44"/>
  </cols>
  <sheetData>
    <row r="1" spans="1:11">
      <c r="A1" s="43" t="s">
        <v>36</v>
      </c>
      <c r="B1" s="92" t="s">
        <v>3218</v>
      </c>
      <c r="C1" s="88" t="s">
        <v>720</v>
      </c>
      <c r="D1" s="88" t="s">
        <v>722</v>
      </c>
      <c r="E1" s="88" t="s">
        <v>724</v>
      </c>
      <c r="F1" s="88" t="s">
        <v>0</v>
      </c>
      <c r="G1" s="88" t="s">
        <v>1</v>
      </c>
      <c r="H1" s="88" t="s">
        <v>19</v>
      </c>
      <c r="I1" s="89" t="s">
        <v>2</v>
      </c>
      <c r="K1" s="44">
        <f>MAX(J:J)</f>
        <v>26</v>
      </c>
    </row>
    <row r="2" spans="1:11" ht="13.8">
      <c r="B2" s="39">
        <v>1</v>
      </c>
      <c r="C2" s="44" t="s">
        <v>46</v>
      </c>
      <c r="D2" s="44" t="s">
        <v>342</v>
      </c>
      <c r="E2" s="44" t="s">
        <v>3400</v>
      </c>
      <c r="G2" s="44" t="s">
        <v>2912</v>
      </c>
      <c r="I2" s="44" t="s">
        <v>2912</v>
      </c>
      <c r="J2" s="44">
        <f t="shared" ref="J2:J13" si="0">LEN(C2)</f>
        <v>6</v>
      </c>
    </row>
    <row r="3" spans="1:11" ht="13.8">
      <c r="B3" s="39">
        <v>2</v>
      </c>
      <c r="C3" s="44" t="s">
        <v>188</v>
      </c>
      <c r="D3" s="44" t="s">
        <v>342</v>
      </c>
      <c r="E3" s="44" t="s">
        <v>3401</v>
      </c>
      <c r="G3" s="44" t="s">
        <v>2912</v>
      </c>
      <c r="I3" s="44" t="s">
        <v>2912</v>
      </c>
      <c r="J3" s="44">
        <f t="shared" si="0"/>
        <v>6</v>
      </c>
    </row>
    <row r="4" spans="1:11" ht="13.8">
      <c r="B4" s="39">
        <v>3</v>
      </c>
      <c r="C4" s="44" t="s">
        <v>2968</v>
      </c>
      <c r="D4" s="49" t="s">
        <v>347</v>
      </c>
      <c r="E4" s="49" t="s">
        <v>2965</v>
      </c>
      <c r="G4" s="44" t="s">
        <v>2912</v>
      </c>
      <c r="I4" s="44" t="s">
        <v>2912</v>
      </c>
      <c r="J4" s="44">
        <f t="shared" si="0"/>
        <v>21</v>
      </c>
    </row>
    <row r="5" spans="1:11" ht="13.8">
      <c r="B5" s="39">
        <v>4</v>
      </c>
      <c r="C5" s="44" t="s">
        <v>189</v>
      </c>
      <c r="D5" s="49" t="s">
        <v>343</v>
      </c>
      <c r="E5" s="49" t="s">
        <v>3188</v>
      </c>
      <c r="G5" s="44" t="s">
        <v>2912</v>
      </c>
      <c r="I5" s="44" t="s">
        <v>2912</v>
      </c>
      <c r="J5" s="44">
        <f t="shared" si="0"/>
        <v>17</v>
      </c>
    </row>
    <row r="6" spans="1:11" ht="13.8">
      <c r="B6" s="39">
        <v>5</v>
      </c>
      <c r="C6" s="44" t="s">
        <v>2969</v>
      </c>
      <c r="D6" s="49" t="s">
        <v>347</v>
      </c>
      <c r="E6" s="49" t="s">
        <v>2966</v>
      </c>
      <c r="G6" s="44" t="s">
        <v>2912</v>
      </c>
      <c r="I6" s="44" t="s">
        <v>2912</v>
      </c>
      <c r="J6" s="44">
        <f t="shared" si="0"/>
        <v>21</v>
      </c>
    </row>
    <row r="7" spans="1:11" ht="13.8">
      <c r="B7" s="39">
        <v>6</v>
      </c>
      <c r="C7" s="44" t="s">
        <v>197</v>
      </c>
      <c r="D7" s="49" t="s">
        <v>343</v>
      </c>
      <c r="E7" s="49" t="s">
        <v>3189</v>
      </c>
      <c r="G7" s="44" t="s">
        <v>2912</v>
      </c>
      <c r="I7" s="44" t="s">
        <v>2912</v>
      </c>
      <c r="J7" s="44">
        <f t="shared" si="0"/>
        <v>17</v>
      </c>
    </row>
    <row r="8" spans="1:11" ht="13.8">
      <c r="B8" s="39">
        <v>7</v>
      </c>
      <c r="C8" s="44" t="s">
        <v>2970</v>
      </c>
      <c r="D8" s="49" t="s">
        <v>347</v>
      </c>
      <c r="E8" s="49" t="s">
        <v>2967</v>
      </c>
      <c r="G8" s="44" t="s">
        <v>2912</v>
      </c>
      <c r="I8" s="44" t="s">
        <v>2912</v>
      </c>
      <c r="J8" s="44">
        <f t="shared" si="0"/>
        <v>21</v>
      </c>
    </row>
    <row r="9" spans="1:11" ht="13.8">
      <c r="B9" s="39">
        <v>8</v>
      </c>
      <c r="C9" s="44" t="s">
        <v>738</v>
      </c>
      <c r="D9" s="49" t="s">
        <v>343</v>
      </c>
      <c r="E9" s="49" t="s">
        <v>3190</v>
      </c>
      <c r="G9" s="44" t="s">
        <v>2912</v>
      </c>
      <c r="I9" s="44" t="s">
        <v>2912</v>
      </c>
      <c r="J9" s="44">
        <f t="shared" si="0"/>
        <v>17</v>
      </c>
    </row>
    <row r="10" spans="1:11" ht="13.8">
      <c r="B10" s="39">
        <v>9</v>
      </c>
      <c r="C10" s="44" t="s">
        <v>198</v>
      </c>
      <c r="D10" s="44" t="s">
        <v>343</v>
      </c>
      <c r="E10" s="44" t="s">
        <v>3191</v>
      </c>
      <c r="G10" s="44" t="s">
        <v>2912</v>
      </c>
      <c r="I10" s="44" t="s">
        <v>2912</v>
      </c>
      <c r="J10" s="44">
        <f t="shared" si="0"/>
        <v>14</v>
      </c>
    </row>
    <row r="11" spans="1:11" ht="13.8">
      <c r="B11" s="39">
        <v>10</v>
      </c>
      <c r="C11" s="44" t="s">
        <v>2899</v>
      </c>
      <c r="D11" s="44" t="s">
        <v>2898</v>
      </c>
      <c r="E11" s="44" t="s">
        <v>3403</v>
      </c>
      <c r="G11" s="44" t="s">
        <v>2912</v>
      </c>
      <c r="I11" s="44" t="s">
        <v>2912</v>
      </c>
      <c r="J11" s="44">
        <f>LEN(C11)</f>
        <v>13</v>
      </c>
    </row>
    <row r="12" spans="1:11" ht="13.8">
      <c r="B12" s="39">
        <v>11</v>
      </c>
      <c r="C12" s="44" t="s">
        <v>192</v>
      </c>
      <c r="D12" s="44" t="s">
        <v>342</v>
      </c>
      <c r="E12" s="44" t="s">
        <v>3402</v>
      </c>
      <c r="G12" s="44" t="s">
        <v>2912</v>
      </c>
      <c r="I12" s="44" t="s">
        <v>2912</v>
      </c>
      <c r="J12" s="44">
        <f t="shared" si="0"/>
        <v>20</v>
      </c>
    </row>
    <row r="13" spans="1:11" ht="13.8">
      <c r="B13" s="39">
        <v>12</v>
      </c>
      <c r="C13" s="44" t="s">
        <v>3492</v>
      </c>
      <c r="D13" s="44" t="s">
        <v>343</v>
      </c>
      <c r="E13" s="44" t="s">
        <v>3491</v>
      </c>
      <c r="G13" s="44" t="s">
        <v>2912</v>
      </c>
      <c r="I13" s="44" t="s">
        <v>2912</v>
      </c>
      <c r="J13" s="44">
        <f t="shared" si="0"/>
        <v>15</v>
      </c>
    </row>
    <row r="14" spans="1:11" ht="13.8">
      <c r="B14" s="39">
        <v>13</v>
      </c>
      <c r="C14" s="44" t="s">
        <v>3493</v>
      </c>
      <c r="D14" s="44" t="s">
        <v>343</v>
      </c>
      <c r="E14" s="44" t="s">
        <v>3495</v>
      </c>
      <c r="G14" s="44" t="s">
        <v>755</v>
      </c>
      <c r="I14" s="44" t="s">
        <v>755</v>
      </c>
      <c r="J14" s="44">
        <f t="shared" ref="J14:J29" si="1">LEN(C14)</f>
        <v>15</v>
      </c>
    </row>
    <row r="15" spans="1:11" ht="13.8">
      <c r="B15" s="39">
        <v>14</v>
      </c>
      <c r="C15" s="44" t="s">
        <v>3494</v>
      </c>
      <c r="D15" s="44" t="s">
        <v>343</v>
      </c>
      <c r="E15" s="44" t="s">
        <v>3496</v>
      </c>
      <c r="G15" s="44" t="s">
        <v>755</v>
      </c>
      <c r="I15" s="44" t="s">
        <v>755</v>
      </c>
      <c r="J15" s="44">
        <f t="shared" si="1"/>
        <v>15</v>
      </c>
    </row>
    <row r="16" spans="1:11" ht="13.8">
      <c r="B16" s="39">
        <v>15</v>
      </c>
      <c r="C16" s="44" t="s">
        <v>3498</v>
      </c>
      <c r="D16" s="44" t="s">
        <v>342</v>
      </c>
      <c r="E16" s="44" t="s">
        <v>3499</v>
      </c>
      <c r="G16" s="44" t="s">
        <v>755</v>
      </c>
      <c r="I16" s="44" t="s">
        <v>755</v>
      </c>
      <c r="J16" s="44">
        <f t="shared" si="1"/>
        <v>18</v>
      </c>
    </row>
    <row r="17" spans="1:10" ht="13.8">
      <c r="B17" s="39">
        <v>16</v>
      </c>
      <c r="C17" s="44" t="s">
        <v>199</v>
      </c>
      <c r="D17" s="44" t="s">
        <v>343</v>
      </c>
      <c r="E17" s="44" t="s">
        <v>3192</v>
      </c>
      <c r="G17" s="44" t="s">
        <v>755</v>
      </c>
      <c r="I17" s="44" t="s">
        <v>755</v>
      </c>
      <c r="J17" s="44">
        <f t="shared" si="1"/>
        <v>14</v>
      </c>
    </row>
    <row r="18" spans="1:10" ht="13.8">
      <c r="B18" s="39">
        <v>17</v>
      </c>
      <c r="C18" s="44" t="s">
        <v>3398</v>
      </c>
      <c r="D18" s="44" t="s">
        <v>342</v>
      </c>
      <c r="E18" s="44" t="s">
        <v>3399</v>
      </c>
      <c r="G18" s="44" t="s">
        <v>755</v>
      </c>
      <c r="I18" s="44" t="s">
        <v>755</v>
      </c>
      <c r="J18" s="44">
        <f t="shared" si="1"/>
        <v>12</v>
      </c>
    </row>
    <row r="19" spans="1:10" ht="13.8">
      <c r="B19" s="39">
        <v>18</v>
      </c>
      <c r="C19" s="44" t="s">
        <v>193</v>
      </c>
      <c r="D19" s="44" t="s">
        <v>342</v>
      </c>
      <c r="E19" s="44" t="s">
        <v>207</v>
      </c>
      <c r="G19" s="44" t="s">
        <v>755</v>
      </c>
      <c r="I19" s="44" t="s">
        <v>755</v>
      </c>
      <c r="J19" s="44">
        <f t="shared" si="1"/>
        <v>12</v>
      </c>
    </row>
    <row r="20" spans="1:10" ht="13.8">
      <c r="B20" s="39">
        <v>19</v>
      </c>
      <c r="C20" s="44" t="s">
        <v>200</v>
      </c>
      <c r="D20" s="44" t="s">
        <v>342</v>
      </c>
      <c r="E20" s="44" t="s">
        <v>521</v>
      </c>
      <c r="G20" s="44" t="s">
        <v>755</v>
      </c>
      <c r="I20" s="44" t="s">
        <v>755</v>
      </c>
      <c r="J20" s="44">
        <f t="shared" si="1"/>
        <v>11</v>
      </c>
    </row>
    <row r="21" spans="1:10" ht="13.8">
      <c r="B21" s="39">
        <v>20</v>
      </c>
      <c r="C21" s="44" t="s">
        <v>2910</v>
      </c>
      <c r="D21" s="44" t="s">
        <v>342</v>
      </c>
      <c r="E21" s="10" t="s">
        <v>2906</v>
      </c>
      <c r="G21" s="44" t="s">
        <v>755</v>
      </c>
      <c r="I21" s="44" t="s">
        <v>755</v>
      </c>
      <c r="J21" s="44">
        <f t="shared" si="1"/>
        <v>25</v>
      </c>
    </row>
    <row r="22" spans="1:10" ht="13.8">
      <c r="B22" s="39">
        <v>21</v>
      </c>
      <c r="C22" s="44" t="s">
        <v>2911</v>
      </c>
      <c r="D22" s="44" t="s">
        <v>342</v>
      </c>
      <c r="E22" s="10" t="s">
        <v>2907</v>
      </c>
      <c r="G22" s="44" t="s">
        <v>755</v>
      </c>
      <c r="I22" s="44" t="s">
        <v>755</v>
      </c>
      <c r="J22" s="44">
        <f t="shared" si="1"/>
        <v>23</v>
      </c>
    </row>
    <row r="23" spans="1:10" ht="13.8">
      <c r="B23" s="39">
        <v>22</v>
      </c>
      <c r="C23" s="44" t="s">
        <v>2908</v>
      </c>
      <c r="D23" s="44" t="s">
        <v>342</v>
      </c>
      <c r="E23" s="10" t="s">
        <v>2909</v>
      </c>
      <c r="G23" s="44" t="s">
        <v>755</v>
      </c>
      <c r="I23" s="44" t="s">
        <v>755</v>
      </c>
      <c r="J23" s="44">
        <f t="shared" si="1"/>
        <v>16</v>
      </c>
    </row>
    <row r="24" spans="1:10" ht="13.8">
      <c r="B24" s="39">
        <v>23</v>
      </c>
      <c r="C24" s="44" t="s">
        <v>195</v>
      </c>
      <c r="D24" s="44" t="s">
        <v>342</v>
      </c>
      <c r="E24" s="44" t="s">
        <v>258</v>
      </c>
      <c r="G24" s="44" t="s">
        <v>755</v>
      </c>
      <c r="I24" s="44" t="s">
        <v>755</v>
      </c>
      <c r="J24" s="44">
        <f t="shared" si="1"/>
        <v>25</v>
      </c>
    </row>
    <row r="25" spans="1:10" ht="13.8">
      <c r="B25" s="39">
        <v>24</v>
      </c>
      <c r="C25" s="44" t="s">
        <v>196</v>
      </c>
      <c r="D25" s="44" t="s">
        <v>342</v>
      </c>
      <c r="E25" s="44" t="s">
        <v>259</v>
      </c>
      <c r="G25" s="44" t="s">
        <v>755</v>
      </c>
      <c r="I25" s="44" t="s">
        <v>755</v>
      </c>
      <c r="J25" s="44">
        <f t="shared" si="1"/>
        <v>23</v>
      </c>
    </row>
    <row r="26" spans="1:10" ht="13.8">
      <c r="B26" s="39">
        <v>25</v>
      </c>
      <c r="C26" s="44" t="s">
        <v>194</v>
      </c>
      <c r="D26" s="44" t="s">
        <v>342</v>
      </c>
      <c r="E26" s="44" t="s">
        <v>345</v>
      </c>
      <c r="G26" s="44" t="s">
        <v>755</v>
      </c>
      <c r="I26" s="44" t="s">
        <v>755</v>
      </c>
      <c r="J26" s="44">
        <f t="shared" si="1"/>
        <v>16</v>
      </c>
    </row>
    <row r="27" spans="1:10" ht="13.8">
      <c r="B27" s="39">
        <v>26</v>
      </c>
      <c r="C27" s="44" t="s">
        <v>202</v>
      </c>
      <c r="D27" s="44" t="s">
        <v>343</v>
      </c>
      <c r="E27" s="44" t="s">
        <v>3193</v>
      </c>
      <c r="G27" s="44" t="s">
        <v>755</v>
      </c>
      <c r="I27" s="44" t="s">
        <v>755</v>
      </c>
      <c r="J27" s="44">
        <f t="shared" si="1"/>
        <v>14</v>
      </c>
    </row>
    <row r="28" spans="1:10" ht="13.8">
      <c r="B28" s="39">
        <v>27</v>
      </c>
      <c r="C28" s="44" t="s">
        <v>201</v>
      </c>
      <c r="D28" s="44" t="s">
        <v>342</v>
      </c>
      <c r="E28" s="44" t="s">
        <v>3397</v>
      </c>
      <c r="G28" s="44" t="s">
        <v>755</v>
      </c>
      <c r="I28" s="44" t="s">
        <v>755</v>
      </c>
      <c r="J28" s="44">
        <f t="shared" si="1"/>
        <v>13</v>
      </c>
    </row>
    <row r="29" spans="1:10" ht="13.8">
      <c r="B29" s="39">
        <v>28</v>
      </c>
      <c r="C29" s="44" t="s">
        <v>203</v>
      </c>
      <c r="D29" s="44" t="s">
        <v>342</v>
      </c>
      <c r="E29" s="44" t="s">
        <v>210</v>
      </c>
      <c r="G29" s="44" t="s">
        <v>755</v>
      </c>
      <c r="I29" s="44" t="s">
        <v>755</v>
      </c>
      <c r="J29" s="44">
        <f t="shared" si="1"/>
        <v>14</v>
      </c>
    </row>
    <row r="30" spans="1:10" ht="13.8">
      <c r="B30" s="39">
        <v>29</v>
      </c>
      <c r="C30" s="127" t="s">
        <v>4709</v>
      </c>
      <c r="D30" s="127" t="s">
        <v>342</v>
      </c>
      <c r="E30" s="127" t="s">
        <v>4761</v>
      </c>
      <c r="G30" s="44" t="s">
        <v>523</v>
      </c>
      <c r="I30" s="44" t="s">
        <v>523</v>
      </c>
      <c r="J30" s="44">
        <f t="shared" ref="J30:J43" si="2">LEN(C30)</f>
        <v>12</v>
      </c>
    </row>
    <row r="31" spans="1:10" ht="13.8">
      <c r="B31" s="39">
        <v>30</v>
      </c>
      <c r="C31" s="127" t="s">
        <v>4744</v>
      </c>
      <c r="D31" s="127" t="s">
        <v>342</v>
      </c>
      <c r="E31" s="127" t="s">
        <v>4735</v>
      </c>
      <c r="G31" s="44" t="s">
        <v>523</v>
      </c>
      <c r="I31" s="44" t="s">
        <v>523</v>
      </c>
      <c r="J31" s="44">
        <f t="shared" si="2"/>
        <v>23</v>
      </c>
    </row>
    <row r="32" spans="1:10" ht="13.8">
      <c r="A32" s="44" t="s">
        <v>4755</v>
      </c>
      <c r="B32" s="39">
        <v>31</v>
      </c>
      <c r="C32" s="127" t="s">
        <v>4763</v>
      </c>
      <c r="D32" s="127" t="s">
        <v>342</v>
      </c>
      <c r="E32" s="127" t="s">
        <v>4758</v>
      </c>
      <c r="G32" s="44" t="s">
        <v>523</v>
      </c>
      <c r="I32" s="44" t="s">
        <v>523</v>
      </c>
      <c r="J32" s="44">
        <f t="shared" si="2"/>
        <v>26</v>
      </c>
    </row>
    <row r="33" spans="1:10" ht="13.8">
      <c r="A33" s="44" t="s">
        <v>4755</v>
      </c>
      <c r="B33" s="39">
        <v>32</v>
      </c>
      <c r="C33" s="127" t="s">
        <v>4765</v>
      </c>
      <c r="D33" s="127" t="s">
        <v>342</v>
      </c>
      <c r="E33" s="127" t="s">
        <v>4759</v>
      </c>
      <c r="G33" s="44" t="s">
        <v>523</v>
      </c>
      <c r="I33" s="44" t="s">
        <v>523</v>
      </c>
      <c r="J33" s="44">
        <f t="shared" si="2"/>
        <v>26</v>
      </c>
    </row>
    <row r="34" spans="1:10" ht="13.8">
      <c r="B34" s="39">
        <v>33</v>
      </c>
      <c r="C34" s="127" t="s">
        <v>4745</v>
      </c>
      <c r="D34" s="127" t="s">
        <v>342</v>
      </c>
      <c r="E34" s="127" t="s">
        <v>4736</v>
      </c>
      <c r="G34" s="44" t="s">
        <v>523</v>
      </c>
      <c r="I34" s="44" t="s">
        <v>523</v>
      </c>
      <c r="J34" s="44">
        <f t="shared" si="2"/>
        <v>17</v>
      </c>
    </row>
    <row r="35" spans="1:10" ht="13.8">
      <c r="B35" s="39">
        <v>34</v>
      </c>
      <c r="C35" s="127" t="s">
        <v>4746</v>
      </c>
      <c r="D35" s="127" t="s">
        <v>4754</v>
      </c>
      <c r="E35" s="127" t="s">
        <v>4915</v>
      </c>
      <c r="G35" s="44" t="s">
        <v>523</v>
      </c>
      <c r="I35" s="44" t="s">
        <v>523</v>
      </c>
      <c r="J35" s="44">
        <f t="shared" si="2"/>
        <v>17</v>
      </c>
    </row>
    <row r="36" spans="1:10" ht="13.8">
      <c r="A36" s="44" t="s">
        <v>4755</v>
      </c>
      <c r="B36" s="39">
        <v>35</v>
      </c>
      <c r="C36" s="127" t="s">
        <v>4747</v>
      </c>
      <c r="D36" s="127" t="s">
        <v>342</v>
      </c>
      <c r="E36" s="127" t="s">
        <v>4737</v>
      </c>
      <c r="G36" s="44" t="s">
        <v>523</v>
      </c>
      <c r="I36" s="44" t="s">
        <v>523</v>
      </c>
      <c r="J36" s="44">
        <f t="shared" si="2"/>
        <v>17</v>
      </c>
    </row>
    <row r="37" spans="1:10" ht="13.8">
      <c r="B37" s="39">
        <v>36</v>
      </c>
      <c r="C37" s="127" t="s">
        <v>4748</v>
      </c>
      <c r="D37" s="127" t="s">
        <v>342</v>
      </c>
      <c r="E37" s="127" t="s">
        <v>4738</v>
      </c>
      <c r="G37" s="44" t="s">
        <v>523</v>
      </c>
      <c r="I37" s="44" t="s">
        <v>523</v>
      </c>
      <c r="J37" s="44">
        <f t="shared" si="2"/>
        <v>17</v>
      </c>
    </row>
    <row r="38" spans="1:10" ht="13.8">
      <c r="A38" s="44" t="s">
        <v>4756</v>
      </c>
      <c r="B38" s="39">
        <v>37</v>
      </c>
      <c r="C38" s="127" t="s">
        <v>4749</v>
      </c>
      <c r="D38" s="127" t="s">
        <v>342</v>
      </c>
      <c r="E38" s="127" t="s">
        <v>4739</v>
      </c>
      <c r="G38" s="44" t="s">
        <v>523</v>
      </c>
      <c r="I38" s="44" t="s">
        <v>523</v>
      </c>
      <c r="J38" s="44">
        <f t="shared" si="2"/>
        <v>17</v>
      </c>
    </row>
    <row r="39" spans="1:10" ht="13.8">
      <c r="B39" s="39">
        <v>38</v>
      </c>
      <c r="C39" s="127" t="s">
        <v>4750</v>
      </c>
      <c r="D39" s="127" t="s">
        <v>342</v>
      </c>
      <c r="E39" s="127" t="s">
        <v>4740</v>
      </c>
      <c r="G39" s="44" t="s">
        <v>523</v>
      </c>
      <c r="I39" s="44" t="s">
        <v>523</v>
      </c>
      <c r="J39" s="44">
        <f t="shared" si="2"/>
        <v>7</v>
      </c>
    </row>
    <row r="40" spans="1:10" ht="13.8">
      <c r="B40" s="39">
        <v>39</v>
      </c>
      <c r="C40" s="127" t="s">
        <v>4751</v>
      </c>
      <c r="D40" s="127" t="s">
        <v>342</v>
      </c>
      <c r="E40" s="127" t="s">
        <v>4741</v>
      </c>
      <c r="G40" s="44" t="s">
        <v>523</v>
      </c>
      <c r="I40" s="44" t="s">
        <v>523</v>
      </c>
      <c r="J40" s="44">
        <f t="shared" si="2"/>
        <v>7</v>
      </c>
    </row>
    <row r="41" spans="1:10" ht="13.8">
      <c r="A41" s="44" t="s">
        <v>4755</v>
      </c>
      <c r="B41" s="39">
        <v>40</v>
      </c>
      <c r="C41" s="127" t="s">
        <v>4752</v>
      </c>
      <c r="D41" s="127" t="s">
        <v>342</v>
      </c>
      <c r="E41" s="127" t="s">
        <v>4742</v>
      </c>
      <c r="G41" s="44" t="s">
        <v>523</v>
      </c>
      <c r="I41" s="44" t="s">
        <v>523</v>
      </c>
      <c r="J41" s="44">
        <f t="shared" si="2"/>
        <v>7</v>
      </c>
    </row>
    <row r="42" spans="1:10" ht="13.8">
      <c r="A42" s="44" t="s">
        <v>4755</v>
      </c>
      <c r="B42" s="39">
        <v>41</v>
      </c>
      <c r="C42" s="127" t="s">
        <v>4753</v>
      </c>
      <c r="D42" s="127" t="s">
        <v>342</v>
      </c>
      <c r="E42" s="127" t="s">
        <v>4743</v>
      </c>
      <c r="G42" s="44" t="s">
        <v>523</v>
      </c>
      <c r="I42" s="44" t="s">
        <v>523</v>
      </c>
      <c r="J42" s="44">
        <f t="shared" si="2"/>
        <v>7</v>
      </c>
    </row>
    <row r="43" spans="1:10" ht="13.8">
      <c r="B43" s="39">
        <v>42</v>
      </c>
      <c r="C43" s="127" t="s">
        <v>4887</v>
      </c>
      <c r="D43" s="127" t="s">
        <v>4885</v>
      </c>
      <c r="E43" s="127" t="s">
        <v>4886</v>
      </c>
      <c r="G43" s="44" t="s">
        <v>523</v>
      </c>
      <c r="I43" s="44" t="s">
        <v>523</v>
      </c>
      <c r="J43" s="44">
        <f t="shared" si="2"/>
        <v>14</v>
      </c>
    </row>
  </sheetData>
  <phoneticPr fontId="3" type="noConversion"/>
  <hyperlinks>
    <hyperlink ref="A1" location="目錄!A1" display="回到目錄"/>
  </hyperlinks>
  <pageMargins left="0.7" right="0.7" top="0.75" bottom="0.75" header="0.3" footer="0.3"/>
  <pageSetup paperSize="9" orientation="portrait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4"/>
  <dimension ref="A1:S10"/>
  <sheetViews>
    <sheetView workbookViewId="0">
      <selection activeCell="D2" sqref="D2:D5"/>
    </sheetView>
  </sheetViews>
  <sheetFormatPr defaultColWidth="11.1796875" defaultRowHeight="13.8"/>
  <cols>
    <col min="1" max="1" width="7.453125" style="44" bestFit="1" customWidth="1"/>
    <col min="2" max="2" width="4.36328125" style="52" bestFit="1" customWidth="1"/>
    <col min="3" max="3" width="16.453125" style="39" bestFit="1" customWidth="1"/>
    <col min="4" max="4" width="11.08984375" style="39" bestFit="1" customWidth="1"/>
    <col min="5" max="5" width="7.54296875" style="52" bestFit="1" customWidth="1"/>
    <col min="6" max="7" width="11.54296875" style="44" bestFit="1" customWidth="1"/>
    <col min="8" max="8" width="24.453125" style="39" bestFit="1" customWidth="1"/>
    <col min="9" max="9" width="10.08984375" style="39" bestFit="1" customWidth="1"/>
    <col min="10" max="10" width="3.6328125" style="52" customWidth="1"/>
    <col min="11" max="11" width="6.1796875" style="39" customWidth="1"/>
    <col min="12" max="12" width="4.26953125" style="44" bestFit="1" customWidth="1"/>
    <col min="13" max="13" width="17" style="44" customWidth="1"/>
    <col min="14" max="16384" width="11.1796875" style="44"/>
  </cols>
  <sheetData>
    <row r="1" spans="1:19" s="42" customFormat="1">
      <c r="A1" s="43" t="s">
        <v>36</v>
      </c>
      <c r="B1" s="56" t="s">
        <v>5</v>
      </c>
      <c r="C1" s="57" t="s">
        <v>3</v>
      </c>
      <c r="D1" s="57" t="s">
        <v>4</v>
      </c>
      <c r="E1" s="58" t="s">
        <v>6</v>
      </c>
      <c r="F1" s="59" t="s">
        <v>13</v>
      </c>
      <c r="G1" s="59" t="s">
        <v>7</v>
      </c>
      <c r="H1" s="3" t="s">
        <v>8</v>
      </c>
      <c r="I1" s="3" t="s">
        <v>105</v>
      </c>
      <c r="J1" s="53"/>
      <c r="K1" s="54"/>
      <c r="L1" s="72" t="s">
        <v>240</v>
      </c>
      <c r="M1" s="72" t="s">
        <v>3658</v>
      </c>
      <c r="N1" s="72" t="s">
        <v>470</v>
      </c>
      <c r="O1" s="72" t="s">
        <v>471</v>
      </c>
      <c r="P1" s="72" t="s">
        <v>472</v>
      </c>
      <c r="Q1" s="72" t="s">
        <v>473</v>
      </c>
      <c r="R1" s="72" t="s">
        <v>474</v>
      </c>
      <c r="S1" s="73" t="s">
        <v>475</v>
      </c>
    </row>
    <row r="2" spans="1:19">
      <c r="B2" s="52" t="s">
        <v>14</v>
      </c>
      <c r="C2" s="60" t="s">
        <v>80</v>
      </c>
      <c r="D2" s="61" t="s">
        <v>24</v>
      </c>
      <c r="E2" s="62"/>
      <c r="F2" s="49"/>
      <c r="G2" s="49" t="s">
        <v>81</v>
      </c>
      <c r="L2" s="36"/>
      <c r="M2" s="34"/>
      <c r="N2" s="36" t="str">
        <f>"EXEC sp_dropextendedproperty @name = N'MS_Description', @level0type=N'SCHEMA',@level0name=N'"&amp;$L$1&amp;"', @level1type=N'TABLE',@level1name=N'"&amp;$M$1&amp;"', @level2type=N'COLUMN',@level2name=N'"&amp;$C2&amp;"'"</f>
        <v>EXEC sp_dropextendedproperty @name = N'MS_Description', @level0type=N'SCHEMA',@level0name=N'dbo', @level1type=N'TABLE',@level1name=N'LifeInsPlanInputFieldMap', @level2type=N'COLUMN',@level2name=N'PlanCode'</v>
      </c>
      <c r="O2" s="36" t="str">
        <f>"EXEC sp_dropextendedproperty @name = N'Rule', @level0type=N'SCHEMA',@level0name=N'"&amp;$L$1&amp;"', @level1type=N'TABLE',@level1name=N'"&amp;$M$1&amp;"', @level2type=N'COLUMN',@level2name=N'"&amp;$C2&amp;"'"</f>
        <v>EXEC sp_dropextendedproperty @name = N'Rule', @level0type=N'SCHEMA',@level0name=N'dbo', @level1type=N'TABLE',@level1name=N'LifeInsPlanInputFieldMap', @level2type=N'COLUMN',@level2name=N'PlanCode'</v>
      </c>
      <c r="P2" s="36" t="str">
        <f>"EXEC sp_dropextendedproperty @name = N'Memo', @level0type=N'SCHEMA',@level0name=N'"&amp;$L$1&amp;"', @level1type=N'TABLE',@level1name=N'"&amp;$M$1&amp;"', @level2type=N'COLUMN',@level2name=N'"&amp;$C2&amp;"'"</f>
        <v>EXEC sp_dropextendedproperty @name = N'Memo', @level0type=N'SCHEMA',@level0name=N'dbo', @level1type=N'TABLE',@level1name=N'LifeInsPlanInputFieldMap', @level2type=N'COLUMN',@level2name=N'PlanCode'</v>
      </c>
      <c r="Q2" s="36" t="str">
        <f>"set @OldWording = N'"&amp;SUBSTITUTE($G2,CHAR(10),"")&amp;"'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@level2type=N'COLUMN',@level2name=N'"&amp;$C2&amp;"'"</f>
        <v>set @OldWording = N'險種代碼' set @NewWording = REPLACE(@OldWording,'***',char(13)+char(10)) EXEC sys.sp_addextendedproperty @name=N'MS_Description', @value=@NewWording , @level0type=N'SCHEMA',@level0name=N'dbo', @level1type=N'TABLE',@level1name=N'LifeInsPlanInputFieldMap', @level2type=N'COLUMN',@level2name=N'PlanCode'</v>
      </c>
      <c r="R2" s="32" t="str">
        <f>"set @OldWording = N'"&amp;SUBSTITUTE($H2,CHAR(10),"")&amp;"'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@name=N'Rule', @value=@NewWording , @level0type=N'SCHEMA',@level0name=N'dbo', @level1type=N'TABLE',@level1name=N'LifeInsPlanInputFieldMap', @level2type=N'COLUMN',@level2name=N'PlanCode'</v>
      </c>
      <c r="S2" s="36" t="str">
        <f>"set @OldWording = N'"&amp;SUBSTITUTE($I2,CHAR(10),"")&amp;"' set @NewWording = REPLACE(@OldWording,'***',char(13)+char(10)) "&amp;"EXEC sys.sp_addextendedproperty @name=N'Memo',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@name=N'Memo', @value=@NewWording , @level0type=N'SCHEMA',@level0name=N'dbo', @level1type=N'TABLE',@level1name=N'LifeInsPlanInputFieldMap', @level2type=N'COLUMN',@level2name=N'PlanCode'</v>
      </c>
    </row>
    <row r="3" spans="1:19">
      <c r="B3" s="52" t="s">
        <v>14</v>
      </c>
      <c r="C3" s="60" t="s">
        <v>721</v>
      </c>
      <c r="D3" s="61" t="s">
        <v>252</v>
      </c>
      <c r="E3" s="62"/>
      <c r="F3" s="49"/>
      <c r="G3" s="49" t="s">
        <v>204</v>
      </c>
    </row>
    <row r="4" spans="1:19">
      <c r="C4" s="49" t="s">
        <v>3624</v>
      </c>
      <c r="D4" s="60" t="s">
        <v>369</v>
      </c>
      <c r="E4" s="62" t="s">
        <v>253</v>
      </c>
      <c r="G4" s="49" t="s">
        <v>3622</v>
      </c>
      <c r="H4" s="55" t="s">
        <v>262</v>
      </c>
      <c r="I4" s="55"/>
    </row>
    <row r="5" spans="1:19">
      <c r="C5" s="49" t="s">
        <v>3620</v>
      </c>
      <c r="D5" s="60" t="s">
        <v>369</v>
      </c>
      <c r="E5" s="62" t="s">
        <v>3621</v>
      </c>
      <c r="G5" s="49" t="s">
        <v>3618</v>
      </c>
      <c r="H5" s="55"/>
      <c r="I5" s="55"/>
    </row>
    <row r="6" spans="1:19">
      <c r="C6" s="39" t="s">
        <v>251</v>
      </c>
      <c r="D6" s="39" t="s">
        <v>260</v>
      </c>
      <c r="G6" s="44" t="s">
        <v>261</v>
      </c>
      <c r="H6" s="55"/>
      <c r="I6" s="15" t="s">
        <v>340</v>
      </c>
    </row>
    <row r="7" spans="1:19">
      <c r="C7" s="49" t="s">
        <v>69</v>
      </c>
      <c r="D7" s="49" t="s">
        <v>11</v>
      </c>
      <c r="E7" s="62" t="s">
        <v>16</v>
      </c>
      <c r="F7" s="60" t="s">
        <v>20</v>
      </c>
      <c r="G7" s="49" t="s">
        <v>30</v>
      </c>
    </row>
    <row r="8" spans="1:19">
      <c r="C8" s="49" t="s">
        <v>1</v>
      </c>
      <c r="D8" s="49" t="s">
        <v>37</v>
      </c>
      <c r="E8" s="62"/>
      <c r="F8" s="60"/>
      <c r="G8" s="49" t="s">
        <v>31</v>
      </c>
    </row>
    <row r="9" spans="1:19">
      <c r="C9" s="49" t="s">
        <v>19</v>
      </c>
      <c r="D9" s="49" t="s">
        <v>11</v>
      </c>
      <c r="E9" s="62" t="s">
        <v>16</v>
      </c>
      <c r="F9" s="60" t="s">
        <v>20</v>
      </c>
      <c r="G9" s="49" t="s">
        <v>32</v>
      </c>
    </row>
    <row r="10" spans="1:19">
      <c r="C10" s="49" t="s">
        <v>70</v>
      </c>
      <c r="D10" s="49" t="s">
        <v>37</v>
      </c>
      <c r="E10" s="62"/>
      <c r="F10" s="60"/>
      <c r="G10" s="49" t="s">
        <v>33</v>
      </c>
    </row>
  </sheetData>
  <phoneticPr fontId="3" type="noConversion"/>
  <hyperlinks>
    <hyperlink ref="A1" location="目錄!A1" display="回到目錄"/>
  </hyperlinks>
  <pageMargins left="0.7" right="0.7" top="0.75" bottom="0.75" header="0.3" footer="0.3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6"/>
  <dimension ref="A1:J77"/>
  <sheetViews>
    <sheetView workbookViewId="0">
      <pane ySplit="1" topLeftCell="A56" activePane="bottomLeft" state="frozen"/>
      <selection pane="bottomLeft"/>
    </sheetView>
  </sheetViews>
  <sheetFormatPr defaultRowHeight="13.8"/>
  <cols>
    <col min="1" max="1" width="7.453125" style="1" bestFit="1" customWidth="1"/>
    <col min="2" max="2" width="8.54296875" style="1" bestFit="1" customWidth="1"/>
    <col min="3" max="3" width="25.7265625" style="1" customWidth="1"/>
    <col min="4" max="4" width="26.90625" style="1" bestFit="1" customWidth="1"/>
    <col min="5" max="5" width="14" style="1" bestFit="1" customWidth="1"/>
    <col min="6" max="6" width="5.36328125" style="1" bestFit="1" customWidth="1"/>
    <col min="7" max="7" width="10" style="1" bestFit="1" customWidth="1"/>
    <col min="8" max="8" width="7" style="1" bestFit="1" customWidth="1"/>
    <col min="9" max="9" width="10.36328125" style="1" bestFit="1" customWidth="1"/>
    <col min="10" max="10" width="7.81640625" style="1" bestFit="1" customWidth="1"/>
    <col min="11" max="16384" width="8.7265625" style="1"/>
  </cols>
  <sheetData>
    <row r="1" spans="1:10">
      <c r="A1" s="69" t="s">
        <v>36</v>
      </c>
      <c r="B1" s="80" t="s">
        <v>171</v>
      </c>
      <c r="C1" s="80" t="s">
        <v>720</v>
      </c>
      <c r="D1" s="80" t="s">
        <v>3623</v>
      </c>
      <c r="E1" s="80" t="s">
        <v>3619</v>
      </c>
      <c r="F1" s="80" t="s">
        <v>719</v>
      </c>
      <c r="G1" s="80" t="s">
        <v>0</v>
      </c>
      <c r="H1" s="80" t="s">
        <v>1</v>
      </c>
      <c r="I1" s="80" t="s">
        <v>19</v>
      </c>
      <c r="J1" s="80" t="s">
        <v>2</v>
      </c>
    </row>
    <row r="2" spans="1:10">
      <c r="B2" s="1" t="s">
        <v>3128</v>
      </c>
      <c r="C2" s="44" t="s">
        <v>46</v>
      </c>
      <c r="E2" s="1">
        <v>0.02</v>
      </c>
      <c r="F2" s="1" t="s">
        <v>79</v>
      </c>
      <c r="H2" s="1" t="s">
        <v>3205</v>
      </c>
      <c r="J2" s="1" t="s">
        <v>3205</v>
      </c>
    </row>
    <row r="3" spans="1:10">
      <c r="B3" s="1" t="s">
        <v>3128</v>
      </c>
      <c r="C3" s="44" t="s">
        <v>188</v>
      </c>
      <c r="E3" s="1">
        <v>2.6800000000000001E-2</v>
      </c>
      <c r="F3" s="1" t="s">
        <v>16</v>
      </c>
      <c r="H3" s="1" t="s">
        <v>3205</v>
      </c>
      <c r="J3" s="1" t="s">
        <v>3205</v>
      </c>
    </row>
    <row r="4" spans="1:10">
      <c r="B4" s="1" t="s">
        <v>3128</v>
      </c>
      <c r="C4" s="44" t="s">
        <v>2968</v>
      </c>
      <c r="D4" s="1" t="s">
        <v>3625</v>
      </c>
      <c r="F4" s="1" t="s">
        <v>79</v>
      </c>
      <c r="H4" s="1" t="s">
        <v>3205</v>
      </c>
      <c r="J4" s="1" t="s">
        <v>3205</v>
      </c>
    </row>
    <row r="5" spans="1:10">
      <c r="B5" s="1" t="s">
        <v>3128</v>
      </c>
      <c r="C5" s="44" t="s">
        <v>189</v>
      </c>
      <c r="D5" s="1" t="s">
        <v>3233</v>
      </c>
      <c r="E5" s="1">
        <v>2</v>
      </c>
      <c r="F5" s="1" t="s">
        <v>16</v>
      </c>
      <c r="H5" s="1" t="s">
        <v>3205</v>
      </c>
      <c r="J5" s="1" t="s">
        <v>3205</v>
      </c>
    </row>
    <row r="6" spans="1:10">
      <c r="B6" s="1" t="s">
        <v>3128</v>
      </c>
      <c r="C6" s="44" t="s">
        <v>2969</v>
      </c>
      <c r="D6" s="1" t="s">
        <v>3626</v>
      </c>
      <c r="F6" s="1" t="s">
        <v>79</v>
      </c>
      <c r="H6" s="1" t="s">
        <v>3205</v>
      </c>
      <c r="J6" s="1" t="s">
        <v>3205</v>
      </c>
    </row>
    <row r="7" spans="1:10">
      <c r="B7" s="1" t="s">
        <v>3128</v>
      </c>
      <c r="C7" s="44" t="s">
        <v>197</v>
      </c>
      <c r="D7" s="1" t="s">
        <v>3234</v>
      </c>
      <c r="E7" s="1">
        <v>3</v>
      </c>
      <c r="F7" s="1" t="s">
        <v>16</v>
      </c>
      <c r="H7" s="1" t="s">
        <v>3205</v>
      </c>
      <c r="J7" s="1" t="s">
        <v>3205</v>
      </c>
    </row>
    <row r="8" spans="1:10">
      <c r="B8" s="1" t="s">
        <v>169</v>
      </c>
      <c r="C8" s="44" t="s">
        <v>46</v>
      </c>
      <c r="E8" s="1">
        <v>2.5000000000000001E-2</v>
      </c>
      <c r="F8" s="1" t="s">
        <v>79</v>
      </c>
      <c r="H8" s="1" t="s">
        <v>3205</v>
      </c>
      <c r="J8" s="1" t="s">
        <v>3205</v>
      </c>
    </row>
    <row r="9" spans="1:10">
      <c r="B9" s="1" t="s">
        <v>169</v>
      </c>
      <c r="C9" s="44" t="s">
        <v>188</v>
      </c>
      <c r="E9" s="1">
        <v>3.6999999999999998E-2</v>
      </c>
      <c r="F9" s="1" t="s">
        <v>16</v>
      </c>
      <c r="H9" s="1" t="s">
        <v>3205</v>
      </c>
      <c r="J9" s="1" t="s">
        <v>3205</v>
      </c>
    </row>
    <row r="10" spans="1:10">
      <c r="B10" s="1" t="s">
        <v>169</v>
      </c>
      <c r="C10" s="44" t="s">
        <v>2968</v>
      </c>
      <c r="D10" s="1" t="s">
        <v>3625</v>
      </c>
      <c r="F10" s="1" t="s">
        <v>79</v>
      </c>
      <c r="H10" s="1" t="s">
        <v>3205</v>
      </c>
      <c r="J10" s="1" t="s">
        <v>3205</v>
      </c>
    </row>
    <row r="11" spans="1:10">
      <c r="B11" s="1" t="s">
        <v>169</v>
      </c>
      <c r="C11" s="44" t="s">
        <v>189</v>
      </c>
      <c r="D11" s="1" t="s">
        <v>3233</v>
      </c>
      <c r="E11" s="1">
        <v>2</v>
      </c>
      <c r="F11" s="1" t="s">
        <v>16</v>
      </c>
      <c r="H11" s="1" t="s">
        <v>3205</v>
      </c>
      <c r="J11" s="1" t="s">
        <v>3205</v>
      </c>
    </row>
    <row r="12" spans="1:10">
      <c r="B12" s="1" t="s">
        <v>169</v>
      </c>
      <c r="C12" s="44" t="s">
        <v>2969</v>
      </c>
      <c r="D12" s="1" t="s">
        <v>3626</v>
      </c>
      <c r="F12" s="1" t="s">
        <v>79</v>
      </c>
      <c r="H12" s="1" t="s">
        <v>3205</v>
      </c>
      <c r="J12" s="1" t="s">
        <v>3205</v>
      </c>
    </row>
    <row r="13" spans="1:10">
      <c r="B13" s="1" t="s">
        <v>169</v>
      </c>
      <c r="C13" s="44" t="s">
        <v>197</v>
      </c>
      <c r="D13" s="1" t="s">
        <v>3234</v>
      </c>
      <c r="E13" s="1">
        <v>3</v>
      </c>
      <c r="F13" s="1" t="s">
        <v>16</v>
      </c>
      <c r="H13" s="1" t="s">
        <v>3205</v>
      </c>
      <c r="J13" s="1" t="s">
        <v>3205</v>
      </c>
    </row>
    <row r="14" spans="1:10">
      <c r="B14" s="1" t="s">
        <v>3206</v>
      </c>
      <c r="C14" s="44" t="s">
        <v>46</v>
      </c>
      <c r="E14" s="1">
        <v>0.02</v>
      </c>
      <c r="F14" s="1" t="s">
        <v>79</v>
      </c>
      <c r="H14" s="1" t="s">
        <v>3205</v>
      </c>
      <c r="J14" s="1" t="s">
        <v>3205</v>
      </c>
    </row>
    <row r="15" spans="1:10">
      <c r="B15" s="1" t="s">
        <v>3206</v>
      </c>
      <c r="C15" s="44" t="s">
        <v>188</v>
      </c>
      <c r="E15" s="1">
        <v>2.6499999999999999E-2</v>
      </c>
      <c r="F15" s="1" t="s">
        <v>16</v>
      </c>
      <c r="H15" s="1" t="s">
        <v>3205</v>
      </c>
      <c r="J15" s="1" t="s">
        <v>3205</v>
      </c>
    </row>
    <row r="16" spans="1:10">
      <c r="B16" s="1" t="s">
        <v>3206</v>
      </c>
      <c r="C16" s="44" t="s">
        <v>2968</v>
      </c>
      <c r="D16" s="1" t="s">
        <v>3625</v>
      </c>
      <c r="F16" s="1" t="s">
        <v>79</v>
      </c>
      <c r="H16" s="1" t="s">
        <v>3205</v>
      </c>
      <c r="J16" s="1" t="s">
        <v>3205</v>
      </c>
    </row>
    <row r="17" spans="2:10">
      <c r="B17" s="1" t="s">
        <v>3206</v>
      </c>
      <c r="C17" s="44" t="s">
        <v>189</v>
      </c>
      <c r="D17" s="1" t="s">
        <v>3233</v>
      </c>
      <c r="E17" s="1">
        <v>2</v>
      </c>
      <c r="F17" s="1" t="s">
        <v>16</v>
      </c>
      <c r="H17" s="1" t="s">
        <v>3205</v>
      </c>
      <c r="J17" s="1" t="s">
        <v>3205</v>
      </c>
    </row>
    <row r="18" spans="2:10">
      <c r="B18" s="1" t="s">
        <v>3206</v>
      </c>
      <c r="C18" s="44" t="s">
        <v>2969</v>
      </c>
      <c r="D18" s="1" t="s">
        <v>3627</v>
      </c>
      <c r="F18" s="1" t="s">
        <v>79</v>
      </c>
      <c r="H18" s="1" t="s">
        <v>3205</v>
      </c>
      <c r="J18" s="1" t="s">
        <v>3205</v>
      </c>
    </row>
    <row r="19" spans="2:10">
      <c r="B19" s="1" t="s">
        <v>3206</v>
      </c>
      <c r="C19" s="44" t="s">
        <v>197</v>
      </c>
      <c r="D19" s="1" t="s">
        <v>3234</v>
      </c>
      <c r="E19" s="1">
        <v>3</v>
      </c>
      <c r="F19" s="1" t="s">
        <v>16</v>
      </c>
      <c r="H19" s="1" t="s">
        <v>3205</v>
      </c>
      <c r="J19" s="1" t="s">
        <v>3205</v>
      </c>
    </row>
    <row r="20" spans="2:10">
      <c r="B20" s="1" t="s">
        <v>3235</v>
      </c>
      <c r="C20" s="44" t="s">
        <v>46</v>
      </c>
      <c r="E20" s="1">
        <v>1.2500000000000001E-2</v>
      </c>
      <c r="F20" s="1" t="s">
        <v>79</v>
      </c>
      <c r="H20" s="1" t="s">
        <v>3205</v>
      </c>
      <c r="J20" s="1" t="s">
        <v>3205</v>
      </c>
    </row>
    <row r="21" spans="2:10">
      <c r="B21" s="1" t="s">
        <v>3235</v>
      </c>
      <c r="C21" s="44" t="s">
        <v>188</v>
      </c>
      <c r="E21" s="1">
        <v>2.6499999999999999E-2</v>
      </c>
      <c r="F21" s="1" t="s">
        <v>16</v>
      </c>
      <c r="H21" s="1" t="s">
        <v>3205</v>
      </c>
      <c r="J21" s="1" t="s">
        <v>3205</v>
      </c>
    </row>
    <row r="22" spans="2:10">
      <c r="B22" s="1" t="s">
        <v>3235</v>
      </c>
      <c r="C22" s="44" t="s">
        <v>2968</v>
      </c>
      <c r="D22" s="1" t="s">
        <v>3628</v>
      </c>
      <c r="F22" s="1" t="s">
        <v>79</v>
      </c>
      <c r="H22" s="1" t="s">
        <v>3205</v>
      </c>
      <c r="J22" s="1" t="s">
        <v>3205</v>
      </c>
    </row>
    <row r="23" spans="2:10">
      <c r="B23" s="1" t="s">
        <v>3235</v>
      </c>
      <c r="C23" s="44" t="s">
        <v>189</v>
      </c>
      <c r="D23" s="1">
        <v>2</v>
      </c>
      <c r="E23" s="1">
        <v>2</v>
      </c>
      <c r="F23" s="1" t="s">
        <v>16</v>
      </c>
      <c r="H23" s="1" t="s">
        <v>3205</v>
      </c>
      <c r="J23" s="1" t="s">
        <v>3205</v>
      </c>
    </row>
    <row r="24" spans="2:10">
      <c r="B24" s="1" t="s">
        <v>3235</v>
      </c>
      <c r="C24" s="44" t="s">
        <v>198</v>
      </c>
      <c r="D24" s="1" t="s">
        <v>254</v>
      </c>
      <c r="E24" s="1">
        <v>1</v>
      </c>
      <c r="F24" s="1" t="s">
        <v>16</v>
      </c>
      <c r="H24" s="1" t="s">
        <v>3205</v>
      </c>
      <c r="J24" s="1" t="s">
        <v>3205</v>
      </c>
    </row>
    <row r="25" spans="2:10">
      <c r="B25" s="1" t="s">
        <v>3235</v>
      </c>
      <c r="C25" s="44" t="s">
        <v>2899</v>
      </c>
      <c r="E25" s="1">
        <v>1.2500000000000001E-2</v>
      </c>
      <c r="F25" s="1" t="s">
        <v>79</v>
      </c>
      <c r="H25" s="1" t="s">
        <v>3205</v>
      </c>
      <c r="J25" s="1" t="s">
        <v>3205</v>
      </c>
    </row>
    <row r="26" spans="2:10">
      <c r="B26" s="1" t="s">
        <v>3235</v>
      </c>
      <c r="C26" s="44" t="s">
        <v>192</v>
      </c>
      <c r="F26" s="1" t="s">
        <v>3236</v>
      </c>
      <c r="H26" s="1" t="s">
        <v>3205</v>
      </c>
      <c r="J26" s="1" t="s">
        <v>3205</v>
      </c>
    </row>
    <row r="27" spans="2:10">
      <c r="B27" s="1" t="s">
        <v>3235</v>
      </c>
      <c r="C27" s="44" t="s">
        <v>3492</v>
      </c>
      <c r="D27" s="1" t="s">
        <v>3544</v>
      </c>
      <c r="E27" s="1">
        <v>20</v>
      </c>
      <c r="F27" s="1" t="s">
        <v>3236</v>
      </c>
      <c r="H27" s="1" t="s">
        <v>755</v>
      </c>
      <c r="J27" s="1" t="s">
        <v>755</v>
      </c>
    </row>
    <row r="28" spans="2:10">
      <c r="B28" s="1" t="s">
        <v>3235</v>
      </c>
      <c r="C28" s="44" t="s">
        <v>3493</v>
      </c>
      <c r="D28" s="1" t="s">
        <v>3544</v>
      </c>
      <c r="F28" s="1" t="s">
        <v>91</v>
      </c>
      <c r="H28" s="1" t="s">
        <v>755</v>
      </c>
      <c r="J28" s="1" t="s">
        <v>755</v>
      </c>
    </row>
    <row r="29" spans="2:10">
      <c r="B29" s="1" t="s">
        <v>3235</v>
      </c>
      <c r="C29" s="44" t="s">
        <v>3494</v>
      </c>
      <c r="D29" s="1" t="s">
        <v>3544</v>
      </c>
      <c r="F29" s="1" t="s">
        <v>91</v>
      </c>
      <c r="H29" s="1" t="s">
        <v>755</v>
      </c>
      <c r="J29" s="1" t="s">
        <v>755</v>
      </c>
    </row>
    <row r="30" spans="2:10">
      <c r="B30" s="1" t="s">
        <v>3259</v>
      </c>
      <c r="C30" s="44" t="s">
        <v>46</v>
      </c>
      <c r="E30" s="1">
        <v>2.75E-2</v>
      </c>
      <c r="F30" s="1" t="s">
        <v>79</v>
      </c>
      <c r="H30" s="1" t="s">
        <v>755</v>
      </c>
      <c r="J30" s="1" t="s">
        <v>755</v>
      </c>
    </row>
    <row r="31" spans="2:10">
      <c r="B31" s="1" t="s">
        <v>3259</v>
      </c>
      <c r="C31" s="44" t="s">
        <v>188</v>
      </c>
      <c r="E31" s="1">
        <v>3.6999999999999998E-2</v>
      </c>
      <c r="F31" s="1" t="s">
        <v>16</v>
      </c>
      <c r="H31" s="1" t="s">
        <v>3205</v>
      </c>
      <c r="J31" s="1" t="s">
        <v>3205</v>
      </c>
    </row>
    <row r="32" spans="2:10">
      <c r="B32" s="1" t="s">
        <v>3259</v>
      </c>
      <c r="C32" s="44" t="s">
        <v>2968</v>
      </c>
      <c r="D32" s="1" t="s">
        <v>3884</v>
      </c>
      <c r="F32" s="1" t="s">
        <v>79</v>
      </c>
      <c r="H32" s="1" t="s">
        <v>3205</v>
      </c>
      <c r="J32" s="1" t="s">
        <v>3205</v>
      </c>
    </row>
    <row r="33" spans="2:10">
      <c r="B33" s="1" t="s">
        <v>3259</v>
      </c>
      <c r="C33" s="44" t="s">
        <v>189</v>
      </c>
      <c r="D33" s="1" t="s">
        <v>3233</v>
      </c>
      <c r="E33" s="1">
        <v>2</v>
      </c>
      <c r="F33" s="1" t="s">
        <v>16</v>
      </c>
      <c r="H33" s="1" t="s">
        <v>3205</v>
      </c>
      <c r="J33" s="1" t="s">
        <v>3205</v>
      </c>
    </row>
    <row r="34" spans="2:10">
      <c r="B34" s="1" t="s">
        <v>3259</v>
      </c>
      <c r="C34" s="44" t="s">
        <v>2969</v>
      </c>
      <c r="D34" s="1" t="s">
        <v>3885</v>
      </c>
      <c r="F34" s="1" t="s">
        <v>79</v>
      </c>
      <c r="H34" s="1" t="s">
        <v>3205</v>
      </c>
      <c r="J34" s="1" t="s">
        <v>3205</v>
      </c>
    </row>
    <row r="35" spans="2:10">
      <c r="B35" s="1" t="s">
        <v>3259</v>
      </c>
      <c r="C35" s="44" t="s">
        <v>197</v>
      </c>
      <c r="D35" s="1" t="s">
        <v>3234</v>
      </c>
      <c r="E35" s="1">
        <v>3</v>
      </c>
      <c r="F35" s="1" t="s">
        <v>16</v>
      </c>
      <c r="H35" s="1" t="s">
        <v>3205</v>
      </c>
      <c r="J35" s="1" t="s">
        <v>3205</v>
      </c>
    </row>
    <row r="36" spans="2:10">
      <c r="B36" s="1" t="s">
        <v>3259</v>
      </c>
      <c r="C36" s="44" t="s">
        <v>199</v>
      </c>
      <c r="D36" s="1">
        <v>55</v>
      </c>
      <c r="E36" s="1">
        <v>55</v>
      </c>
      <c r="F36" s="1" t="s">
        <v>3237</v>
      </c>
      <c r="H36" s="1" t="s">
        <v>3205</v>
      </c>
      <c r="J36" s="1" t="s">
        <v>3205</v>
      </c>
    </row>
    <row r="37" spans="2:10">
      <c r="B37" s="1" t="s">
        <v>3255</v>
      </c>
      <c r="C37" s="44" t="s">
        <v>46</v>
      </c>
      <c r="E37" s="1">
        <v>2.75E-2</v>
      </c>
      <c r="F37" s="1" t="s">
        <v>79</v>
      </c>
      <c r="H37" s="1" t="s">
        <v>3205</v>
      </c>
      <c r="J37" s="1" t="s">
        <v>3205</v>
      </c>
    </row>
    <row r="38" spans="2:10">
      <c r="B38" s="1" t="s">
        <v>3255</v>
      </c>
      <c r="C38" s="44" t="s">
        <v>188</v>
      </c>
      <c r="E38" s="1">
        <v>3.6999999999999998E-2</v>
      </c>
      <c r="F38" s="1" t="s">
        <v>16</v>
      </c>
      <c r="H38" s="1" t="s">
        <v>3205</v>
      </c>
      <c r="J38" s="1" t="s">
        <v>3205</v>
      </c>
    </row>
    <row r="39" spans="2:10">
      <c r="B39" s="1" t="s">
        <v>3255</v>
      </c>
      <c r="C39" s="44" t="s">
        <v>2968</v>
      </c>
      <c r="D39" s="1" t="s">
        <v>3625</v>
      </c>
      <c r="F39" s="1" t="s">
        <v>79</v>
      </c>
      <c r="H39" s="1" t="s">
        <v>3205</v>
      </c>
      <c r="J39" s="1" t="s">
        <v>3205</v>
      </c>
    </row>
    <row r="40" spans="2:10">
      <c r="B40" s="1" t="s">
        <v>3255</v>
      </c>
      <c r="C40" s="44" t="s">
        <v>189</v>
      </c>
      <c r="D40" s="1" t="s">
        <v>3233</v>
      </c>
      <c r="E40" s="1">
        <v>2</v>
      </c>
      <c r="F40" s="1" t="s">
        <v>16</v>
      </c>
      <c r="H40" s="1" t="s">
        <v>3205</v>
      </c>
      <c r="J40" s="1" t="s">
        <v>3205</v>
      </c>
    </row>
    <row r="41" spans="2:10">
      <c r="B41" s="1" t="s">
        <v>3255</v>
      </c>
      <c r="C41" s="44" t="s">
        <v>2969</v>
      </c>
      <c r="D41" s="1" t="s">
        <v>3627</v>
      </c>
      <c r="F41" s="1" t="s">
        <v>79</v>
      </c>
      <c r="H41" s="1" t="s">
        <v>3205</v>
      </c>
      <c r="J41" s="1" t="s">
        <v>3205</v>
      </c>
    </row>
    <row r="42" spans="2:10">
      <c r="B42" s="1" t="s">
        <v>3255</v>
      </c>
      <c r="C42" s="44" t="s">
        <v>197</v>
      </c>
      <c r="D42" s="1" t="s">
        <v>3234</v>
      </c>
      <c r="E42" s="1">
        <v>3</v>
      </c>
      <c r="F42" s="1" t="s">
        <v>16</v>
      </c>
      <c r="H42" s="1" t="s">
        <v>3205</v>
      </c>
      <c r="J42" s="1" t="s">
        <v>3205</v>
      </c>
    </row>
    <row r="43" spans="2:10">
      <c r="B43" s="1" t="s">
        <v>3255</v>
      </c>
      <c r="C43" s="44" t="s">
        <v>199</v>
      </c>
      <c r="D43" s="1">
        <v>60</v>
      </c>
      <c r="E43" s="1">
        <v>60</v>
      </c>
      <c r="F43" s="1" t="s">
        <v>3237</v>
      </c>
      <c r="H43" s="1" t="s">
        <v>3205</v>
      </c>
      <c r="J43" s="1" t="s">
        <v>3205</v>
      </c>
    </row>
    <row r="44" spans="2:10">
      <c r="B44" s="1" t="s">
        <v>3256</v>
      </c>
      <c r="C44" s="44" t="s">
        <v>46</v>
      </c>
      <c r="E44" s="1">
        <v>2.75E-2</v>
      </c>
      <c r="F44" s="1" t="s">
        <v>79</v>
      </c>
      <c r="H44" s="1" t="s">
        <v>3205</v>
      </c>
      <c r="J44" s="1" t="s">
        <v>3205</v>
      </c>
    </row>
    <row r="45" spans="2:10">
      <c r="B45" s="1" t="s">
        <v>3256</v>
      </c>
      <c r="C45" s="44" t="s">
        <v>188</v>
      </c>
      <c r="E45" s="1">
        <v>3.6999999999999998E-2</v>
      </c>
      <c r="F45" s="1" t="s">
        <v>16</v>
      </c>
      <c r="H45" s="1" t="s">
        <v>3205</v>
      </c>
      <c r="J45" s="1" t="s">
        <v>3205</v>
      </c>
    </row>
    <row r="46" spans="2:10">
      <c r="B46" s="1" t="s">
        <v>3256</v>
      </c>
      <c r="C46" s="44" t="s">
        <v>2968</v>
      </c>
      <c r="D46" s="1" t="s">
        <v>3625</v>
      </c>
      <c r="F46" s="1" t="s">
        <v>79</v>
      </c>
      <c r="H46" s="1" t="s">
        <v>3205</v>
      </c>
      <c r="J46" s="1" t="s">
        <v>3205</v>
      </c>
    </row>
    <row r="47" spans="2:10">
      <c r="B47" s="1" t="s">
        <v>3256</v>
      </c>
      <c r="C47" s="44" t="s">
        <v>189</v>
      </c>
      <c r="D47" s="1" t="s">
        <v>3233</v>
      </c>
      <c r="E47" s="1">
        <v>2</v>
      </c>
      <c r="F47" s="1" t="s">
        <v>16</v>
      </c>
      <c r="H47" s="1" t="s">
        <v>3205</v>
      </c>
      <c r="J47" s="1" t="s">
        <v>3205</v>
      </c>
    </row>
    <row r="48" spans="2:10">
      <c r="B48" s="1" t="s">
        <v>3256</v>
      </c>
      <c r="C48" s="44" t="s">
        <v>2969</v>
      </c>
      <c r="D48" s="1" t="s">
        <v>3627</v>
      </c>
      <c r="F48" s="1" t="s">
        <v>79</v>
      </c>
      <c r="H48" s="1" t="s">
        <v>3205</v>
      </c>
      <c r="J48" s="1" t="s">
        <v>3205</v>
      </c>
    </row>
    <row r="49" spans="2:10">
      <c r="B49" s="1" t="s">
        <v>3256</v>
      </c>
      <c r="C49" s="44" t="s">
        <v>197</v>
      </c>
      <c r="D49" s="1" t="s">
        <v>3234</v>
      </c>
      <c r="E49" s="1">
        <v>3</v>
      </c>
      <c r="F49" s="1" t="s">
        <v>16</v>
      </c>
      <c r="H49" s="1" t="s">
        <v>3205</v>
      </c>
      <c r="J49" s="1" t="s">
        <v>3205</v>
      </c>
    </row>
    <row r="50" spans="2:10">
      <c r="B50" s="1" t="s">
        <v>3256</v>
      </c>
      <c r="C50" s="44" t="s">
        <v>199</v>
      </c>
      <c r="D50" s="1">
        <v>65</v>
      </c>
      <c r="E50" s="1">
        <v>65</v>
      </c>
      <c r="F50" s="1" t="s">
        <v>3237</v>
      </c>
      <c r="H50" s="1" t="s">
        <v>3205</v>
      </c>
      <c r="J50" s="1" t="s">
        <v>3205</v>
      </c>
    </row>
    <row r="51" spans="2:10" s="105" customFormat="1">
      <c r="B51" s="105" t="s">
        <v>4757</v>
      </c>
      <c r="C51" s="105" t="s">
        <v>4709</v>
      </c>
      <c r="F51" s="105" t="s">
        <v>3237</v>
      </c>
      <c r="H51" s="105" t="s">
        <v>3205</v>
      </c>
      <c r="J51" s="105" t="s">
        <v>3205</v>
      </c>
    </row>
    <row r="52" spans="2:10" s="105" customFormat="1">
      <c r="B52" s="105" t="s">
        <v>4757</v>
      </c>
      <c r="C52" s="105" t="s">
        <v>4744</v>
      </c>
      <c r="F52" s="105" t="s">
        <v>3237</v>
      </c>
      <c r="H52" s="105" t="s">
        <v>3205</v>
      </c>
      <c r="J52" s="105" t="s">
        <v>3205</v>
      </c>
    </row>
    <row r="53" spans="2:10" s="105" customFormat="1">
      <c r="B53" s="105" t="s">
        <v>4757</v>
      </c>
      <c r="C53" s="105" t="s">
        <v>4762</v>
      </c>
      <c r="F53" s="105" t="s">
        <v>4760</v>
      </c>
      <c r="H53" s="105" t="s">
        <v>3205</v>
      </c>
      <c r="J53" s="105" t="s">
        <v>3205</v>
      </c>
    </row>
    <row r="54" spans="2:10" s="105" customFormat="1">
      <c r="B54" s="105" t="s">
        <v>4757</v>
      </c>
      <c r="C54" s="105" t="s">
        <v>4764</v>
      </c>
      <c r="F54" s="105" t="s">
        <v>4760</v>
      </c>
      <c r="H54" s="105" t="s">
        <v>3205</v>
      </c>
      <c r="J54" s="105" t="s">
        <v>3205</v>
      </c>
    </row>
    <row r="55" spans="2:10" s="105" customFormat="1">
      <c r="B55" s="105" t="s">
        <v>4757</v>
      </c>
      <c r="C55" s="105" t="s">
        <v>4750</v>
      </c>
      <c r="E55" s="105">
        <v>0.06</v>
      </c>
      <c r="F55" s="105" t="s">
        <v>3237</v>
      </c>
      <c r="H55" s="105" t="s">
        <v>3205</v>
      </c>
      <c r="J55" s="105" t="s">
        <v>3205</v>
      </c>
    </row>
    <row r="56" spans="2:10" s="105" customFormat="1">
      <c r="B56" s="105" t="s">
        <v>4757</v>
      </c>
      <c r="C56" s="105" t="s">
        <v>4751</v>
      </c>
      <c r="E56" s="105">
        <v>0.02</v>
      </c>
      <c r="F56" s="105" t="s">
        <v>3237</v>
      </c>
      <c r="H56" s="105" t="s">
        <v>3205</v>
      </c>
      <c r="J56" s="105" t="s">
        <v>3205</v>
      </c>
    </row>
    <row r="57" spans="2:10" s="105" customFormat="1">
      <c r="B57" s="105" t="s">
        <v>4757</v>
      </c>
      <c r="C57" s="105" t="s">
        <v>4752</v>
      </c>
      <c r="E57" s="105">
        <v>0</v>
      </c>
      <c r="F57" s="105" t="s">
        <v>4760</v>
      </c>
      <c r="H57" s="105" t="s">
        <v>3205</v>
      </c>
      <c r="J57" s="105" t="s">
        <v>3205</v>
      </c>
    </row>
    <row r="58" spans="2:10" s="105" customFormat="1">
      <c r="B58" s="105" t="s">
        <v>4757</v>
      </c>
      <c r="C58" s="105" t="s">
        <v>4753</v>
      </c>
      <c r="E58" s="105">
        <v>-0.06</v>
      </c>
      <c r="F58" s="105" t="s">
        <v>4760</v>
      </c>
      <c r="H58" s="105" t="s">
        <v>3205</v>
      </c>
      <c r="J58" s="105" t="s">
        <v>3205</v>
      </c>
    </row>
    <row r="59" spans="2:10" s="105" customFormat="1">
      <c r="B59" s="105" t="s">
        <v>4704</v>
      </c>
      <c r="C59" s="127" t="s">
        <v>4887</v>
      </c>
      <c r="F59" s="105" t="s">
        <v>4888</v>
      </c>
      <c r="H59" s="105" t="s">
        <v>523</v>
      </c>
      <c r="J59" s="105" t="s">
        <v>523</v>
      </c>
    </row>
    <row r="60" spans="2:10" s="105" customFormat="1">
      <c r="B60" s="105" t="s">
        <v>4775</v>
      </c>
      <c r="C60" s="105" t="s">
        <v>4709</v>
      </c>
      <c r="F60" s="105" t="s">
        <v>4777</v>
      </c>
      <c r="H60" s="105" t="s">
        <v>523</v>
      </c>
      <c r="J60" s="105" t="s">
        <v>523</v>
      </c>
    </row>
    <row r="61" spans="2:10" s="105" customFormat="1">
      <c r="B61" s="105" t="s">
        <v>4775</v>
      </c>
      <c r="C61" s="127" t="s">
        <v>4745</v>
      </c>
      <c r="F61" s="105" t="s">
        <v>4777</v>
      </c>
      <c r="H61" s="105" t="s">
        <v>523</v>
      </c>
      <c r="J61" s="105" t="s">
        <v>523</v>
      </c>
    </row>
    <row r="62" spans="2:10" s="105" customFormat="1">
      <c r="B62" s="105" t="s">
        <v>4775</v>
      </c>
      <c r="C62" s="127" t="s">
        <v>4746</v>
      </c>
      <c r="D62" s="105" t="s">
        <v>4778</v>
      </c>
      <c r="E62" s="105">
        <v>2</v>
      </c>
      <c r="F62" s="105" t="s">
        <v>4777</v>
      </c>
      <c r="H62" s="105" t="s">
        <v>523</v>
      </c>
      <c r="J62" s="105" t="s">
        <v>523</v>
      </c>
    </row>
    <row r="63" spans="2:10" s="105" customFormat="1">
      <c r="B63" s="105" t="s">
        <v>4775</v>
      </c>
      <c r="C63" s="127" t="s">
        <v>4747</v>
      </c>
      <c r="E63" s="105">
        <v>10</v>
      </c>
      <c r="F63" s="105" t="s">
        <v>4776</v>
      </c>
      <c r="H63" s="105" t="s">
        <v>523</v>
      </c>
      <c r="J63" s="105" t="s">
        <v>523</v>
      </c>
    </row>
    <row r="64" spans="2:10" s="105" customFormat="1">
      <c r="B64" s="105" t="s">
        <v>4775</v>
      </c>
      <c r="C64" s="127" t="s">
        <v>4748</v>
      </c>
      <c r="E64" s="105">
        <v>0.01</v>
      </c>
      <c r="F64" s="105" t="s">
        <v>4777</v>
      </c>
      <c r="H64" s="105" t="s">
        <v>523</v>
      </c>
      <c r="J64" s="105" t="s">
        <v>523</v>
      </c>
    </row>
    <row r="65" spans="2:10" s="105" customFormat="1">
      <c r="B65" s="105" t="s">
        <v>4775</v>
      </c>
      <c r="C65" s="127" t="s">
        <v>4750</v>
      </c>
      <c r="E65" s="105">
        <v>0.06</v>
      </c>
      <c r="F65" s="105" t="s">
        <v>4777</v>
      </c>
      <c r="H65" s="105" t="s">
        <v>523</v>
      </c>
      <c r="J65" s="105" t="s">
        <v>523</v>
      </c>
    </row>
    <row r="66" spans="2:10" s="105" customFormat="1">
      <c r="B66" s="105" t="s">
        <v>4775</v>
      </c>
      <c r="C66" s="127" t="s">
        <v>4751</v>
      </c>
      <c r="E66" s="105">
        <v>0.02</v>
      </c>
      <c r="F66" s="105" t="s">
        <v>4777</v>
      </c>
      <c r="H66" s="105" t="s">
        <v>523</v>
      </c>
      <c r="J66" s="105" t="s">
        <v>523</v>
      </c>
    </row>
    <row r="67" spans="2:10" s="105" customFormat="1">
      <c r="B67" s="105" t="s">
        <v>4775</v>
      </c>
      <c r="C67" s="127" t="s">
        <v>4752</v>
      </c>
      <c r="E67" s="105">
        <v>0</v>
      </c>
      <c r="F67" s="105" t="s">
        <v>4776</v>
      </c>
      <c r="H67" s="105" t="s">
        <v>523</v>
      </c>
      <c r="J67" s="105" t="s">
        <v>523</v>
      </c>
    </row>
    <row r="68" spans="2:10" s="105" customFormat="1">
      <c r="B68" s="105" t="s">
        <v>4775</v>
      </c>
      <c r="C68" s="127" t="s">
        <v>4753</v>
      </c>
      <c r="E68" s="105">
        <v>-0.06</v>
      </c>
      <c r="F68" s="105" t="s">
        <v>4776</v>
      </c>
      <c r="H68" s="105" t="s">
        <v>523</v>
      </c>
      <c r="J68" s="105" t="s">
        <v>523</v>
      </c>
    </row>
    <row r="69" spans="2:10">
      <c r="B69" s="107" t="s">
        <v>4946</v>
      </c>
      <c r="C69" s="107" t="s">
        <v>4709</v>
      </c>
      <c r="D69" s="107"/>
      <c r="E69" s="107"/>
      <c r="F69" s="107" t="s">
        <v>16</v>
      </c>
      <c r="G69" s="107"/>
      <c r="H69" s="107" t="s">
        <v>523</v>
      </c>
      <c r="I69" s="107"/>
      <c r="J69" s="107" t="s">
        <v>523</v>
      </c>
    </row>
    <row r="70" spans="2:10">
      <c r="B70" s="107" t="s">
        <v>4946</v>
      </c>
      <c r="C70" s="117" t="s">
        <v>4745</v>
      </c>
      <c r="D70" s="107"/>
      <c r="E70" s="107"/>
      <c r="F70" s="107" t="s">
        <v>16</v>
      </c>
      <c r="G70" s="107"/>
      <c r="H70" s="107" t="s">
        <v>523</v>
      </c>
      <c r="I70" s="107"/>
      <c r="J70" s="107" t="s">
        <v>523</v>
      </c>
    </row>
    <row r="71" spans="2:10">
      <c r="B71" s="107" t="s">
        <v>4946</v>
      </c>
      <c r="C71" s="117" t="s">
        <v>4746</v>
      </c>
      <c r="D71" s="107" t="s">
        <v>4778</v>
      </c>
      <c r="E71" s="107">
        <v>2</v>
      </c>
      <c r="F71" s="107" t="s">
        <v>16</v>
      </c>
      <c r="G71" s="107"/>
      <c r="H71" s="107" t="s">
        <v>523</v>
      </c>
      <c r="I71" s="107"/>
      <c r="J71" s="107" t="s">
        <v>523</v>
      </c>
    </row>
    <row r="72" spans="2:10">
      <c r="B72" s="107" t="s">
        <v>4946</v>
      </c>
      <c r="C72" s="117" t="s">
        <v>4747</v>
      </c>
      <c r="D72" s="107"/>
      <c r="E72" s="107">
        <v>10</v>
      </c>
      <c r="F72" s="107" t="s">
        <v>561</v>
      </c>
      <c r="G72" s="107"/>
      <c r="H72" s="107" t="s">
        <v>523</v>
      </c>
      <c r="I72" s="107"/>
      <c r="J72" s="107" t="s">
        <v>523</v>
      </c>
    </row>
    <row r="73" spans="2:10">
      <c r="B73" s="107" t="s">
        <v>4946</v>
      </c>
      <c r="C73" s="117" t="s">
        <v>4748</v>
      </c>
      <c r="D73" s="107"/>
      <c r="E73" s="107">
        <v>0.01</v>
      </c>
      <c r="F73" s="107" t="s">
        <v>16</v>
      </c>
      <c r="G73" s="107"/>
      <c r="H73" s="107" t="s">
        <v>523</v>
      </c>
      <c r="I73" s="107"/>
      <c r="J73" s="107" t="s">
        <v>523</v>
      </c>
    </row>
    <row r="74" spans="2:10">
      <c r="B74" s="107" t="s">
        <v>4946</v>
      </c>
      <c r="C74" s="117" t="s">
        <v>4750</v>
      </c>
      <c r="D74" s="107"/>
      <c r="E74" s="107">
        <v>0.06</v>
      </c>
      <c r="F74" s="107" t="s">
        <v>16</v>
      </c>
      <c r="G74" s="107"/>
      <c r="H74" s="107" t="s">
        <v>523</v>
      </c>
      <c r="I74" s="107"/>
      <c r="J74" s="107" t="s">
        <v>523</v>
      </c>
    </row>
    <row r="75" spans="2:10">
      <c r="B75" s="107" t="s">
        <v>4946</v>
      </c>
      <c r="C75" s="117" t="s">
        <v>4751</v>
      </c>
      <c r="D75" s="107"/>
      <c r="E75" s="107">
        <v>0.02</v>
      </c>
      <c r="F75" s="107" t="s">
        <v>16</v>
      </c>
      <c r="G75" s="107"/>
      <c r="H75" s="107" t="s">
        <v>523</v>
      </c>
      <c r="I75" s="107"/>
      <c r="J75" s="107" t="s">
        <v>523</v>
      </c>
    </row>
    <row r="76" spans="2:10">
      <c r="B76" s="107" t="s">
        <v>4946</v>
      </c>
      <c r="C76" s="117" t="s">
        <v>4752</v>
      </c>
      <c r="D76" s="107"/>
      <c r="E76" s="107">
        <v>0</v>
      </c>
      <c r="F76" s="107" t="s">
        <v>561</v>
      </c>
      <c r="G76" s="107"/>
      <c r="H76" s="107" t="s">
        <v>523</v>
      </c>
      <c r="I76" s="107"/>
      <c r="J76" s="107" t="s">
        <v>523</v>
      </c>
    </row>
    <row r="77" spans="2:10">
      <c r="B77" s="107" t="s">
        <v>4946</v>
      </c>
      <c r="C77" s="117" t="s">
        <v>4753</v>
      </c>
      <c r="D77" s="107"/>
      <c r="E77" s="107">
        <v>-0.06</v>
      </c>
      <c r="F77" s="107" t="s">
        <v>561</v>
      </c>
      <c r="G77" s="107"/>
      <c r="H77" s="107" t="s">
        <v>523</v>
      </c>
      <c r="I77" s="107"/>
      <c r="J77" s="107" t="s">
        <v>523</v>
      </c>
    </row>
  </sheetData>
  <phoneticPr fontId="3" type="noConversion"/>
  <hyperlinks>
    <hyperlink ref="A1" location="目錄!A1" display="回到目錄"/>
  </hyperlinks>
  <pageMargins left="0.7" right="0.7" top="0.75" bottom="0.75" header="0.3" footer="0.3"/>
  <pageSetup paperSize="9" orientation="portrait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5"/>
  <dimension ref="A1:G35"/>
  <sheetViews>
    <sheetView workbookViewId="0">
      <pane ySplit="1" topLeftCell="A10" activePane="bottomLeft" state="frozen"/>
      <selection activeCell="B1" sqref="B1"/>
      <selection pane="bottomLeft" activeCell="D29" sqref="D29"/>
    </sheetView>
  </sheetViews>
  <sheetFormatPr defaultRowHeight="13.8"/>
  <cols>
    <col min="1" max="1" width="7.453125" style="15" bestFit="1" customWidth="1"/>
    <col min="2" max="2" width="8.54296875" style="15" bestFit="1" customWidth="1"/>
    <col min="3" max="3" width="7.26953125" style="15" bestFit="1" customWidth="1"/>
    <col min="4" max="4" width="23.1796875" style="15" bestFit="1" customWidth="1"/>
    <col min="5" max="5" width="17.90625" style="15" customWidth="1"/>
    <col min="6" max="6" width="7.453125" style="15" bestFit="1" customWidth="1"/>
    <col min="7" max="7" width="19.81640625" style="15" bestFit="1" customWidth="1"/>
    <col min="8" max="9" width="3.08984375" style="15" bestFit="1" customWidth="1"/>
    <col min="10" max="10" width="10.08984375" style="15" bestFit="1" customWidth="1"/>
    <col min="11" max="16384" width="8.7265625" style="15"/>
  </cols>
  <sheetData>
    <row r="1" spans="1:7">
      <c r="A1" s="63" t="s">
        <v>36</v>
      </c>
      <c r="B1" s="82" t="s">
        <v>171</v>
      </c>
      <c r="C1" s="82" t="s">
        <v>2975</v>
      </c>
      <c r="D1" s="82" t="s">
        <v>720</v>
      </c>
      <c r="E1" s="82" t="s">
        <v>2976</v>
      </c>
      <c r="F1" s="82" t="s">
        <v>719</v>
      </c>
    </row>
    <row r="2" spans="1:7">
      <c r="B2" s="15" t="s">
        <v>520</v>
      </c>
      <c r="D2" s="15" t="s">
        <v>46</v>
      </c>
      <c r="E2" s="24">
        <v>2.75E-2</v>
      </c>
      <c r="F2" s="24" t="s">
        <v>79</v>
      </c>
    </row>
    <row r="3" spans="1:7">
      <c r="B3" s="15" t="s">
        <v>520</v>
      </c>
      <c r="D3" s="15" t="s">
        <v>188</v>
      </c>
      <c r="E3" s="15">
        <v>3.2500000000000001E-2</v>
      </c>
      <c r="F3" s="15" t="s">
        <v>16</v>
      </c>
    </row>
    <row r="4" spans="1:7">
      <c r="B4" s="15" t="s">
        <v>520</v>
      </c>
      <c r="D4" s="15" t="s">
        <v>2968</v>
      </c>
      <c r="E4" s="15" t="s">
        <v>2972</v>
      </c>
      <c r="F4" s="15" t="s">
        <v>79</v>
      </c>
    </row>
    <row r="5" spans="1:7" ht="55.2">
      <c r="B5" s="15" t="s">
        <v>520</v>
      </c>
      <c r="D5" s="15" t="s">
        <v>189</v>
      </c>
      <c r="E5" s="24" t="s">
        <v>254</v>
      </c>
      <c r="F5" s="15" t="s">
        <v>16</v>
      </c>
      <c r="G5" s="24" t="s">
        <v>211</v>
      </c>
    </row>
    <row r="6" spans="1:7">
      <c r="B6" s="15" t="s">
        <v>520</v>
      </c>
      <c r="D6" s="15" t="s">
        <v>2969</v>
      </c>
      <c r="E6" s="15" t="s">
        <v>2973</v>
      </c>
      <c r="F6" s="15" t="s">
        <v>79</v>
      </c>
    </row>
    <row r="7" spans="1:7" ht="55.2">
      <c r="B7" s="15" t="s">
        <v>520</v>
      </c>
      <c r="D7" s="15" t="s">
        <v>197</v>
      </c>
      <c r="E7" s="24" t="s">
        <v>170</v>
      </c>
      <c r="F7" s="15" t="s">
        <v>16</v>
      </c>
      <c r="G7" s="24" t="s">
        <v>211</v>
      </c>
    </row>
    <row r="8" spans="1:7">
      <c r="B8" s="15" t="s">
        <v>520</v>
      </c>
      <c r="D8" s="15" t="s">
        <v>2971</v>
      </c>
      <c r="E8" s="15" t="s">
        <v>2974</v>
      </c>
      <c r="F8" s="15" t="s">
        <v>79</v>
      </c>
    </row>
    <row r="9" spans="1:7" ht="55.2">
      <c r="B9" s="15" t="s">
        <v>520</v>
      </c>
      <c r="D9" s="15" t="s">
        <v>738</v>
      </c>
      <c r="E9" s="24" t="s">
        <v>170</v>
      </c>
      <c r="F9" s="15" t="s">
        <v>16</v>
      </c>
      <c r="G9" s="24" t="s">
        <v>211</v>
      </c>
    </row>
    <row r="10" spans="1:7" ht="27.6">
      <c r="B10" s="15" t="s">
        <v>520</v>
      </c>
      <c r="D10" s="15" t="s">
        <v>198</v>
      </c>
      <c r="E10" s="24" t="s">
        <v>255</v>
      </c>
      <c r="F10" s="15" t="s">
        <v>16</v>
      </c>
      <c r="G10" s="24" t="s">
        <v>213</v>
      </c>
    </row>
    <row r="11" spans="1:7">
      <c r="B11" s="15" t="s">
        <v>520</v>
      </c>
      <c r="D11" s="44" t="s">
        <v>2899</v>
      </c>
      <c r="E11" s="15">
        <v>2.2499999999999999E-2</v>
      </c>
      <c r="F11" s="15" t="s">
        <v>2900</v>
      </c>
    </row>
    <row r="12" spans="1:7">
      <c r="B12" s="15" t="s">
        <v>520</v>
      </c>
      <c r="D12" s="15" t="s">
        <v>192</v>
      </c>
      <c r="F12" s="15" t="s">
        <v>16</v>
      </c>
    </row>
    <row r="13" spans="1:7">
      <c r="B13" s="15" t="s">
        <v>520</v>
      </c>
      <c r="D13" s="15" t="s">
        <v>3492</v>
      </c>
      <c r="F13" s="15" t="s">
        <v>16</v>
      </c>
    </row>
    <row r="14" spans="1:7">
      <c r="B14" s="15" t="s">
        <v>520</v>
      </c>
      <c r="D14" s="15" t="s">
        <v>3493</v>
      </c>
      <c r="F14" s="15" t="s">
        <v>16</v>
      </c>
    </row>
    <row r="15" spans="1:7">
      <c r="B15" s="15" t="s">
        <v>520</v>
      </c>
      <c r="D15" s="15" t="s">
        <v>3494</v>
      </c>
      <c r="F15" s="15" t="s">
        <v>16</v>
      </c>
    </row>
    <row r="16" spans="1:7">
      <c r="B16" s="15" t="s">
        <v>520</v>
      </c>
      <c r="D16" s="44" t="s">
        <v>3498</v>
      </c>
      <c r="F16" s="15" t="s">
        <v>16</v>
      </c>
    </row>
    <row r="17" spans="2:7">
      <c r="B17" s="15" t="s">
        <v>520</v>
      </c>
      <c r="D17" s="15" t="s">
        <v>199</v>
      </c>
      <c r="E17" s="15" t="s">
        <v>256</v>
      </c>
      <c r="F17" s="15" t="s">
        <v>16</v>
      </c>
      <c r="G17" s="15" t="s">
        <v>257</v>
      </c>
    </row>
    <row r="18" spans="2:7">
      <c r="B18" s="15" t="s">
        <v>520</v>
      </c>
      <c r="D18" s="15" t="s">
        <v>3398</v>
      </c>
      <c r="E18" s="15">
        <v>1.2500000000000001E-2</v>
      </c>
      <c r="F18" s="15" t="s">
        <v>16</v>
      </c>
    </row>
    <row r="19" spans="2:7">
      <c r="B19" s="15" t="s">
        <v>520</v>
      </c>
      <c r="D19" s="15" t="s">
        <v>193</v>
      </c>
      <c r="F19" s="15" t="s">
        <v>16</v>
      </c>
    </row>
    <row r="20" spans="2:7">
      <c r="B20" s="15" t="s">
        <v>520</v>
      </c>
      <c r="D20" s="15" t="s">
        <v>200</v>
      </c>
      <c r="F20" s="15" t="s">
        <v>16</v>
      </c>
    </row>
    <row r="21" spans="2:7">
      <c r="B21" s="15" t="s">
        <v>520</v>
      </c>
      <c r="D21" s="44" t="s">
        <v>2910</v>
      </c>
      <c r="F21" s="15" t="s">
        <v>16</v>
      </c>
    </row>
    <row r="22" spans="2:7">
      <c r="B22" s="15" t="s">
        <v>520</v>
      </c>
      <c r="D22" s="44" t="s">
        <v>2911</v>
      </c>
      <c r="F22" s="15" t="s">
        <v>16</v>
      </c>
    </row>
    <row r="23" spans="2:7">
      <c r="B23" s="15" t="s">
        <v>520</v>
      </c>
      <c r="D23" s="44" t="s">
        <v>2908</v>
      </c>
      <c r="F23" s="15" t="s">
        <v>16</v>
      </c>
    </row>
    <row r="24" spans="2:7">
      <c r="B24" s="15" t="s">
        <v>520</v>
      </c>
      <c r="D24" s="15" t="s">
        <v>195</v>
      </c>
      <c r="F24" s="15" t="s">
        <v>16</v>
      </c>
    </row>
    <row r="25" spans="2:7">
      <c r="B25" s="15" t="s">
        <v>520</v>
      </c>
      <c r="D25" s="15" t="s">
        <v>196</v>
      </c>
      <c r="F25" s="15" t="s">
        <v>16</v>
      </c>
    </row>
    <row r="26" spans="2:7">
      <c r="B26" s="15" t="s">
        <v>520</v>
      </c>
      <c r="D26" s="15" t="s">
        <v>194</v>
      </c>
      <c r="F26" s="15" t="s">
        <v>16</v>
      </c>
    </row>
    <row r="27" spans="2:7" ht="55.2">
      <c r="B27" s="15" t="s">
        <v>520</v>
      </c>
      <c r="D27" s="15" t="s">
        <v>202</v>
      </c>
      <c r="E27" s="24" t="s">
        <v>170</v>
      </c>
      <c r="F27" s="15" t="s">
        <v>16</v>
      </c>
      <c r="G27" s="24" t="s">
        <v>212</v>
      </c>
    </row>
    <row r="28" spans="2:7">
      <c r="B28" s="15" t="s">
        <v>520</v>
      </c>
      <c r="D28" s="15" t="s">
        <v>201</v>
      </c>
      <c r="F28" s="15" t="s">
        <v>16</v>
      </c>
    </row>
    <row r="29" spans="2:7">
      <c r="B29" s="15" t="s">
        <v>520</v>
      </c>
      <c r="D29" s="15" t="s">
        <v>203</v>
      </c>
      <c r="F29" s="15" t="s">
        <v>16</v>
      </c>
    </row>
    <row r="32" spans="2:7">
      <c r="E32" s="24"/>
    </row>
    <row r="35" spans="4:6">
      <c r="D35" s="44"/>
      <c r="E35" s="24"/>
      <c r="F35" s="24"/>
    </row>
  </sheetData>
  <phoneticPr fontId="3" type="noConversion"/>
  <hyperlinks>
    <hyperlink ref="A1" location="目錄!A1" display="回到目錄"/>
  </hyperlinks>
  <pageMargins left="0.7" right="0.7" top="0.75" bottom="0.75" header="0.3" footer="0.3"/>
  <pageSetup paperSize="9" orientation="portrait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0"/>
  <dimension ref="A1:S12"/>
  <sheetViews>
    <sheetView workbookViewId="0"/>
  </sheetViews>
  <sheetFormatPr defaultColWidth="11.1796875" defaultRowHeight="13.8"/>
  <cols>
    <col min="1" max="1" width="7.453125" style="10" bestFit="1" customWidth="1"/>
    <col min="2" max="2" width="4.36328125" style="14" bestFit="1" customWidth="1"/>
    <col min="3" max="3" width="14.08984375" style="15" bestFit="1" customWidth="1"/>
    <col min="4" max="4" width="10.08984375" style="15" bestFit="1" customWidth="1"/>
    <col min="5" max="5" width="7.54296875" style="14" bestFit="1" customWidth="1"/>
    <col min="6" max="6" width="10" style="10" bestFit="1" customWidth="1"/>
    <col min="7" max="7" width="11.54296875" style="10" bestFit="1" customWidth="1"/>
    <col min="8" max="8" width="4.36328125" style="15" bestFit="1" customWidth="1"/>
    <col min="9" max="9" width="7.453125" style="15" bestFit="1" customWidth="1"/>
    <col min="10" max="11" width="3.6328125" style="14" bestFit="1" customWidth="1"/>
    <col min="12" max="12" width="4.26953125" style="10" bestFit="1" customWidth="1"/>
    <col min="13" max="13" width="13" style="10" bestFit="1" customWidth="1"/>
    <col min="14" max="16384" width="11.1796875" style="10"/>
  </cols>
  <sheetData>
    <row r="1" spans="1:19" s="17" customFormat="1">
      <c r="A1" s="23" t="s">
        <v>36</v>
      </c>
      <c r="B1" s="5" t="s">
        <v>5</v>
      </c>
      <c r="C1" s="20" t="s">
        <v>3</v>
      </c>
      <c r="D1" s="20" t="s">
        <v>4</v>
      </c>
      <c r="E1" s="7" t="s">
        <v>6</v>
      </c>
      <c r="F1" s="8" t="s">
        <v>13</v>
      </c>
      <c r="G1" s="8" t="s">
        <v>7</v>
      </c>
      <c r="H1" s="9" t="s">
        <v>8</v>
      </c>
      <c r="I1" s="9" t="s">
        <v>105</v>
      </c>
      <c r="J1" s="33"/>
      <c r="K1" s="33"/>
      <c r="L1" s="72" t="s">
        <v>240</v>
      </c>
      <c r="M1" s="72" t="s">
        <v>143</v>
      </c>
      <c r="N1" s="72" t="s">
        <v>470</v>
      </c>
      <c r="O1" s="72" t="s">
        <v>471</v>
      </c>
      <c r="P1" s="72" t="s">
        <v>472</v>
      </c>
      <c r="Q1" s="72" t="s">
        <v>473</v>
      </c>
      <c r="R1" s="72" t="s">
        <v>474</v>
      </c>
      <c r="S1" s="73" t="s">
        <v>475</v>
      </c>
    </row>
    <row r="2" spans="1:19">
      <c r="B2" s="14" t="s">
        <v>145</v>
      </c>
      <c r="C2" s="12" t="s">
        <v>302</v>
      </c>
      <c r="D2" s="12" t="s">
        <v>24</v>
      </c>
      <c r="E2" s="11"/>
      <c r="G2" s="4" t="s">
        <v>144</v>
      </c>
      <c r="L2" s="36"/>
      <c r="M2" s="34"/>
      <c r="N2" s="36" t="str">
        <f>"EXEC sp_dropextendedproperty @name = N'MS_Description', @level0type=N'SCHEMA',@level0name=N'"&amp;$L$1&amp;"', @level1type=N'TABLE',@level1name=N'"&amp;$M$1&amp;"', @level2type=N'COLUMN',@level2name=N'"&amp;$C2&amp;"'"</f>
        <v>EXEC sp_dropextendedproperty @name = N'MS_Description', @level0type=N'SCHEMA',@level0name=N'dbo', @level1type=N'TABLE',@level1name=N'LifeInsJobCode', @level2type=N'COLUMN',@level2name=N'JobCode'</v>
      </c>
      <c r="O2" s="36" t="str">
        <f>"EXEC sp_dropextendedproperty @name = N'Rule', @level0type=N'SCHEMA',@level0name=N'"&amp;$L$1&amp;"', @level1type=N'TABLE',@level1name=N'"&amp;$M$1&amp;"', @level2type=N'COLUMN',@level2name=N'"&amp;$C2&amp;"'"</f>
        <v>EXEC sp_dropextendedproperty @name = N'Rule', @level0type=N'SCHEMA',@level0name=N'dbo', @level1type=N'TABLE',@level1name=N'LifeInsJobCode', @level2type=N'COLUMN',@level2name=N'JobCode'</v>
      </c>
      <c r="P2" s="36" t="str">
        <f>"EXEC sp_dropextendedproperty @name = N'Memo', @level0type=N'SCHEMA',@level0name=N'"&amp;$L$1&amp;"', @level1type=N'TABLE',@level1name=N'"&amp;$M$1&amp;"', @level2type=N'COLUMN',@level2name=N'"&amp;$C2&amp;"'"</f>
        <v>EXEC sp_dropextendedproperty @name = N'Memo', @level0type=N'SCHEMA',@level0name=N'dbo', @level1type=N'TABLE',@level1name=N'LifeInsJobCode', @level2type=N'COLUMN',@level2name=N'JobCode'</v>
      </c>
      <c r="Q2" s="36" t="str">
        <f>"set @OldWording = N'"&amp;SUBSTITUTE($G2,CHAR(10),"")&amp;"'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@level2type=N'COLUMN',@level2name=N'"&amp;$C2&amp;"'"</f>
        <v>set @OldWording = N'職業代碼' set @NewWording = REPLACE(@OldWording,'***',char(13)+char(10)) EXEC sys.sp_addextendedproperty @name=N'MS_Description', @value=@NewWording , @level0type=N'SCHEMA',@level0name=N'dbo', @level1type=N'TABLE',@level1name=N'LifeInsJobCode', @level2type=N'COLUMN',@level2name=N'JobCode'</v>
      </c>
      <c r="R2" s="32" t="str">
        <f>"set @OldWording = N'"&amp;SUBSTITUTE($H2,CHAR(10),"")&amp;"'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@name=N'Rule', @value=@NewWording , @level0type=N'SCHEMA',@level0name=N'dbo', @level1type=N'TABLE',@level1name=N'LifeInsJobCode', @level2type=N'COLUMN',@level2name=N'JobCode'</v>
      </c>
      <c r="S2" s="36" t="str">
        <f>"set @OldWording = N'"&amp;SUBSTITUTE($I2,CHAR(10),"")&amp;"' set @NewWording = REPLACE(@OldWording,'***',char(13)+char(10)) "&amp;"EXEC sys.sp_addextendedproperty @name=N'Memo',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@name=N'Memo', @value=@NewWording , @level0type=N'SCHEMA',@level0name=N'dbo', @level1type=N'TABLE',@level1name=N'LifeInsJobCode', @level2type=N'COLUMN',@level2name=N'JobCode'</v>
      </c>
    </row>
    <row r="3" spans="1:19">
      <c r="C3" s="13" t="s">
        <v>303</v>
      </c>
      <c r="D3" s="13" t="s">
        <v>21</v>
      </c>
      <c r="E3" s="11"/>
      <c r="G3" s="12" t="s">
        <v>122</v>
      </c>
      <c r="H3" s="24"/>
      <c r="I3" s="24"/>
    </row>
    <row r="4" spans="1:19">
      <c r="C4" s="15" t="s">
        <v>304</v>
      </c>
      <c r="D4" s="15" t="s">
        <v>147</v>
      </c>
      <c r="G4" s="10" t="s">
        <v>146</v>
      </c>
    </row>
    <row r="5" spans="1:19">
      <c r="C5" s="15" t="s">
        <v>325</v>
      </c>
      <c r="D5" s="15" t="s">
        <v>331</v>
      </c>
      <c r="E5" s="14" t="s">
        <v>16</v>
      </c>
      <c r="G5" s="10" t="s">
        <v>332</v>
      </c>
      <c r="H5" s="24"/>
      <c r="I5" s="24"/>
    </row>
    <row r="6" spans="1:19">
      <c r="C6" s="15" t="s">
        <v>321</v>
      </c>
      <c r="D6" s="15" t="s">
        <v>35</v>
      </c>
      <c r="E6" s="14" t="s">
        <v>16</v>
      </c>
      <c r="G6" s="10" t="s">
        <v>334</v>
      </c>
      <c r="H6" s="24"/>
      <c r="I6" s="24"/>
    </row>
    <row r="7" spans="1:19">
      <c r="C7" s="15" t="s">
        <v>327</v>
      </c>
      <c r="D7" s="15" t="s">
        <v>330</v>
      </c>
      <c r="E7" s="14" t="s">
        <v>16</v>
      </c>
      <c r="G7" s="10" t="s">
        <v>333</v>
      </c>
      <c r="H7" s="24"/>
      <c r="I7" s="24"/>
    </row>
    <row r="8" spans="1:19">
      <c r="C8" s="15" t="s">
        <v>323</v>
      </c>
      <c r="D8" s="15" t="s">
        <v>147</v>
      </c>
      <c r="E8" s="14" t="s">
        <v>16</v>
      </c>
      <c r="G8" s="10" t="s">
        <v>335</v>
      </c>
      <c r="H8" s="24"/>
      <c r="I8" s="24"/>
    </row>
    <row r="9" spans="1:19">
      <c r="C9" s="12" t="s">
        <v>69</v>
      </c>
      <c r="D9" s="12" t="s">
        <v>11</v>
      </c>
      <c r="E9" s="11" t="s">
        <v>16</v>
      </c>
      <c r="F9" s="13" t="s">
        <v>20</v>
      </c>
      <c r="G9" s="12" t="s">
        <v>30</v>
      </c>
    </row>
    <row r="10" spans="1:19">
      <c r="C10" s="12" t="s">
        <v>1</v>
      </c>
      <c r="D10" s="12" t="s">
        <v>37</v>
      </c>
      <c r="E10" s="11"/>
      <c r="F10" s="13"/>
      <c r="G10" s="12" t="s">
        <v>31</v>
      </c>
    </row>
    <row r="11" spans="1:19">
      <c r="C11" s="12" t="s">
        <v>19</v>
      </c>
      <c r="D11" s="12" t="s">
        <v>11</v>
      </c>
      <c r="E11" s="11" t="s">
        <v>16</v>
      </c>
      <c r="F11" s="13" t="s">
        <v>20</v>
      </c>
      <c r="G11" s="12" t="s">
        <v>32</v>
      </c>
    </row>
    <row r="12" spans="1:19">
      <c r="C12" s="12" t="s">
        <v>70</v>
      </c>
      <c r="D12" s="12" t="s">
        <v>37</v>
      </c>
      <c r="E12" s="11"/>
      <c r="F12" s="13"/>
      <c r="G12" s="12" t="s">
        <v>33</v>
      </c>
    </row>
  </sheetData>
  <phoneticPr fontId="3" type="noConversion"/>
  <hyperlinks>
    <hyperlink ref="A1" location="目錄!A1" display="回到目錄"/>
  </hyperlinks>
  <pageMargins left="0.7" right="0.7" top="0.75" bottom="0.75" header="0.3" footer="0.3"/>
  <pageSetup paperSize="9" orientation="portrait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1"/>
  <dimension ref="A1:P1080"/>
  <sheetViews>
    <sheetView workbookViewId="0">
      <pane ySplit="1" topLeftCell="A2" activePane="bottomLeft" state="frozen"/>
      <selection activeCell="B1" sqref="B1"/>
      <selection pane="bottomLeft"/>
    </sheetView>
  </sheetViews>
  <sheetFormatPr defaultColWidth="11.1796875" defaultRowHeight="15"/>
  <cols>
    <col min="1" max="1" width="7.453125" style="15" bestFit="1" customWidth="1"/>
    <col min="2" max="3" width="8.54296875" style="15" bestFit="1" customWidth="1"/>
    <col min="4" max="4" width="52.453125" style="15" bestFit="1" customWidth="1"/>
    <col min="5" max="5" width="13.81640625" style="15" bestFit="1" customWidth="1"/>
    <col min="6" max="6" width="14.54296875" style="15" bestFit="1" customWidth="1"/>
    <col min="7" max="7" width="13.81640625" style="15" bestFit="1" customWidth="1"/>
    <col min="8" max="8" width="14.54296875" style="15" bestFit="1" customWidth="1"/>
    <col min="9" max="9" width="10" style="15" bestFit="1" customWidth="1"/>
    <col min="10" max="10" width="7" style="15" bestFit="1" customWidth="1"/>
    <col min="11" max="11" width="10.36328125" bestFit="1" customWidth="1"/>
    <col min="12" max="12" width="7.81640625" style="15" bestFit="1" customWidth="1"/>
    <col min="13" max="13" width="3.6328125" style="15" bestFit="1" customWidth="1"/>
    <col min="14" max="15" width="3.6328125" style="15" customWidth="1"/>
    <col min="16" max="16384" width="11.1796875" style="15"/>
  </cols>
  <sheetData>
    <row r="1" spans="1:16" s="38" customFormat="1" ht="13.8">
      <c r="A1" s="63" t="s">
        <v>36</v>
      </c>
      <c r="B1" s="78" t="s">
        <v>302</v>
      </c>
      <c r="C1" s="78" t="s">
        <v>303</v>
      </c>
      <c r="D1" s="78" t="s">
        <v>304</v>
      </c>
      <c r="E1" s="79" t="s">
        <v>326</v>
      </c>
      <c r="F1" s="79" t="s">
        <v>322</v>
      </c>
      <c r="G1" s="79" t="s">
        <v>328</v>
      </c>
      <c r="H1" s="79" t="s">
        <v>324</v>
      </c>
      <c r="I1" s="79" t="s">
        <v>0</v>
      </c>
      <c r="J1" s="79" t="s">
        <v>1</v>
      </c>
      <c r="K1" s="82" t="s">
        <v>19</v>
      </c>
      <c r="L1" s="82" t="s">
        <v>2</v>
      </c>
      <c r="M1" s="38" t="str">
        <f>"insert into dbo.LifeInsJobCode ("&amp;B1&amp;","&amp;C1&amp;","&amp;D1&amp;","&amp;E1&amp;","&amp;F1&amp;","&amp;G1&amp;","&amp;H1&amp;","&amp;I1&amp;","&amp;J1&amp;","&amp;K1&amp;","&amp;L1&amp;")"</f>
        <v>insert into dbo.LifeInsJobCode (JobCode,JobGrade,JobDescription,JobGroupCode1,JobGroupName1,JobGroupCode2,JobGroupName2,CreateTime,Creator,ModifyTime,Modifier)</v>
      </c>
    </row>
    <row r="2" spans="1:16" ht="13.8">
      <c r="B2" s="40" t="s">
        <v>305</v>
      </c>
      <c r="C2" s="13">
        <v>1</v>
      </c>
      <c r="D2" s="4" t="s">
        <v>308</v>
      </c>
      <c r="E2" s="68" t="s">
        <v>756</v>
      </c>
      <c r="F2" s="13" t="s">
        <v>306</v>
      </c>
      <c r="G2" s="67" t="s">
        <v>757</v>
      </c>
      <c r="H2" s="15" t="s">
        <v>307</v>
      </c>
      <c r="I2" s="15" t="s">
        <v>2895</v>
      </c>
      <c r="J2" s="15" t="s">
        <v>755</v>
      </c>
      <c r="K2" s="15" t="s">
        <v>2895</v>
      </c>
      <c r="L2" s="15" t="s">
        <v>755</v>
      </c>
      <c r="M2" s="15" t="str">
        <f t="shared" ref="M2:M65" si="0">$M$1 &amp; " VALUES ('"&amp;B2&amp;"','"&amp;C2&amp;"','"&amp;D2&amp;"','"&amp;E2&amp;"','"&amp;F2&amp;"','"&amp;G2&amp;"','"&amp;H2&amp;"',"&amp;I2&amp;",'"&amp;J2&amp;"',"&amp;K2&amp;",'"&amp;L2&amp;"')"</f>
        <v>insert into dbo.LifeInsJobCode (JobCode,JobGrade,JobDescription,JobGroupCode1,JobGroupName1,JobGroupCode2,JobGroupName2,CreateTime,Creator,ModifyTime,Modifier) VALUES ('00010010','1','內勤人員','00','一般職業','0001','機關團體公司行號',getdate(),'Alvin',getdate(),'Alvin')</v>
      </c>
      <c r="P2" s="15" t="s">
        <v>316</v>
      </c>
    </row>
    <row r="3" spans="1:16" ht="13.8">
      <c r="B3" s="13" t="s">
        <v>309</v>
      </c>
      <c r="C3" s="13">
        <v>2</v>
      </c>
      <c r="D3" s="13" t="s">
        <v>310</v>
      </c>
      <c r="E3" s="13" t="s">
        <v>758</v>
      </c>
      <c r="F3" s="13" t="s">
        <v>758</v>
      </c>
      <c r="G3" s="13" t="s">
        <v>758</v>
      </c>
      <c r="H3" s="15" t="s">
        <v>758</v>
      </c>
      <c r="I3" s="15" t="s">
        <v>2895</v>
      </c>
      <c r="J3" s="15" t="s">
        <v>755</v>
      </c>
      <c r="K3" s="15" t="s">
        <v>2895</v>
      </c>
      <c r="L3" s="15" t="s">
        <v>755</v>
      </c>
      <c r="M3" s="15" t="str">
        <f t="shared" si="0"/>
        <v>insert into dbo.LifeInsJobCode (JobCode,JobGrade,JobDescription,JobGroupCode1,JobGroupName1,JobGroupCode2,JobGroupName2,CreateTime,Creator,ModifyTime,Modifier) VALUES ('00010020','2','外勤人員','','','','',getdate(),'Alvin',getdate(),'Alvin')</v>
      </c>
      <c r="P3" s="15" t="s">
        <v>319</v>
      </c>
    </row>
    <row r="4" spans="1:16" ht="13.8">
      <c r="B4" s="66" t="s">
        <v>311</v>
      </c>
      <c r="C4" s="15">
        <v>1</v>
      </c>
      <c r="D4" s="66" t="s">
        <v>3261</v>
      </c>
      <c r="E4" s="68" t="s">
        <v>759</v>
      </c>
      <c r="F4" s="15" t="s">
        <v>760</v>
      </c>
      <c r="G4" s="67" t="s">
        <v>761</v>
      </c>
      <c r="H4" s="15" t="s">
        <v>762</v>
      </c>
      <c r="I4" s="15" t="s">
        <v>2895</v>
      </c>
      <c r="J4" s="15" t="s">
        <v>755</v>
      </c>
      <c r="K4" s="15" t="s">
        <v>2895</v>
      </c>
      <c r="L4" s="15" t="s">
        <v>755</v>
      </c>
      <c r="M4" s="15" t="str">
        <f t="shared" si="0"/>
        <v>insert into dbo.LifeInsJobCode (JobCode,JobGrade,JobDescription,JobGroupCode1,JobGroupName1,JobGroupCode2,JobGroupName2,CreateTime,Creator,ModifyTime,Modifier) VALUES ('01010010','1','農場經營者(不親自作業)','01','農牧業','0101','農業',getdate(),'Alvin',getdate(),'Alvin')</v>
      </c>
      <c r="P4" s="15" t="s">
        <v>317</v>
      </c>
    </row>
    <row r="5" spans="1:16" ht="13.8">
      <c r="B5" s="66" t="s">
        <v>312</v>
      </c>
      <c r="C5" s="15">
        <v>2</v>
      </c>
      <c r="D5" s="66" t="s">
        <v>313</v>
      </c>
      <c r="E5" s="66" t="s">
        <v>758</v>
      </c>
      <c r="F5" s="15" t="s">
        <v>758</v>
      </c>
      <c r="G5" s="15" t="s">
        <v>758</v>
      </c>
      <c r="H5" s="15" t="s">
        <v>758</v>
      </c>
      <c r="I5" s="15" t="s">
        <v>2895</v>
      </c>
      <c r="J5" s="15" t="s">
        <v>755</v>
      </c>
      <c r="K5" s="15" t="s">
        <v>2895</v>
      </c>
      <c r="L5" s="15" t="s">
        <v>755</v>
      </c>
      <c r="M5" s="15" t="str">
        <f t="shared" si="0"/>
        <v>insert into dbo.LifeInsJobCode (JobCode,JobGrade,JobDescription,JobGroupCode1,JobGroupName1,JobGroupCode2,JobGroupName2,CreateTime,Creator,ModifyTime,Modifier) VALUES ('01010020','2','農夫','','','','',getdate(),'Alvin',getdate(),'Alvin')</v>
      </c>
      <c r="P5" s="15" t="s">
        <v>320</v>
      </c>
    </row>
    <row r="6" spans="1:16" ht="13.8">
      <c r="B6" s="66" t="s">
        <v>314</v>
      </c>
      <c r="C6" s="15">
        <v>3</v>
      </c>
      <c r="D6" s="66" t="s">
        <v>315</v>
      </c>
      <c r="E6" s="66" t="s">
        <v>758</v>
      </c>
      <c r="F6" s="15" t="s">
        <v>758</v>
      </c>
      <c r="G6" s="15" t="s">
        <v>758</v>
      </c>
      <c r="H6" s="15" t="s">
        <v>758</v>
      </c>
      <c r="I6" s="15" t="s">
        <v>2895</v>
      </c>
      <c r="J6" s="15" t="s">
        <v>755</v>
      </c>
      <c r="K6" s="15" t="s">
        <v>2895</v>
      </c>
      <c r="L6" s="15" t="s">
        <v>755</v>
      </c>
      <c r="M6" s="15" t="str">
        <f t="shared" si="0"/>
        <v>insert into dbo.LifeInsJobCode (JobCode,JobGrade,JobDescription,JobGroupCode1,JobGroupName1,JobGroupCode2,JobGroupName2,CreateTime,Creator,ModifyTime,Modifier) VALUES ('01010030','3','長短工','','','','',getdate(),'Alvin',getdate(),'Alvin')</v>
      </c>
      <c r="P6" s="15" t="s">
        <v>318</v>
      </c>
    </row>
    <row r="7" spans="1:16" ht="13.8">
      <c r="B7" s="67" t="s">
        <v>763</v>
      </c>
      <c r="C7" s="13">
        <v>3</v>
      </c>
      <c r="D7" s="13" t="s">
        <v>764</v>
      </c>
      <c r="E7" s="13" t="s">
        <v>758</v>
      </c>
      <c r="F7" s="13" t="s">
        <v>758</v>
      </c>
      <c r="G7" s="67" t="s">
        <v>758</v>
      </c>
      <c r="H7" s="13" t="s">
        <v>758</v>
      </c>
      <c r="I7" s="15" t="s">
        <v>2895</v>
      </c>
      <c r="J7" s="15" t="s">
        <v>755</v>
      </c>
      <c r="K7" s="15" t="s">
        <v>2895</v>
      </c>
      <c r="L7" s="15" t="s">
        <v>755</v>
      </c>
      <c r="M7" s="15" t="str">
        <f t="shared" si="0"/>
        <v>insert into dbo.LifeInsJobCode (JobCode,JobGrade,JobDescription,JobGroupCode1,JobGroupName1,JobGroupCode2,JobGroupName2,CreateTime,Creator,ModifyTime,Modifier) VALUES ('01010040','3','果農','','','','',getdate(),'Alvin',getdate(),'Alvin')</v>
      </c>
    </row>
    <row r="8" spans="1:16" ht="13.8">
      <c r="B8" s="67" t="s">
        <v>765</v>
      </c>
      <c r="C8" s="13">
        <v>2</v>
      </c>
      <c r="D8" s="13" t="s">
        <v>766</v>
      </c>
      <c r="E8" s="13" t="s">
        <v>758</v>
      </c>
      <c r="F8" s="13" t="s">
        <v>758</v>
      </c>
      <c r="G8" s="13" t="s">
        <v>758</v>
      </c>
      <c r="H8" s="13" t="s">
        <v>758</v>
      </c>
      <c r="I8" s="15" t="s">
        <v>2895</v>
      </c>
      <c r="J8" s="15" t="s">
        <v>755</v>
      </c>
      <c r="K8" s="15" t="s">
        <v>2895</v>
      </c>
      <c r="L8" s="15" t="s">
        <v>755</v>
      </c>
      <c r="M8" s="15" t="str">
        <f t="shared" si="0"/>
        <v>insert into dbo.LifeInsJobCode (JobCode,JobGrade,JobDescription,JobGroupCode1,JobGroupName1,JobGroupCode2,JobGroupName2,CreateTime,Creator,ModifyTime,Modifier) VALUES ('01010050','2','苗圃栽培人員','','','','',getdate(),'Alvin',getdate(),'Alvin')</v>
      </c>
    </row>
    <row r="9" spans="1:16" ht="13.8">
      <c r="B9" s="13" t="s">
        <v>767</v>
      </c>
      <c r="C9" s="13">
        <v>2</v>
      </c>
      <c r="D9" s="13" t="s">
        <v>768</v>
      </c>
      <c r="E9" s="13" t="s">
        <v>758</v>
      </c>
      <c r="F9" s="13" t="s">
        <v>758</v>
      </c>
      <c r="G9" s="13" t="s">
        <v>758</v>
      </c>
      <c r="H9" s="13" t="s">
        <v>758</v>
      </c>
      <c r="I9" s="15" t="s">
        <v>2895</v>
      </c>
      <c r="J9" s="15" t="s">
        <v>755</v>
      </c>
      <c r="K9" s="15" t="s">
        <v>2895</v>
      </c>
      <c r="L9" s="15" t="s">
        <v>755</v>
      </c>
      <c r="M9" s="15" t="str">
        <f t="shared" si="0"/>
        <v>insert into dbo.LifeInsJobCode (JobCode,JobGrade,JobDescription,JobGroupCode1,JobGroupName1,JobGroupCode2,JobGroupName2,CreateTime,Creator,ModifyTime,Modifier) VALUES ('01010060','2','花圃栽培人員','','','','',getdate(),'Alvin',getdate(),'Alvin')</v>
      </c>
    </row>
    <row r="10" spans="1:16" ht="13.8">
      <c r="B10" s="13" t="s">
        <v>769</v>
      </c>
      <c r="C10" s="13">
        <v>2</v>
      </c>
      <c r="D10" s="13" t="s">
        <v>770</v>
      </c>
      <c r="E10" s="13" t="s">
        <v>758</v>
      </c>
      <c r="F10" s="13" t="s">
        <v>758</v>
      </c>
      <c r="G10" s="13" t="s">
        <v>758</v>
      </c>
      <c r="H10" s="13" t="s">
        <v>758</v>
      </c>
      <c r="I10" s="15" t="s">
        <v>2895</v>
      </c>
      <c r="J10" s="15" t="s">
        <v>755</v>
      </c>
      <c r="K10" s="15" t="s">
        <v>2895</v>
      </c>
      <c r="L10" s="15" t="s">
        <v>755</v>
      </c>
      <c r="M10" s="15" t="str">
        <f t="shared" si="0"/>
        <v>insert into dbo.LifeInsJobCode (JobCode,JobGrade,JobDescription,JobGroupCode1,JobGroupName1,JobGroupCode2,JobGroupName2,CreateTime,Creator,ModifyTime,Modifier) VALUES ('01010070','2','飼養家禽家畜人員','','','','',getdate(),'Alvin',getdate(),'Alvin')</v>
      </c>
    </row>
    <row r="11" spans="1:16" ht="13.8">
      <c r="B11" s="15" t="s">
        <v>771</v>
      </c>
      <c r="C11" s="15">
        <v>2</v>
      </c>
      <c r="D11" s="15" t="s">
        <v>772</v>
      </c>
      <c r="E11" s="15" t="s">
        <v>758</v>
      </c>
      <c r="F11" s="15" t="s">
        <v>758</v>
      </c>
      <c r="G11" s="15" t="s">
        <v>758</v>
      </c>
      <c r="H11" s="15" t="s">
        <v>758</v>
      </c>
      <c r="I11" s="15" t="s">
        <v>2895</v>
      </c>
      <c r="J11" s="15" t="s">
        <v>755</v>
      </c>
      <c r="K11" s="15" t="s">
        <v>2895</v>
      </c>
      <c r="L11" s="15" t="s">
        <v>755</v>
      </c>
      <c r="M11" s="15" t="str">
        <f t="shared" si="0"/>
        <v>insert into dbo.LifeInsJobCode (JobCode,JobGrade,JobDescription,JobGroupCode1,JobGroupName1,JobGroupCode2,JobGroupName2,CreateTime,Creator,ModifyTime,Modifier) VALUES ('01010080','2','農業技師、指導員','','','','',getdate(),'Alvin',getdate(),'Alvin')</v>
      </c>
    </row>
    <row r="12" spans="1:16" ht="13.8">
      <c r="B12" s="15" t="s">
        <v>773</v>
      </c>
      <c r="C12" s="15">
        <v>3</v>
      </c>
      <c r="D12" s="15" t="s">
        <v>774</v>
      </c>
      <c r="E12" s="15" t="s">
        <v>758</v>
      </c>
      <c r="F12" s="15" t="s">
        <v>758</v>
      </c>
      <c r="G12" s="15" t="s">
        <v>758</v>
      </c>
      <c r="H12" s="15" t="s">
        <v>758</v>
      </c>
      <c r="I12" s="15" t="s">
        <v>2895</v>
      </c>
      <c r="J12" s="15" t="s">
        <v>755</v>
      </c>
      <c r="K12" s="15" t="s">
        <v>2895</v>
      </c>
      <c r="L12" s="15" t="s">
        <v>755</v>
      </c>
      <c r="M12" s="15" t="str">
        <f t="shared" si="0"/>
        <v>insert into dbo.LifeInsJobCode (JobCode,JobGrade,JobDescription,JobGroupCode1,JobGroupName1,JobGroupCode2,JobGroupName2,CreateTime,Creator,ModifyTime,Modifier) VALUES ('01010090','3','農業機械之操作或修護人員','','','','',getdate(),'Alvin',getdate(),'Alvin')</v>
      </c>
    </row>
    <row r="13" spans="1:16" ht="13.8">
      <c r="B13" s="15" t="s">
        <v>775</v>
      </c>
      <c r="C13" s="15">
        <v>2</v>
      </c>
      <c r="D13" s="15" t="s">
        <v>776</v>
      </c>
      <c r="E13" s="15" t="s">
        <v>758</v>
      </c>
      <c r="F13" s="15" t="s">
        <v>758</v>
      </c>
      <c r="G13" s="15" t="s">
        <v>758</v>
      </c>
      <c r="H13" s="15" t="s">
        <v>758</v>
      </c>
      <c r="I13" s="15" t="s">
        <v>2895</v>
      </c>
      <c r="J13" s="15" t="s">
        <v>755</v>
      </c>
      <c r="K13" s="15" t="s">
        <v>2895</v>
      </c>
      <c r="L13" s="15" t="s">
        <v>755</v>
      </c>
      <c r="M13" s="15" t="str">
        <f t="shared" si="0"/>
        <v>insert into dbo.LifeInsJobCode (JobCode,JobGrade,JobDescription,JobGroupCode1,JobGroupName1,JobGroupCode2,JobGroupName2,CreateTime,Creator,ModifyTime,Modifier) VALUES ('01010100','2','農具商','','','','',getdate(),'Alvin',getdate(),'Alvin')</v>
      </c>
    </row>
    <row r="14" spans="1:16" ht="13.8">
      <c r="B14" s="15" t="s">
        <v>777</v>
      </c>
      <c r="C14" s="15">
        <v>1</v>
      </c>
      <c r="D14" s="15" t="s">
        <v>3322</v>
      </c>
      <c r="E14" s="15" t="s">
        <v>758</v>
      </c>
      <c r="F14" s="15" t="s">
        <v>758</v>
      </c>
      <c r="G14" s="15" t="s">
        <v>758</v>
      </c>
      <c r="H14" s="15" t="s">
        <v>758</v>
      </c>
      <c r="I14" s="15" t="s">
        <v>2895</v>
      </c>
      <c r="J14" s="15" t="s">
        <v>755</v>
      </c>
      <c r="K14" s="15" t="s">
        <v>2895</v>
      </c>
      <c r="L14" s="15" t="s">
        <v>755</v>
      </c>
      <c r="M14" s="15" t="str">
        <f t="shared" si="0"/>
        <v>insert into dbo.LifeInsJobCode (JobCode,JobGrade,JobDescription,JobGroupCode1,JobGroupName1,JobGroupCode2,JobGroupName2,CreateTime,Creator,ModifyTime,Modifier) VALUES ('01010110','1','農產品加工業實驗人員','','','','',getdate(),'Alvin',getdate(),'Alvin')</v>
      </c>
    </row>
    <row r="15" spans="1:16" ht="13.8">
      <c r="B15" s="15" t="s">
        <v>778</v>
      </c>
      <c r="C15" s="15">
        <v>2</v>
      </c>
      <c r="D15" s="15" t="s">
        <v>3323</v>
      </c>
      <c r="E15" s="15" t="s">
        <v>758</v>
      </c>
      <c r="F15" s="15" t="s">
        <v>758</v>
      </c>
      <c r="G15" s="15" t="s">
        <v>758</v>
      </c>
      <c r="H15" s="15" t="s">
        <v>758</v>
      </c>
      <c r="I15" s="15" t="s">
        <v>2895</v>
      </c>
      <c r="J15" s="15" t="s">
        <v>755</v>
      </c>
      <c r="K15" s="15" t="s">
        <v>2895</v>
      </c>
      <c r="L15" s="15" t="s">
        <v>755</v>
      </c>
      <c r="M15" s="15" t="str">
        <f t="shared" si="0"/>
        <v>insert into dbo.LifeInsJobCode (JobCode,JobGrade,JobDescription,JobGroupCode1,JobGroupName1,JobGroupCode2,JobGroupName2,CreateTime,Creator,ModifyTime,Modifier) VALUES ('01010111','2','農產品加工業品管人員','','','','',getdate(),'Alvin',getdate(),'Alvin')</v>
      </c>
    </row>
    <row r="16" spans="1:16" ht="13.8">
      <c r="B16" s="15" t="s">
        <v>779</v>
      </c>
      <c r="C16" s="15">
        <v>2</v>
      </c>
      <c r="D16" s="15" t="s">
        <v>780</v>
      </c>
      <c r="E16" s="15" t="s">
        <v>758</v>
      </c>
      <c r="F16" s="15" t="s">
        <v>758</v>
      </c>
      <c r="G16" s="15" t="s">
        <v>758</v>
      </c>
      <c r="H16" s="15" t="s">
        <v>758</v>
      </c>
      <c r="I16" s="15" t="s">
        <v>2895</v>
      </c>
      <c r="J16" s="15" t="s">
        <v>755</v>
      </c>
      <c r="K16" s="15" t="s">
        <v>2895</v>
      </c>
      <c r="L16" s="15" t="s">
        <v>755</v>
      </c>
      <c r="M16" s="15" t="str">
        <f t="shared" si="0"/>
        <v>insert into dbo.LifeInsJobCode (JobCode,JobGrade,JobDescription,JobGroupCode1,JobGroupName1,JobGroupCode2,JobGroupName2,CreateTime,Creator,ModifyTime,Modifier) VALUES ('01010120','2','茶農','','','','',getdate(),'Alvin',getdate(),'Alvin')</v>
      </c>
    </row>
    <row r="17" spans="2:13" ht="13.8">
      <c r="B17" s="15" t="s">
        <v>781</v>
      </c>
      <c r="C17" s="15">
        <v>3</v>
      </c>
      <c r="D17" s="15" t="s">
        <v>782</v>
      </c>
      <c r="E17" s="15" t="s">
        <v>758</v>
      </c>
      <c r="F17" s="15" t="s">
        <v>758</v>
      </c>
      <c r="G17" s="15" t="s">
        <v>758</v>
      </c>
      <c r="H17" s="15" t="s">
        <v>758</v>
      </c>
      <c r="I17" s="15" t="s">
        <v>2895</v>
      </c>
      <c r="J17" s="15" t="s">
        <v>755</v>
      </c>
      <c r="K17" s="15" t="s">
        <v>2895</v>
      </c>
      <c r="L17" s="15" t="s">
        <v>755</v>
      </c>
      <c r="M17" s="15" t="str">
        <f t="shared" si="0"/>
        <v>insert into dbo.LifeInsJobCode (JobCode,JobGrade,JobDescription,JobGroupCode1,JobGroupName1,JobGroupCode2,JobGroupName2,CreateTime,Creator,ModifyTime,Modifier) VALUES ('01010130','3','檳榔種植、採檳榔','','','','',getdate(),'Alvin',getdate(),'Alvin')</v>
      </c>
    </row>
    <row r="18" spans="2:13" ht="13.8">
      <c r="B18" s="15" t="s">
        <v>783</v>
      </c>
      <c r="C18" s="15">
        <v>2</v>
      </c>
      <c r="D18" s="15" t="s">
        <v>784</v>
      </c>
      <c r="E18" s="15" t="s">
        <v>758</v>
      </c>
      <c r="F18" s="15" t="s">
        <v>758</v>
      </c>
      <c r="G18" s="15" t="s">
        <v>758</v>
      </c>
      <c r="H18" s="15" t="s">
        <v>758</v>
      </c>
      <c r="I18" s="15" t="s">
        <v>2895</v>
      </c>
      <c r="J18" s="15" t="s">
        <v>755</v>
      </c>
      <c r="K18" s="15" t="s">
        <v>2895</v>
      </c>
      <c r="L18" s="15" t="s">
        <v>755</v>
      </c>
      <c r="M18" s="15" t="str">
        <f t="shared" si="0"/>
        <v>insert into dbo.LifeInsJobCode (JobCode,JobGrade,JobDescription,JobGroupCode1,JobGroupName1,JobGroupCode2,JobGroupName2,CreateTime,Creator,ModifyTime,Modifier) VALUES ('01010140','2','農會指導員、推廣員','','','','',getdate(),'Alvin',getdate(),'Alvin')</v>
      </c>
    </row>
    <row r="19" spans="2:13" ht="13.8">
      <c r="B19" s="15" t="s">
        <v>785</v>
      </c>
      <c r="C19" s="15">
        <v>2</v>
      </c>
      <c r="D19" s="15" t="s">
        <v>786</v>
      </c>
      <c r="E19" s="15" t="s">
        <v>758</v>
      </c>
      <c r="F19" s="15" t="s">
        <v>758</v>
      </c>
      <c r="G19" s="15" t="s">
        <v>758</v>
      </c>
      <c r="H19" s="15" t="s">
        <v>758</v>
      </c>
      <c r="I19" s="15" t="s">
        <v>2895</v>
      </c>
      <c r="J19" s="15" t="s">
        <v>755</v>
      </c>
      <c r="K19" s="15" t="s">
        <v>2895</v>
      </c>
      <c r="L19" s="15" t="s">
        <v>755</v>
      </c>
      <c r="M19" s="15" t="str">
        <f t="shared" si="0"/>
        <v>insert into dbo.LifeInsJobCode (JobCode,JobGrade,JobDescription,JobGroupCode1,JobGroupName1,JobGroupCode2,JobGroupName2,CreateTime,Creator,ModifyTime,Modifier) VALUES ('01010150','2','養鴿、放鴿人員','','','','',getdate(),'Alvin',getdate(),'Alvin')</v>
      </c>
    </row>
    <row r="20" spans="2:13" ht="13.8">
      <c r="B20" s="15" t="s">
        <v>787</v>
      </c>
      <c r="C20" s="15">
        <v>2</v>
      </c>
      <c r="D20" s="15" t="s">
        <v>3324</v>
      </c>
      <c r="E20" s="15" t="s">
        <v>758</v>
      </c>
      <c r="F20" s="15" t="s">
        <v>758</v>
      </c>
      <c r="G20" s="15" t="s">
        <v>758</v>
      </c>
      <c r="H20" s="15" t="s">
        <v>758</v>
      </c>
      <c r="I20" s="15" t="s">
        <v>2895</v>
      </c>
      <c r="J20" s="15" t="s">
        <v>755</v>
      </c>
      <c r="K20" s="15" t="s">
        <v>2895</v>
      </c>
      <c r="L20" s="15" t="s">
        <v>755</v>
      </c>
      <c r="M20" s="15" t="str">
        <f t="shared" si="0"/>
        <v>insert into dbo.LifeInsJobCode (JobCode,JobGrade,JobDescription,JobGroupCode1,JobGroupName1,JobGroupCode2,JobGroupName2,CreateTime,Creator,ModifyTime,Modifier) VALUES ('01010160','2','農產品加工業領班、工人','','','','',getdate(),'Alvin',getdate(),'Alvin')</v>
      </c>
    </row>
    <row r="21" spans="2:13" ht="13.8">
      <c r="B21" s="15" t="s">
        <v>788</v>
      </c>
      <c r="C21" s="15">
        <v>2</v>
      </c>
      <c r="D21" s="15" t="s">
        <v>3262</v>
      </c>
      <c r="E21" s="15" t="s">
        <v>758</v>
      </c>
      <c r="F21" s="15" t="s">
        <v>758</v>
      </c>
      <c r="G21" s="15" t="s">
        <v>758</v>
      </c>
      <c r="H21" s="15" t="s">
        <v>758</v>
      </c>
      <c r="I21" s="15" t="s">
        <v>2895</v>
      </c>
      <c r="J21" s="15" t="s">
        <v>755</v>
      </c>
      <c r="K21" s="15" t="s">
        <v>2895</v>
      </c>
      <c r="L21" s="15" t="s">
        <v>755</v>
      </c>
      <c r="M21" s="15" t="str">
        <f t="shared" si="0"/>
        <v>insert into dbo.LifeInsJobCode (JobCode,JobGrade,JobDescription,JobGroupCode1,JobGroupName1,JobGroupCode2,JobGroupName2,CreateTime,Creator,ModifyTime,Modifier) VALUES ('01010170','2','昆蟲(蜜蜂)飼養人員','','','','',getdate(),'Alvin',getdate(),'Alvin')</v>
      </c>
    </row>
    <row r="22" spans="2:13" ht="13.8">
      <c r="B22" s="15" t="s">
        <v>789</v>
      </c>
      <c r="C22" s="15">
        <v>2</v>
      </c>
      <c r="D22" s="15" t="s">
        <v>790</v>
      </c>
      <c r="E22" s="15" t="s">
        <v>758</v>
      </c>
      <c r="F22" s="15" t="s">
        <v>758</v>
      </c>
      <c r="G22" s="15" t="s">
        <v>758</v>
      </c>
      <c r="H22" s="15" t="s">
        <v>758</v>
      </c>
      <c r="I22" s="15" t="s">
        <v>2895</v>
      </c>
      <c r="J22" s="15" t="s">
        <v>755</v>
      </c>
      <c r="K22" s="15" t="s">
        <v>2895</v>
      </c>
      <c r="L22" s="15" t="s">
        <v>755</v>
      </c>
      <c r="M22" s="15" t="str">
        <f t="shared" si="0"/>
        <v>insert into dbo.LifeInsJobCode (JobCode,JobGrade,JobDescription,JobGroupCode1,JobGroupName1,JobGroupCode2,JobGroupName2,CreateTime,Creator,ModifyTime,Modifier) VALUES ('01010180','2','病蟲害防治人員','','','','',getdate(),'Alvin',getdate(),'Alvin')</v>
      </c>
    </row>
    <row r="23" spans="2:13" ht="13.8">
      <c r="B23" s="15" t="s">
        <v>791</v>
      </c>
      <c r="C23" s="15">
        <v>1</v>
      </c>
      <c r="D23" s="15" t="s">
        <v>3263</v>
      </c>
      <c r="E23" s="15" t="s">
        <v>758</v>
      </c>
      <c r="F23" s="15" t="s">
        <v>758</v>
      </c>
      <c r="G23" s="15" t="s">
        <v>792</v>
      </c>
      <c r="H23" s="15" t="s">
        <v>793</v>
      </c>
      <c r="I23" s="15" t="s">
        <v>2895</v>
      </c>
      <c r="J23" s="15" t="s">
        <v>755</v>
      </c>
      <c r="K23" s="15" t="s">
        <v>2895</v>
      </c>
      <c r="L23" s="15" t="s">
        <v>755</v>
      </c>
      <c r="M23" s="15" t="str">
        <f t="shared" si="0"/>
        <v>insert into dbo.LifeInsJobCode (JobCode,JobGrade,JobDescription,JobGroupCode1,JobGroupName1,JobGroupCode2,JobGroupName2,CreateTime,Creator,ModifyTime,Modifier) VALUES ('01020010','1','畜牧場經營者(不親自作業)','','','0102','牧業',getdate(),'Alvin',getdate(),'Alvin')</v>
      </c>
    </row>
    <row r="24" spans="2:13" ht="13.8">
      <c r="B24" s="15" t="s">
        <v>794</v>
      </c>
      <c r="C24" s="15">
        <v>3</v>
      </c>
      <c r="D24" s="15" t="s">
        <v>329</v>
      </c>
      <c r="E24" s="15" t="s">
        <v>758</v>
      </c>
      <c r="F24" s="15" t="s">
        <v>758</v>
      </c>
      <c r="G24" s="15" t="s">
        <v>758</v>
      </c>
      <c r="H24" s="15" t="s">
        <v>758</v>
      </c>
      <c r="I24" s="15" t="s">
        <v>2895</v>
      </c>
      <c r="J24" s="15" t="s">
        <v>755</v>
      </c>
      <c r="K24" s="15" t="s">
        <v>2895</v>
      </c>
      <c r="L24" s="15" t="s">
        <v>755</v>
      </c>
      <c r="M24" s="15" t="str">
        <f t="shared" si="0"/>
        <v>insert into dbo.LifeInsJobCode (JobCode,JobGrade,JobDescription,JobGroupCode1,JobGroupName1,JobGroupCode2,JobGroupName2,CreateTime,Creator,ModifyTime,Modifier) VALUES ('01020020','3','畜牧工作人員','','','','',getdate(),'Alvin',getdate(),'Alvin')</v>
      </c>
    </row>
    <row r="25" spans="2:13" ht="13.8">
      <c r="B25" s="15" t="s">
        <v>795</v>
      </c>
      <c r="C25" s="15">
        <v>3</v>
      </c>
      <c r="D25" s="15" t="s">
        <v>3325</v>
      </c>
      <c r="E25" s="15" t="s">
        <v>758</v>
      </c>
      <c r="F25" s="15" t="s">
        <v>758</v>
      </c>
      <c r="G25" s="15" t="s">
        <v>758</v>
      </c>
      <c r="H25" s="15" t="s">
        <v>758</v>
      </c>
      <c r="I25" s="15" t="s">
        <v>2895</v>
      </c>
      <c r="J25" s="15" t="s">
        <v>755</v>
      </c>
      <c r="K25" s="15" t="s">
        <v>2895</v>
      </c>
      <c r="L25" s="15" t="s">
        <v>755</v>
      </c>
      <c r="M25" s="15" t="str">
        <f t="shared" si="0"/>
        <v>insert into dbo.LifeInsJobCode (JobCode,JobGrade,JobDescription,JobGroupCode1,JobGroupName1,JobGroupCode2,JobGroupName2,CreateTime,Creator,ModifyTime,Modifier) VALUES ('01020040','3','獸醫(畜牧業、農業)','','','','',getdate(),'Alvin',getdate(),'Alvin')</v>
      </c>
    </row>
    <row r="26" spans="2:13" ht="13.8">
      <c r="B26" s="15" t="s">
        <v>796</v>
      </c>
      <c r="C26" s="15">
        <v>4</v>
      </c>
      <c r="D26" s="15" t="s">
        <v>797</v>
      </c>
      <c r="E26" s="15" t="s">
        <v>758</v>
      </c>
      <c r="F26" s="15" t="s">
        <v>758</v>
      </c>
      <c r="G26" s="15" t="s">
        <v>758</v>
      </c>
      <c r="H26" s="15" t="s">
        <v>758</v>
      </c>
      <c r="I26" s="15" t="s">
        <v>2895</v>
      </c>
      <c r="J26" s="15" t="s">
        <v>755</v>
      </c>
      <c r="K26" s="15" t="s">
        <v>2895</v>
      </c>
      <c r="L26" s="15" t="s">
        <v>755</v>
      </c>
      <c r="M26" s="15" t="str">
        <f t="shared" si="0"/>
        <v>insert into dbo.LifeInsJobCode (JobCode,JobGrade,JobDescription,JobGroupCode1,JobGroupName1,JobGroupCode2,JobGroupName2,CreateTime,Creator,ModifyTime,Modifier) VALUES ('01020050','4','訓犬人員','','','','',getdate(),'Alvin',getdate(),'Alvin')</v>
      </c>
    </row>
    <row r="27" spans="2:13" ht="13.8">
      <c r="B27" s="15" t="s">
        <v>798</v>
      </c>
      <c r="C27" s="15">
        <v>4</v>
      </c>
      <c r="D27" s="15" t="s">
        <v>799</v>
      </c>
      <c r="E27" s="15" t="s">
        <v>758</v>
      </c>
      <c r="F27" s="15" t="s">
        <v>758</v>
      </c>
      <c r="G27" s="15" t="s">
        <v>758</v>
      </c>
      <c r="H27" s="15" t="s">
        <v>758</v>
      </c>
      <c r="I27" s="15" t="s">
        <v>2895</v>
      </c>
      <c r="J27" s="15" t="s">
        <v>755</v>
      </c>
      <c r="K27" s="15" t="s">
        <v>2895</v>
      </c>
      <c r="L27" s="15" t="s">
        <v>755</v>
      </c>
      <c r="M27" s="15" t="str">
        <f t="shared" si="0"/>
        <v>insert into dbo.LifeInsJobCode (JobCode,JobGrade,JobDescription,JobGroupCode1,JobGroupName1,JobGroupCode2,JobGroupName2,CreateTime,Creator,ModifyTime,Modifier) VALUES ('01020060','4','動物養殖人員','','','','',getdate(),'Alvin',getdate(),'Alvin')</v>
      </c>
    </row>
    <row r="28" spans="2:13" ht="13.8">
      <c r="B28" s="15" t="s">
        <v>800</v>
      </c>
      <c r="C28" s="15">
        <v>3</v>
      </c>
      <c r="D28" s="15" t="s">
        <v>801</v>
      </c>
      <c r="E28" s="15" t="s">
        <v>758</v>
      </c>
      <c r="F28" s="15" t="s">
        <v>758</v>
      </c>
      <c r="G28" s="15" t="s">
        <v>758</v>
      </c>
      <c r="H28" s="15" t="s">
        <v>758</v>
      </c>
      <c r="I28" s="15" t="s">
        <v>2895</v>
      </c>
      <c r="J28" s="15" t="s">
        <v>755</v>
      </c>
      <c r="K28" s="15" t="s">
        <v>2895</v>
      </c>
      <c r="L28" s="15" t="s">
        <v>755</v>
      </c>
      <c r="M28" s="15" t="str">
        <f t="shared" si="0"/>
        <v>insert into dbo.LifeInsJobCode (JobCode,JobGrade,JobDescription,JobGroupCode1,JobGroupName1,JobGroupCode2,JobGroupName2,CreateTime,Creator,ModifyTime,Modifier) VALUES ('01020080','3','屠宰場工人','','','','',getdate(),'Alvin',getdate(),'Alvin')</v>
      </c>
    </row>
    <row r="29" spans="2:13" ht="13.8">
      <c r="B29" s="15" t="s">
        <v>802</v>
      </c>
      <c r="C29" s="15">
        <v>1</v>
      </c>
      <c r="D29" s="15" t="s">
        <v>3264</v>
      </c>
      <c r="E29" s="15" t="s">
        <v>803</v>
      </c>
      <c r="F29" s="15" t="s">
        <v>804</v>
      </c>
      <c r="G29" s="15" t="s">
        <v>805</v>
      </c>
      <c r="H29" s="15" t="s">
        <v>806</v>
      </c>
      <c r="I29" s="15" t="s">
        <v>2895</v>
      </c>
      <c r="J29" s="15" t="s">
        <v>755</v>
      </c>
      <c r="K29" s="15" t="s">
        <v>2895</v>
      </c>
      <c r="L29" s="15" t="s">
        <v>755</v>
      </c>
      <c r="M29" s="15" t="str">
        <f t="shared" si="0"/>
        <v>insert into dbo.LifeInsJobCode (JobCode,JobGrade,JobDescription,JobGroupCode1,JobGroupName1,JobGroupCode2,JobGroupName2,CreateTime,Creator,ModifyTime,Modifier) VALUES ('02010010','1','漁塭經營者(不親自作業)','02','漁業','0201','內陸漁業',getdate(),'Alvin',getdate(),'Alvin')</v>
      </c>
    </row>
    <row r="30" spans="2:13" ht="13.8">
      <c r="B30" s="15" t="s">
        <v>807</v>
      </c>
      <c r="C30" s="15">
        <v>3</v>
      </c>
      <c r="D30" s="15" t="s">
        <v>3265</v>
      </c>
      <c r="E30" s="15" t="s">
        <v>758</v>
      </c>
      <c r="F30" s="15" t="s">
        <v>758</v>
      </c>
      <c r="G30" s="15" t="s">
        <v>758</v>
      </c>
      <c r="H30" s="15" t="s">
        <v>758</v>
      </c>
      <c r="I30" s="15" t="s">
        <v>2895</v>
      </c>
      <c r="J30" s="15" t="s">
        <v>755</v>
      </c>
      <c r="K30" s="15" t="s">
        <v>2895</v>
      </c>
      <c r="L30" s="15" t="s">
        <v>755</v>
      </c>
      <c r="M30" s="15" t="str">
        <f t="shared" si="0"/>
        <v>insert into dbo.LifeInsJobCode (JobCode,JobGrade,JobDescription,JobGroupCode1,JobGroupName1,JobGroupCode2,JobGroupName2,CreateTime,Creator,ModifyTime,Modifier) VALUES ('02010011','3','漁塭經營者(親自作業)','','','','',getdate(),'Alvin',getdate(),'Alvin')</v>
      </c>
    </row>
    <row r="31" spans="2:13" ht="13.8">
      <c r="B31" s="15" t="s">
        <v>808</v>
      </c>
      <c r="C31" s="15">
        <v>3</v>
      </c>
      <c r="D31" s="15" t="s">
        <v>3266</v>
      </c>
      <c r="E31" s="15" t="s">
        <v>758</v>
      </c>
      <c r="F31" s="15" t="s">
        <v>758</v>
      </c>
      <c r="G31" s="15" t="s">
        <v>758</v>
      </c>
      <c r="H31" s="15" t="s">
        <v>758</v>
      </c>
      <c r="I31" s="15" t="s">
        <v>2895</v>
      </c>
      <c r="J31" s="15" t="s">
        <v>755</v>
      </c>
      <c r="K31" s="15" t="s">
        <v>2895</v>
      </c>
      <c r="L31" s="15" t="s">
        <v>755</v>
      </c>
      <c r="M31" s="15" t="str">
        <f t="shared" si="0"/>
        <v>insert into dbo.LifeInsJobCode (JobCode,JobGrade,JobDescription,JobGroupCode1,JobGroupName1,JobGroupCode2,JobGroupName2,CreateTime,Creator,ModifyTime,Modifier) VALUES ('02010020','3','養殖工人(內陸)','','','','',getdate(),'Alvin',getdate(),'Alvin')</v>
      </c>
    </row>
    <row r="32" spans="2:13" ht="13.8">
      <c r="B32" s="15" t="s">
        <v>809</v>
      </c>
      <c r="C32" s="15">
        <v>4</v>
      </c>
      <c r="D32" s="15" t="s">
        <v>3267</v>
      </c>
      <c r="E32" s="15" t="s">
        <v>758</v>
      </c>
      <c r="F32" s="15" t="s">
        <v>758</v>
      </c>
      <c r="G32" s="15" t="s">
        <v>758</v>
      </c>
      <c r="H32" s="15" t="s">
        <v>758</v>
      </c>
      <c r="I32" s="15" t="s">
        <v>2895</v>
      </c>
      <c r="J32" s="15" t="s">
        <v>755</v>
      </c>
      <c r="K32" s="15" t="s">
        <v>2895</v>
      </c>
      <c r="L32" s="15" t="s">
        <v>755</v>
      </c>
      <c r="M32" s="15" t="str">
        <f t="shared" si="0"/>
        <v>insert into dbo.LifeInsJobCode (JobCode,JobGrade,JobDescription,JobGroupCode1,JobGroupName1,JobGroupCode2,JobGroupName2,CreateTime,Creator,ModifyTime,Modifier) VALUES ('02010021','4','養殖工人(沿海)','','','','',getdate(),'Alvin',getdate(),'Alvin')</v>
      </c>
    </row>
    <row r="33" spans="2:13" ht="13.8">
      <c r="B33" s="15" t="s">
        <v>810</v>
      </c>
      <c r="C33" s="15">
        <v>2</v>
      </c>
      <c r="D33" s="15" t="s">
        <v>811</v>
      </c>
      <c r="E33" s="15" t="s">
        <v>758</v>
      </c>
      <c r="F33" s="15" t="s">
        <v>758</v>
      </c>
      <c r="G33" s="15" t="s">
        <v>758</v>
      </c>
      <c r="H33" s="15" t="s">
        <v>758</v>
      </c>
      <c r="I33" s="15" t="s">
        <v>2895</v>
      </c>
      <c r="J33" s="15" t="s">
        <v>755</v>
      </c>
      <c r="K33" s="15" t="s">
        <v>2895</v>
      </c>
      <c r="L33" s="15" t="s">
        <v>755</v>
      </c>
      <c r="M33" s="15" t="str">
        <f t="shared" si="0"/>
        <v>insert into dbo.LifeInsJobCode (JobCode,JobGrade,JobDescription,JobGroupCode1,JobGroupName1,JobGroupCode2,JobGroupName2,CreateTime,Creator,ModifyTime,Modifier) VALUES ('02010030','2','水族館經營者','','','','',getdate(),'Alvin',getdate(),'Alvin')</v>
      </c>
    </row>
    <row r="34" spans="2:13" ht="13.8">
      <c r="B34" s="15" t="s">
        <v>812</v>
      </c>
      <c r="C34" s="15">
        <v>3</v>
      </c>
      <c r="D34" s="15" t="s">
        <v>3268</v>
      </c>
      <c r="E34" s="15" t="s">
        <v>758</v>
      </c>
      <c r="F34" s="15" t="s">
        <v>758</v>
      </c>
      <c r="G34" s="15" t="s">
        <v>758</v>
      </c>
      <c r="H34" s="15" t="s">
        <v>758</v>
      </c>
      <c r="I34" s="15" t="s">
        <v>2895</v>
      </c>
      <c r="J34" s="15" t="s">
        <v>755</v>
      </c>
      <c r="K34" s="15" t="s">
        <v>2895</v>
      </c>
      <c r="L34" s="15" t="s">
        <v>755</v>
      </c>
      <c r="M34" s="15" t="str">
        <f t="shared" si="0"/>
        <v>insert into dbo.LifeInsJobCode (JobCode,JobGrade,JobDescription,JobGroupCode1,JobGroupName1,JobGroupCode2,JobGroupName2,CreateTime,Creator,ModifyTime,Modifier) VALUES ('02010040','3','捕魚人(內陸)','','','','',getdate(),'Alvin',getdate(),'Alvin')</v>
      </c>
    </row>
    <row r="35" spans="2:13" ht="13.8">
      <c r="B35" s="15" t="s">
        <v>813</v>
      </c>
      <c r="C35" s="15">
        <v>4</v>
      </c>
      <c r="D35" s="15" t="s">
        <v>3269</v>
      </c>
      <c r="E35" s="15" t="s">
        <v>758</v>
      </c>
      <c r="F35" s="15" t="s">
        <v>758</v>
      </c>
      <c r="G35" s="15" t="s">
        <v>758</v>
      </c>
      <c r="H35" s="15" t="s">
        <v>758</v>
      </c>
      <c r="I35" s="15" t="s">
        <v>2895</v>
      </c>
      <c r="J35" s="15" t="s">
        <v>755</v>
      </c>
      <c r="K35" s="15" t="s">
        <v>2895</v>
      </c>
      <c r="L35" s="15" t="s">
        <v>755</v>
      </c>
      <c r="M35" s="15" t="str">
        <f t="shared" si="0"/>
        <v>insert into dbo.LifeInsJobCode (JobCode,JobGrade,JobDescription,JobGroupCode1,JobGroupName1,JobGroupCode2,JobGroupName2,CreateTime,Creator,ModifyTime,Modifier) VALUES ('02010041','4','捕魚人(沿海)','','','','',getdate(),'Alvin',getdate(),'Alvin')</v>
      </c>
    </row>
    <row r="36" spans="2:13" ht="13.8">
      <c r="B36" s="15" t="s">
        <v>814</v>
      </c>
      <c r="C36" s="15">
        <v>1</v>
      </c>
      <c r="D36" s="15" t="s">
        <v>3326</v>
      </c>
      <c r="E36" s="15" t="s">
        <v>758</v>
      </c>
      <c r="F36" s="15" t="s">
        <v>758</v>
      </c>
      <c r="G36" s="15" t="s">
        <v>758</v>
      </c>
      <c r="H36" s="15" t="s">
        <v>758</v>
      </c>
      <c r="I36" s="15" t="s">
        <v>2895</v>
      </c>
      <c r="J36" s="15" t="s">
        <v>755</v>
      </c>
      <c r="K36" s="15" t="s">
        <v>2895</v>
      </c>
      <c r="L36" s="15" t="s">
        <v>755</v>
      </c>
      <c r="M36" s="15" t="str">
        <f t="shared" si="0"/>
        <v>insert into dbo.LifeInsJobCode (JobCode,JobGrade,JobDescription,JobGroupCode1,JobGroupName1,JobGroupCode2,JobGroupName2,CreateTime,Creator,ModifyTime,Modifier) VALUES ('02010050','1','水產實驗人員(室內)','','','','',getdate(),'Alvin',getdate(),'Alvin')</v>
      </c>
    </row>
    <row r="37" spans="2:13" ht="13.8">
      <c r="B37" s="15" t="s">
        <v>815</v>
      </c>
      <c r="C37" s="15">
        <v>3</v>
      </c>
      <c r="D37" s="15" t="s">
        <v>3327</v>
      </c>
      <c r="E37" s="15" t="s">
        <v>758</v>
      </c>
      <c r="F37" s="15" t="s">
        <v>758</v>
      </c>
      <c r="G37" s="15" t="s">
        <v>758</v>
      </c>
      <c r="H37" s="15" t="s">
        <v>758</v>
      </c>
      <c r="I37" s="15" t="s">
        <v>2895</v>
      </c>
      <c r="J37" s="15" t="s">
        <v>755</v>
      </c>
      <c r="K37" s="15" t="s">
        <v>2895</v>
      </c>
      <c r="L37" s="15" t="s">
        <v>755</v>
      </c>
      <c r="M37" s="15" t="str">
        <f t="shared" si="0"/>
        <v>insert into dbo.LifeInsJobCode (JobCode,JobGrade,JobDescription,JobGroupCode1,JobGroupName1,JobGroupCode2,JobGroupName2,CreateTime,Creator,ModifyTime,Modifier) VALUES ('02010051','3','水產實驗人員(室外)','','','','',getdate(),'Alvin',getdate(),'Alvin')</v>
      </c>
    </row>
    <row r="38" spans="2:13" ht="13.8">
      <c r="B38" s="15" t="s">
        <v>816</v>
      </c>
      <c r="C38" s="15">
        <v>3</v>
      </c>
      <c r="D38" s="15" t="s">
        <v>817</v>
      </c>
      <c r="E38" s="15" t="s">
        <v>758</v>
      </c>
      <c r="F38" s="15" t="s">
        <v>758</v>
      </c>
      <c r="G38" s="15" t="s">
        <v>758</v>
      </c>
      <c r="H38" s="15" t="s">
        <v>758</v>
      </c>
      <c r="I38" s="15" t="s">
        <v>2895</v>
      </c>
      <c r="J38" s="15" t="s">
        <v>755</v>
      </c>
      <c r="K38" s="15" t="s">
        <v>2895</v>
      </c>
      <c r="L38" s="15" t="s">
        <v>755</v>
      </c>
      <c r="M38" s="15" t="str">
        <f t="shared" si="0"/>
        <v>insert into dbo.LifeInsJobCode (JobCode,JobGrade,JobDescription,JobGroupCode1,JobGroupName1,JobGroupCode2,JobGroupName2,CreateTime,Creator,ModifyTime,Modifier) VALUES ('02010060','3','海邊撈魚苗者','','','','',getdate(),'Alvin',getdate(),'Alvin')</v>
      </c>
    </row>
    <row r="39" spans="2:13" ht="13.8">
      <c r="B39" s="15" t="s">
        <v>818</v>
      </c>
      <c r="C39" s="15">
        <v>1</v>
      </c>
      <c r="D39" s="15" t="s">
        <v>819</v>
      </c>
      <c r="E39" s="15" t="s">
        <v>758</v>
      </c>
      <c r="F39" s="15" t="s">
        <v>758</v>
      </c>
      <c r="G39" s="15" t="s">
        <v>758</v>
      </c>
      <c r="H39" s="15" t="s">
        <v>758</v>
      </c>
      <c r="I39" s="15" t="s">
        <v>2895</v>
      </c>
      <c r="J39" s="15" t="s">
        <v>755</v>
      </c>
      <c r="K39" s="15" t="s">
        <v>2895</v>
      </c>
      <c r="L39" s="15" t="s">
        <v>755</v>
      </c>
      <c r="M39" s="15" t="str">
        <f t="shared" si="0"/>
        <v>insert into dbo.LifeInsJobCode (JobCode,JobGrade,JobDescription,JobGroupCode1,JobGroupName1,JobGroupCode2,JobGroupName2,CreateTime,Creator,ModifyTime,Modifier) VALUES ('02010070','1','漁產加工業實驗人員','','','','',getdate(),'Alvin',getdate(),'Alvin')</v>
      </c>
    </row>
    <row r="40" spans="2:13" ht="13.8">
      <c r="B40" s="15" t="s">
        <v>820</v>
      </c>
      <c r="C40" s="15">
        <v>2</v>
      </c>
      <c r="D40" s="15" t="s">
        <v>821</v>
      </c>
      <c r="E40" s="15" t="s">
        <v>758</v>
      </c>
      <c r="F40" s="15" t="s">
        <v>758</v>
      </c>
      <c r="G40" s="15" t="s">
        <v>758</v>
      </c>
      <c r="H40" s="15" t="s">
        <v>758</v>
      </c>
      <c r="I40" s="15" t="s">
        <v>2895</v>
      </c>
      <c r="J40" s="15" t="s">
        <v>755</v>
      </c>
      <c r="K40" s="15" t="s">
        <v>2895</v>
      </c>
      <c r="L40" s="15" t="s">
        <v>755</v>
      </c>
      <c r="M40" s="15" t="str">
        <f t="shared" si="0"/>
        <v>insert into dbo.LifeInsJobCode (JobCode,JobGrade,JobDescription,JobGroupCode1,JobGroupName1,JobGroupCode2,JobGroupName2,CreateTime,Creator,ModifyTime,Modifier) VALUES ('02010071','2','漁產加工業品管員','','','','',getdate(),'Alvin',getdate(),'Alvin')</v>
      </c>
    </row>
    <row r="41" spans="2:13" ht="13.8">
      <c r="B41" s="15" t="s">
        <v>822</v>
      </c>
      <c r="C41" s="15">
        <v>2</v>
      </c>
      <c r="D41" s="15" t="s">
        <v>823</v>
      </c>
      <c r="E41" s="15" t="s">
        <v>758</v>
      </c>
      <c r="F41" s="15" t="s">
        <v>758</v>
      </c>
      <c r="G41" s="15" t="s">
        <v>758</v>
      </c>
      <c r="H41" s="15" t="s">
        <v>758</v>
      </c>
      <c r="I41" s="15" t="s">
        <v>2895</v>
      </c>
      <c r="J41" s="15" t="s">
        <v>755</v>
      </c>
      <c r="K41" s="15" t="s">
        <v>2895</v>
      </c>
      <c r="L41" s="15" t="s">
        <v>755</v>
      </c>
      <c r="M41" s="15" t="str">
        <f t="shared" si="0"/>
        <v>insert into dbo.LifeInsJobCode (JobCode,JobGrade,JobDescription,JobGroupCode1,JobGroupName1,JobGroupCode2,JobGroupName2,CreateTime,Creator,ModifyTime,Modifier) VALUES ('02010080','2','釣魚、釣蝦場經營者、工作人員','','','','',getdate(),'Alvin',getdate(),'Alvin')</v>
      </c>
    </row>
    <row r="42" spans="2:13" ht="13.8">
      <c r="B42" s="15" t="s">
        <v>824</v>
      </c>
      <c r="C42" s="15">
        <v>2</v>
      </c>
      <c r="D42" s="15" t="s">
        <v>825</v>
      </c>
      <c r="E42" s="15" t="s">
        <v>758</v>
      </c>
      <c r="F42" s="15" t="s">
        <v>758</v>
      </c>
      <c r="G42" s="15" t="s">
        <v>758</v>
      </c>
      <c r="H42" s="15" t="s">
        <v>758</v>
      </c>
      <c r="I42" s="15" t="s">
        <v>2895</v>
      </c>
      <c r="J42" s="15" t="s">
        <v>755</v>
      </c>
      <c r="K42" s="15" t="s">
        <v>2895</v>
      </c>
      <c r="L42" s="15" t="s">
        <v>755</v>
      </c>
      <c r="M42" s="15" t="str">
        <f t="shared" si="0"/>
        <v>insert into dbo.LifeInsJobCode (JobCode,JobGrade,JobDescription,JobGroupCode1,JobGroupName1,JobGroupCode2,JobGroupName2,CreateTime,Creator,ModifyTime,Modifier) VALUES ('02010090','2','漁產加工業領班、一般工人','','','','',getdate(),'Alvin',getdate(),'Alvin')</v>
      </c>
    </row>
    <row r="43" spans="2:13" ht="13.8">
      <c r="B43" s="15" t="s">
        <v>826</v>
      </c>
      <c r="C43" s="15">
        <v>7</v>
      </c>
      <c r="D43" s="15" t="s">
        <v>827</v>
      </c>
      <c r="E43" s="15" t="s">
        <v>758</v>
      </c>
      <c r="F43" s="15" t="s">
        <v>758</v>
      </c>
      <c r="G43" s="15" t="s">
        <v>828</v>
      </c>
      <c r="H43" s="15" t="s">
        <v>829</v>
      </c>
      <c r="I43" s="15" t="s">
        <v>2895</v>
      </c>
      <c r="J43" s="15" t="s">
        <v>755</v>
      </c>
      <c r="K43" s="15" t="s">
        <v>2895</v>
      </c>
      <c r="L43" s="15" t="s">
        <v>755</v>
      </c>
      <c r="M43" s="15" t="str">
        <f t="shared" si="0"/>
        <v>insert into dbo.LifeInsJobCode (JobCode,JobGrade,JobDescription,JobGroupCode1,JobGroupName1,JobGroupCode2,JobGroupName2,CreateTime,Creator,ModifyTime,Modifier) VALUES ('02020010','7','遠洋漁船船員','','','0202','海上漁業',getdate(),'Alvin',getdate(),'Alvin')</v>
      </c>
    </row>
    <row r="44" spans="2:13" ht="13.8">
      <c r="B44" s="15" t="s">
        <v>830</v>
      </c>
      <c r="C44" s="15">
        <v>7</v>
      </c>
      <c r="D44" s="15" t="s">
        <v>831</v>
      </c>
      <c r="E44" s="15" t="s">
        <v>758</v>
      </c>
      <c r="F44" s="15" t="s">
        <v>758</v>
      </c>
      <c r="G44" s="15" t="s">
        <v>758</v>
      </c>
      <c r="H44" s="15" t="s">
        <v>758</v>
      </c>
      <c r="I44" s="15" t="s">
        <v>2895</v>
      </c>
      <c r="J44" s="15" t="s">
        <v>755</v>
      </c>
      <c r="K44" s="15" t="s">
        <v>2895</v>
      </c>
      <c r="L44" s="15" t="s">
        <v>755</v>
      </c>
      <c r="M44" s="15" t="str">
        <f t="shared" si="0"/>
        <v>insert into dbo.LifeInsJobCode (JobCode,JobGrade,JobDescription,JobGroupCode1,JobGroupName1,JobGroupCode2,JobGroupName2,CreateTime,Creator,ModifyTime,Modifier) VALUES ('02020020','7','近海漁船船員','','','','',getdate(),'Alvin',getdate(),'Alvin')</v>
      </c>
    </row>
    <row r="45" spans="2:13" ht="13.8">
      <c r="B45" s="15" t="s">
        <v>832</v>
      </c>
      <c r="C45" s="15">
        <v>7</v>
      </c>
      <c r="D45" s="15" t="s">
        <v>833</v>
      </c>
      <c r="E45" s="15" t="s">
        <v>758</v>
      </c>
      <c r="F45" s="15" t="s">
        <v>758</v>
      </c>
      <c r="G45" s="15" t="s">
        <v>758</v>
      </c>
      <c r="H45" s="15" t="s">
        <v>758</v>
      </c>
      <c r="I45" s="15" t="s">
        <v>2895</v>
      </c>
      <c r="J45" s="15" t="s">
        <v>755</v>
      </c>
      <c r="K45" s="15" t="s">
        <v>2895</v>
      </c>
      <c r="L45" s="15" t="s">
        <v>755</v>
      </c>
      <c r="M45" s="15" t="str">
        <f t="shared" si="0"/>
        <v>insert into dbo.LifeInsJobCode (JobCode,JobGrade,JobDescription,JobGroupCode1,JobGroupName1,JobGroupCode2,JobGroupName2,CreateTime,Creator,ModifyTime,Modifier) VALUES ('02020030','7','海釣船人員','','','','',getdate(),'Alvin',getdate(),'Alvin')</v>
      </c>
    </row>
    <row r="46" spans="2:13" ht="13.8">
      <c r="B46" s="15" t="s">
        <v>834</v>
      </c>
      <c r="C46" s="15">
        <v>5</v>
      </c>
      <c r="D46" s="15" t="s">
        <v>835</v>
      </c>
      <c r="E46" s="15" t="s">
        <v>836</v>
      </c>
      <c r="F46" s="15" t="s">
        <v>837</v>
      </c>
      <c r="G46" s="15" t="s">
        <v>838</v>
      </c>
      <c r="H46" s="15" t="s">
        <v>839</v>
      </c>
      <c r="I46" s="15" t="s">
        <v>2895</v>
      </c>
      <c r="J46" s="15" t="s">
        <v>755</v>
      </c>
      <c r="K46" s="15" t="s">
        <v>2895</v>
      </c>
      <c r="L46" s="15" t="s">
        <v>755</v>
      </c>
      <c r="M46" s="15" t="str">
        <f t="shared" si="0"/>
        <v>insert into dbo.LifeInsJobCode (JobCode,JobGrade,JobDescription,JobGroupCode1,JobGroupName1,JobGroupCode2,JobGroupName2,CreateTime,Creator,ModifyTime,Modifier) VALUES ('03010010','5','領班','03','木材森林業','0301','森林砍伐業',getdate(),'Alvin',getdate(),'Alvin')</v>
      </c>
    </row>
    <row r="47" spans="2:13" ht="13.8">
      <c r="B47" s="15" t="s">
        <v>840</v>
      </c>
      <c r="C47" s="15">
        <v>5</v>
      </c>
      <c r="D47" s="15" t="s">
        <v>841</v>
      </c>
      <c r="E47" s="15" t="s">
        <v>758</v>
      </c>
      <c r="F47" s="15" t="s">
        <v>758</v>
      </c>
      <c r="G47" s="15" t="s">
        <v>758</v>
      </c>
      <c r="H47" s="15" t="s">
        <v>758</v>
      </c>
      <c r="I47" s="15" t="s">
        <v>2895</v>
      </c>
      <c r="J47" s="15" t="s">
        <v>755</v>
      </c>
      <c r="K47" s="15" t="s">
        <v>2895</v>
      </c>
      <c r="L47" s="15" t="s">
        <v>755</v>
      </c>
      <c r="M47" s="15" t="str">
        <f t="shared" si="0"/>
        <v>insert into dbo.LifeInsJobCode (JobCode,JobGrade,JobDescription,JobGroupCode1,JobGroupName1,JobGroupCode2,JobGroupName2,CreateTime,Creator,ModifyTime,Modifier) VALUES ('03010020','5','監工','','','','',getdate(),'Alvin',getdate(),'Alvin')</v>
      </c>
    </row>
    <row r="48" spans="2:13" ht="13.8">
      <c r="B48" s="15" t="s">
        <v>842</v>
      </c>
      <c r="C48" s="15">
        <v>6</v>
      </c>
      <c r="D48" s="15" t="s">
        <v>843</v>
      </c>
      <c r="E48" s="15" t="s">
        <v>758</v>
      </c>
      <c r="F48" s="15" t="s">
        <v>758</v>
      </c>
      <c r="G48" s="15" t="s">
        <v>758</v>
      </c>
      <c r="H48" s="15" t="s">
        <v>758</v>
      </c>
      <c r="I48" s="15" t="s">
        <v>2895</v>
      </c>
      <c r="J48" s="15" t="s">
        <v>755</v>
      </c>
      <c r="K48" s="15" t="s">
        <v>2895</v>
      </c>
      <c r="L48" s="15" t="s">
        <v>755</v>
      </c>
      <c r="M48" s="15" t="str">
        <f t="shared" si="0"/>
        <v>insert into dbo.LifeInsJobCode (JobCode,JobGrade,JobDescription,JobGroupCode1,JobGroupName1,JobGroupCode2,JobGroupName2,CreateTime,Creator,ModifyTime,Modifier) VALUES ('03010030','6','伐木工人','','','','',getdate(),'Alvin',getdate(),'Alvin')</v>
      </c>
    </row>
    <row r="49" spans="2:13" ht="13.8">
      <c r="B49" s="15" t="s">
        <v>844</v>
      </c>
      <c r="C49" s="15">
        <v>6</v>
      </c>
      <c r="D49" s="15" t="s">
        <v>845</v>
      </c>
      <c r="E49" s="15" t="s">
        <v>758</v>
      </c>
      <c r="F49" s="15" t="s">
        <v>758</v>
      </c>
      <c r="G49" s="15" t="s">
        <v>758</v>
      </c>
      <c r="H49" s="15" t="s">
        <v>758</v>
      </c>
      <c r="I49" s="15" t="s">
        <v>2895</v>
      </c>
      <c r="J49" s="15" t="s">
        <v>755</v>
      </c>
      <c r="K49" s="15" t="s">
        <v>2895</v>
      </c>
      <c r="L49" s="15" t="s">
        <v>755</v>
      </c>
      <c r="M49" s="15" t="str">
        <f t="shared" si="0"/>
        <v>insert into dbo.LifeInsJobCode (JobCode,JobGrade,JobDescription,JobGroupCode1,JobGroupName1,JobGroupCode2,JobGroupName2,CreateTime,Creator,ModifyTime,Modifier) VALUES ('03010040','6','鋸木工人','','','','',getdate(),'Alvin',getdate(),'Alvin')</v>
      </c>
    </row>
    <row r="50" spans="2:13" ht="13.8">
      <c r="B50" s="15" t="s">
        <v>846</v>
      </c>
      <c r="C50" s="15">
        <v>6</v>
      </c>
      <c r="D50" s="15" t="s">
        <v>847</v>
      </c>
      <c r="E50" s="15" t="s">
        <v>758</v>
      </c>
      <c r="F50" s="15" t="s">
        <v>758</v>
      </c>
      <c r="G50" s="15" t="s">
        <v>758</v>
      </c>
      <c r="H50" s="15" t="s">
        <v>758</v>
      </c>
      <c r="I50" s="15" t="s">
        <v>2895</v>
      </c>
      <c r="J50" s="15" t="s">
        <v>755</v>
      </c>
      <c r="K50" s="15" t="s">
        <v>2895</v>
      </c>
      <c r="L50" s="15" t="s">
        <v>755</v>
      </c>
      <c r="M50" s="15" t="str">
        <f t="shared" si="0"/>
        <v>insert into dbo.LifeInsJobCode (JobCode,JobGrade,JobDescription,JobGroupCode1,JobGroupName1,JobGroupCode2,JobGroupName2,CreateTime,Creator,ModifyTime,Modifier) VALUES ('03010050','6','運材車輛之司機及押運人員','','','','',getdate(),'Alvin',getdate(),'Alvin')</v>
      </c>
    </row>
    <row r="51" spans="2:13" ht="13.8">
      <c r="B51" s="15" t="s">
        <v>848</v>
      </c>
      <c r="C51" s="15">
        <v>6</v>
      </c>
      <c r="D51" s="15" t="s">
        <v>849</v>
      </c>
      <c r="E51" s="15" t="s">
        <v>758</v>
      </c>
      <c r="F51" s="15" t="s">
        <v>758</v>
      </c>
      <c r="G51" s="15" t="s">
        <v>758</v>
      </c>
      <c r="H51" s="15" t="s">
        <v>758</v>
      </c>
      <c r="I51" s="15" t="s">
        <v>2895</v>
      </c>
      <c r="J51" s="15" t="s">
        <v>755</v>
      </c>
      <c r="K51" s="15" t="s">
        <v>2895</v>
      </c>
      <c r="L51" s="15" t="s">
        <v>755</v>
      </c>
      <c r="M51" s="15" t="str">
        <f t="shared" si="0"/>
        <v>insert into dbo.LifeInsJobCode (JobCode,JobGrade,JobDescription,JobGroupCode1,JobGroupName1,JobGroupCode2,JobGroupName2,CreateTime,Creator,ModifyTime,Modifier) VALUES ('03010060','6','起重機之操作人員','','','','',getdate(),'Alvin',getdate(),'Alvin')</v>
      </c>
    </row>
    <row r="52" spans="2:13" ht="13.8">
      <c r="B52" s="15" t="s">
        <v>850</v>
      </c>
      <c r="C52" s="15">
        <v>6</v>
      </c>
      <c r="D52" s="15" t="s">
        <v>851</v>
      </c>
      <c r="E52" s="15" t="s">
        <v>758</v>
      </c>
      <c r="F52" s="15" t="s">
        <v>758</v>
      </c>
      <c r="G52" s="15" t="s">
        <v>758</v>
      </c>
      <c r="H52" s="15" t="s">
        <v>758</v>
      </c>
      <c r="I52" s="15" t="s">
        <v>2895</v>
      </c>
      <c r="J52" s="15" t="s">
        <v>755</v>
      </c>
      <c r="K52" s="15" t="s">
        <v>2895</v>
      </c>
      <c r="L52" s="15" t="s">
        <v>755</v>
      </c>
      <c r="M52" s="15" t="str">
        <f t="shared" si="0"/>
        <v>insert into dbo.LifeInsJobCode (JobCode,JobGrade,JobDescription,JobGroupCode1,JobGroupName1,JobGroupCode2,JobGroupName2,CreateTime,Creator,ModifyTime,Modifier) VALUES ('03010070','6','裝運工人','','','','',getdate(),'Alvin',getdate(),'Alvin')</v>
      </c>
    </row>
    <row r="53" spans="2:13" ht="13.8">
      <c r="B53" s="15" t="s">
        <v>852</v>
      </c>
      <c r="C53" s="15">
        <v>2</v>
      </c>
      <c r="D53" s="15" t="s">
        <v>853</v>
      </c>
      <c r="E53" s="15" t="s">
        <v>758</v>
      </c>
      <c r="F53" s="15" t="s">
        <v>758</v>
      </c>
      <c r="G53" s="15" t="s">
        <v>854</v>
      </c>
      <c r="H53" s="15" t="s">
        <v>855</v>
      </c>
      <c r="I53" s="15" t="s">
        <v>2895</v>
      </c>
      <c r="J53" s="15" t="s">
        <v>755</v>
      </c>
      <c r="K53" s="15" t="s">
        <v>2895</v>
      </c>
      <c r="L53" s="15" t="s">
        <v>755</v>
      </c>
      <c r="M53" s="15" t="str">
        <f t="shared" si="0"/>
        <v>insert into dbo.LifeInsJobCode (JobCode,JobGrade,JobDescription,JobGroupCode1,JobGroupName1,JobGroupCode2,JobGroupName2,CreateTime,Creator,ModifyTime,Modifier) VALUES ('03020010','2','木材工廠現場之職員','','','0302','木材加工業',getdate(),'Alvin',getdate(),'Alvin')</v>
      </c>
    </row>
    <row r="54" spans="2:13" ht="13.8">
      <c r="B54" s="15" t="s">
        <v>856</v>
      </c>
      <c r="C54" s="15">
        <v>3</v>
      </c>
      <c r="D54" s="15" t="s">
        <v>835</v>
      </c>
      <c r="E54" s="15" t="s">
        <v>758</v>
      </c>
      <c r="F54" s="15" t="s">
        <v>758</v>
      </c>
      <c r="G54" s="15" t="s">
        <v>758</v>
      </c>
      <c r="H54" s="15" t="s">
        <v>758</v>
      </c>
      <c r="I54" s="15" t="s">
        <v>2895</v>
      </c>
      <c r="J54" s="15" t="s">
        <v>755</v>
      </c>
      <c r="K54" s="15" t="s">
        <v>2895</v>
      </c>
      <c r="L54" s="15" t="s">
        <v>755</v>
      </c>
      <c r="M54" s="15" t="str">
        <f t="shared" si="0"/>
        <v>insert into dbo.LifeInsJobCode (JobCode,JobGrade,JobDescription,JobGroupCode1,JobGroupName1,JobGroupCode2,JobGroupName2,CreateTime,Creator,ModifyTime,Modifier) VALUES ('03020020','3','領班','','','','',getdate(),'Alvin',getdate(),'Alvin')</v>
      </c>
    </row>
    <row r="55" spans="2:13" ht="13.8">
      <c r="B55" s="15" t="s">
        <v>857</v>
      </c>
      <c r="C55" s="15">
        <v>3</v>
      </c>
      <c r="D55" s="15" t="s">
        <v>858</v>
      </c>
      <c r="E55" s="15" t="s">
        <v>758</v>
      </c>
      <c r="F55" s="15" t="s">
        <v>758</v>
      </c>
      <c r="G55" s="15" t="s">
        <v>758</v>
      </c>
      <c r="H55" s="15" t="s">
        <v>758</v>
      </c>
      <c r="I55" s="15" t="s">
        <v>2895</v>
      </c>
      <c r="J55" s="15" t="s">
        <v>755</v>
      </c>
      <c r="K55" s="15" t="s">
        <v>2895</v>
      </c>
      <c r="L55" s="15" t="s">
        <v>755</v>
      </c>
      <c r="M55" s="15" t="str">
        <f t="shared" si="0"/>
        <v>insert into dbo.LifeInsJobCode (JobCode,JobGrade,JobDescription,JobGroupCode1,JobGroupName1,JobGroupCode2,JobGroupName2,CreateTime,Creator,ModifyTime,Modifier) VALUES ('03020030','3','分級員','','','','',getdate(),'Alvin',getdate(),'Alvin')</v>
      </c>
    </row>
    <row r="56" spans="2:13" ht="13.8">
      <c r="B56" s="15" t="s">
        <v>859</v>
      </c>
      <c r="C56" s="15">
        <v>3</v>
      </c>
      <c r="D56" s="15" t="s">
        <v>860</v>
      </c>
      <c r="E56" s="15" t="s">
        <v>758</v>
      </c>
      <c r="F56" s="15" t="s">
        <v>758</v>
      </c>
      <c r="G56" s="15" t="s">
        <v>758</v>
      </c>
      <c r="H56" s="15" t="s">
        <v>758</v>
      </c>
      <c r="I56" s="15" t="s">
        <v>2895</v>
      </c>
      <c r="J56" s="15" t="s">
        <v>755</v>
      </c>
      <c r="K56" s="15" t="s">
        <v>2895</v>
      </c>
      <c r="L56" s="15" t="s">
        <v>755</v>
      </c>
      <c r="M56" s="15" t="str">
        <f t="shared" si="0"/>
        <v>insert into dbo.LifeInsJobCode (JobCode,JobGrade,JobDescription,JobGroupCode1,JobGroupName1,JobGroupCode2,JobGroupName2,CreateTime,Creator,ModifyTime,Modifier) VALUES ('03020040','3','檢查員','','','','',getdate(),'Alvin',getdate(),'Alvin')</v>
      </c>
    </row>
    <row r="57" spans="2:13" ht="13.8">
      <c r="B57" s="15" t="s">
        <v>861</v>
      </c>
      <c r="C57" s="15">
        <v>3</v>
      </c>
      <c r="D57" s="15" t="s">
        <v>862</v>
      </c>
      <c r="E57" s="15" t="s">
        <v>758</v>
      </c>
      <c r="F57" s="15" t="s">
        <v>758</v>
      </c>
      <c r="G57" s="15" t="s">
        <v>758</v>
      </c>
      <c r="H57" s="15" t="s">
        <v>758</v>
      </c>
      <c r="I57" s="15" t="s">
        <v>2895</v>
      </c>
      <c r="J57" s="15" t="s">
        <v>755</v>
      </c>
      <c r="K57" s="15" t="s">
        <v>2895</v>
      </c>
      <c r="L57" s="15" t="s">
        <v>755</v>
      </c>
      <c r="M57" s="15" t="str">
        <f t="shared" si="0"/>
        <v>insert into dbo.LifeInsJobCode (JobCode,JobGrade,JobDescription,JobGroupCode1,JobGroupName1,JobGroupCode2,JobGroupName2,CreateTime,Creator,ModifyTime,Modifier) VALUES ('03020050','3','標記員','','','','',getdate(),'Alvin',getdate(),'Alvin')</v>
      </c>
    </row>
    <row r="58" spans="2:13" ht="13.8">
      <c r="B58" s="15" t="s">
        <v>863</v>
      </c>
      <c r="C58" s="15">
        <v>3</v>
      </c>
      <c r="D58" s="15" t="s">
        <v>864</v>
      </c>
      <c r="E58" s="15" t="s">
        <v>758</v>
      </c>
      <c r="F58" s="15" t="s">
        <v>758</v>
      </c>
      <c r="G58" s="15" t="s">
        <v>758</v>
      </c>
      <c r="H58" s="15" t="s">
        <v>758</v>
      </c>
      <c r="I58" s="15" t="s">
        <v>2895</v>
      </c>
      <c r="J58" s="15" t="s">
        <v>755</v>
      </c>
      <c r="K58" s="15" t="s">
        <v>2895</v>
      </c>
      <c r="L58" s="15" t="s">
        <v>755</v>
      </c>
      <c r="M58" s="15" t="str">
        <f t="shared" si="0"/>
        <v>insert into dbo.LifeInsJobCode (JobCode,JobGrade,JobDescription,JobGroupCode1,JobGroupName1,JobGroupCode2,JobGroupName2,CreateTime,Creator,ModifyTime,Modifier) VALUES ('03020060','3','磅秤員','','','','',getdate(),'Alvin',getdate(),'Alvin')</v>
      </c>
    </row>
    <row r="59" spans="2:13" ht="13.8">
      <c r="B59" s="15" t="s">
        <v>865</v>
      </c>
      <c r="C59" s="15">
        <v>5</v>
      </c>
      <c r="D59" s="15" t="s">
        <v>845</v>
      </c>
      <c r="E59" s="15" t="s">
        <v>758</v>
      </c>
      <c r="F59" s="15" t="s">
        <v>758</v>
      </c>
      <c r="G59" s="15" t="s">
        <v>758</v>
      </c>
      <c r="H59" s="15" t="s">
        <v>758</v>
      </c>
      <c r="I59" s="15" t="s">
        <v>2895</v>
      </c>
      <c r="J59" s="15" t="s">
        <v>755</v>
      </c>
      <c r="K59" s="15" t="s">
        <v>2895</v>
      </c>
      <c r="L59" s="15" t="s">
        <v>755</v>
      </c>
      <c r="M59" s="15" t="str">
        <f t="shared" si="0"/>
        <v>insert into dbo.LifeInsJobCode (JobCode,JobGrade,JobDescription,JobGroupCode1,JobGroupName1,JobGroupCode2,JobGroupName2,CreateTime,Creator,ModifyTime,Modifier) VALUES ('03020070','5','鋸木工人','','','','',getdate(),'Alvin',getdate(),'Alvin')</v>
      </c>
    </row>
    <row r="60" spans="2:13" ht="13.8">
      <c r="B60" s="15" t="s">
        <v>866</v>
      </c>
      <c r="C60" s="15">
        <v>4</v>
      </c>
      <c r="D60" s="15" t="s">
        <v>867</v>
      </c>
      <c r="E60" s="15" t="s">
        <v>758</v>
      </c>
      <c r="F60" s="15" t="s">
        <v>758</v>
      </c>
      <c r="G60" s="15" t="s">
        <v>758</v>
      </c>
      <c r="H60" s="15" t="s">
        <v>758</v>
      </c>
      <c r="I60" s="15" t="s">
        <v>2895</v>
      </c>
      <c r="J60" s="15" t="s">
        <v>755</v>
      </c>
      <c r="K60" s="15" t="s">
        <v>2895</v>
      </c>
      <c r="L60" s="15" t="s">
        <v>755</v>
      </c>
      <c r="M60" s="15" t="str">
        <f t="shared" si="0"/>
        <v>insert into dbo.LifeInsJobCode (JobCode,JobGrade,JobDescription,JobGroupCode1,JobGroupName1,JobGroupCode2,JobGroupName2,CreateTime,Creator,ModifyTime,Modifier) VALUES ('03020080','4','防腐劑工人','','','','',getdate(),'Alvin',getdate(),'Alvin')</v>
      </c>
    </row>
    <row r="61" spans="2:13" ht="13.8">
      <c r="B61" s="15" t="s">
        <v>868</v>
      </c>
      <c r="C61" s="15">
        <v>4</v>
      </c>
      <c r="D61" s="15" t="s">
        <v>869</v>
      </c>
      <c r="E61" s="15" t="s">
        <v>758</v>
      </c>
      <c r="F61" s="15" t="s">
        <v>758</v>
      </c>
      <c r="G61" s="15" t="s">
        <v>758</v>
      </c>
      <c r="H61" s="15" t="s">
        <v>758</v>
      </c>
      <c r="I61" s="15" t="s">
        <v>2895</v>
      </c>
      <c r="J61" s="15" t="s">
        <v>755</v>
      </c>
      <c r="K61" s="15" t="s">
        <v>2895</v>
      </c>
      <c r="L61" s="15" t="s">
        <v>755</v>
      </c>
      <c r="M61" s="15" t="str">
        <f t="shared" si="0"/>
        <v>insert into dbo.LifeInsJobCode (JobCode,JobGrade,JobDescription,JobGroupCode1,JobGroupName1,JobGroupCode2,JobGroupName2,CreateTime,Creator,ModifyTime,Modifier) VALUES ('03020090','4','木材儲藏槽工人','','','','',getdate(),'Alvin',getdate(),'Alvin')</v>
      </c>
    </row>
    <row r="62" spans="2:13" ht="13.8">
      <c r="B62" s="15" t="s">
        <v>870</v>
      </c>
      <c r="C62" s="15">
        <v>5</v>
      </c>
      <c r="D62" s="15" t="s">
        <v>871</v>
      </c>
      <c r="E62" s="15" t="s">
        <v>758</v>
      </c>
      <c r="F62" s="15" t="s">
        <v>758</v>
      </c>
      <c r="G62" s="15" t="s">
        <v>758</v>
      </c>
      <c r="H62" s="15" t="s">
        <v>758</v>
      </c>
      <c r="I62" s="15" t="s">
        <v>2895</v>
      </c>
      <c r="J62" s="15" t="s">
        <v>755</v>
      </c>
      <c r="K62" s="15" t="s">
        <v>2895</v>
      </c>
      <c r="L62" s="15" t="s">
        <v>755</v>
      </c>
      <c r="M62" s="15" t="str">
        <f t="shared" si="0"/>
        <v>insert into dbo.LifeInsJobCode (JobCode,JobGrade,JobDescription,JobGroupCode1,JobGroupName1,JobGroupCode2,JobGroupName2,CreateTime,Creator,ModifyTime,Modifier) VALUES ('03020100','5','木材搬運工人','','','','',getdate(),'Alvin',getdate(),'Alvin')</v>
      </c>
    </row>
    <row r="63" spans="2:13" ht="13.8">
      <c r="B63" s="15" t="s">
        <v>872</v>
      </c>
      <c r="C63" s="15">
        <v>3</v>
      </c>
      <c r="D63" s="15" t="s">
        <v>873</v>
      </c>
      <c r="E63" s="15" t="s">
        <v>758</v>
      </c>
      <c r="F63" s="15" t="s">
        <v>758</v>
      </c>
      <c r="G63" s="15" t="s">
        <v>758</v>
      </c>
      <c r="H63" s="15" t="s">
        <v>758</v>
      </c>
      <c r="I63" s="15" t="s">
        <v>2895</v>
      </c>
      <c r="J63" s="15" t="s">
        <v>755</v>
      </c>
      <c r="K63" s="15" t="s">
        <v>2895</v>
      </c>
      <c r="L63" s="15" t="s">
        <v>755</v>
      </c>
      <c r="M63" s="15" t="str">
        <f t="shared" si="0"/>
        <v>insert into dbo.LifeInsJobCode (JobCode,JobGrade,JobDescription,JobGroupCode1,JobGroupName1,JobGroupCode2,JobGroupName2,CreateTime,Creator,ModifyTime,Modifier) VALUES ('03020110','3','吊車操作人員','','','','',getdate(),'Alvin',getdate(),'Alvin')</v>
      </c>
    </row>
    <row r="64" spans="2:13" ht="13.8">
      <c r="B64" s="15" t="s">
        <v>874</v>
      </c>
      <c r="C64" s="15">
        <v>4</v>
      </c>
      <c r="D64" s="15" t="s">
        <v>875</v>
      </c>
      <c r="E64" s="15" t="s">
        <v>758</v>
      </c>
      <c r="F64" s="15" t="s">
        <v>758</v>
      </c>
      <c r="G64" s="15" t="s">
        <v>758</v>
      </c>
      <c r="H64" s="15" t="s">
        <v>758</v>
      </c>
      <c r="I64" s="15" t="s">
        <v>2895</v>
      </c>
      <c r="J64" s="15" t="s">
        <v>755</v>
      </c>
      <c r="K64" s="15" t="s">
        <v>2895</v>
      </c>
      <c r="L64" s="15" t="s">
        <v>755</v>
      </c>
      <c r="M64" s="15" t="str">
        <f t="shared" si="0"/>
        <v>insert into dbo.LifeInsJobCode (JobCode,JobGrade,JobDescription,JobGroupCode1,JobGroupName1,JobGroupCode2,JobGroupName2,CreateTime,Creator,ModifyTime,Modifier) VALUES ('03020120','4','合板製造工人','','','','',getdate(),'Alvin',getdate(),'Alvin')</v>
      </c>
    </row>
    <row r="65" spans="2:13" ht="13.8">
      <c r="B65" s="15" t="s">
        <v>876</v>
      </c>
      <c r="C65" s="15">
        <v>2</v>
      </c>
      <c r="D65" s="15" t="s">
        <v>877</v>
      </c>
      <c r="E65" s="15" t="s">
        <v>758</v>
      </c>
      <c r="F65" s="15" t="s">
        <v>758</v>
      </c>
      <c r="G65" s="15" t="s">
        <v>758</v>
      </c>
      <c r="H65" s="15" t="s">
        <v>758</v>
      </c>
      <c r="I65" s="15" t="s">
        <v>2895</v>
      </c>
      <c r="J65" s="15" t="s">
        <v>755</v>
      </c>
      <c r="K65" s="15" t="s">
        <v>2895</v>
      </c>
      <c r="L65" s="15" t="s">
        <v>755</v>
      </c>
      <c r="M65" s="15" t="str">
        <f t="shared" si="0"/>
        <v>insert into dbo.LifeInsJobCode (JobCode,JobGrade,JobDescription,JobGroupCode1,JobGroupName1,JobGroupCode2,JobGroupName2,CreateTime,Creator,ModifyTime,Modifier) VALUES ('03020130','2','木材工廠負責人','','','','',getdate(),'Alvin',getdate(),'Alvin')</v>
      </c>
    </row>
    <row r="66" spans="2:13" ht="13.8">
      <c r="B66" s="15" t="s">
        <v>878</v>
      </c>
      <c r="C66" s="15">
        <v>3</v>
      </c>
      <c r="D66" s="15" t="s">
        <v>879</v>
      </c>
      <c r="E66" s="15" t="s">
        <v>758</v>
      </c>
      <c r="F66" s="15" t="s">
        <v>758</v>
      </c>
      <c r="G66" s="15" t="s">
        <v>758</v>
      </c>
      <c r="H66" s="15" t="s">
        <v>758</v>
      </c>
      <c r="I66" s="15" t="s">
        <v>2895</v>
      </c>
      <c r="J66" s="15" t="s">
        <v>755</v>
      </c>
      <c r="K66" s="15" t="s">
        <v>2895</v>
      </c>
      <c r="L66" s="15" t="s">
        <v>755</v>
      </c>
      <c r="M66" s="15" t="str">
        <f t="shared" ref="M66:M129" si="1">$M$1 &amp; " VALUES ('"&amp;B66&amp;"','"&amp;C66&amp;"','"&amp;D66&amp;"','"&amp;E66&amp;"','"&amp;F66&amp;"','"&amp;G66&amp;"','"&amp;H66&amp;"',"&amp;I66&amp;",'"&amp;J66&amp;"',"&amp;K66&amp;",'"&amp;L66&amp;"')"</f>
        <v>insert into dbo.LifeInsJobCode (JobCode,JobGrade,JobDescription,JobGroupCode1,JobGroupName1,JobGroupCode2,JobGroupName2,CreateTime,Creator,ModifyTime,Modifier) VALUES ('03020140','3','木材工廠品管員','','','','',getdate(),'Alvin',getdate(),'Alvin')</v>
      </c>
    </row>
    <row r="67" spans="2:13" ht="13.8">
      <c r="B67" s="15" t="s">
        <v>880</v>
      </c>
      <c r="C67" s="15">
        <v>3</v>
      </c>
      <c r="D67" s="15" t="s">
        <v>835</v>
      </c>
      <c r="E67" s="15" t="s">
        <v>758</v>
      </c>
      <c r="F67" s="15" t="s">
        <v>758</v>
      </c>
      <c r="G67" s="15" t="s">
        <v>881</v>
      </c>
      <c r="H67" s="15" t="s">
        <v>882</v>
      </c>
      <c r="I67" s="15" t="s">
        <v>2895</v>
      </c>
      <c r="J67" s="15" t="s">
        <v>755</v>
      </c>
      <c r="K67" s="15" t="s">
        <v>2895</v>
      </c>
      <c r="L67" s="15" t="s">
        <v>755</v>
      </c>
      <c r="M67" s="15" t="str">
        <f t="shared" si="1"/>
        <v>insert into dbo.LifeInsJobCode (JobCode,JobGrade,JobDescription,JobGroupCode1,JobGroupName1,JobGroupCode2,JobGroupName2,CreateTime,Creator,ModifyTime,Modifier) VALUES ('03030010','3','領班','','','0303','造林業',getdate(),'Alvin',getdate(),'Alvin')</v>
      </c>
    </row>
    <row r="68" spans="2:13" ht="13.8">
      <c r="B68" s="15" t="s">
        <v>883</v>
      </c>
      <c r="C68" s="15">
        <v>4</v>
      </c>
      <c r="D68" s="15" t="s">
        <v>884</v>
      </c>
      <c r="E68" s="15" t="s">
        <v>758</v>
      </c>
      <c r="F68" s="15" t="s">
        <v>758</v>
      </c>
      <c r="G68" s="15" t="s">
        <v>758</v>
      </c>
      <c r="H68" s="15" t="s">
        <v>758</v>
      </c>
      <c r="I68" s="15" t="s">
        <v>2895</v>
      </c>
      <c r="J68" s="15" t="s">
        <v>755</v>
      </c>
      <c r="K68" s="15" t="s">
        <v>2895</v>
      </c>
      <c r="L68" s="15" t="s">
        <v>755</v>
      </c>
      <c r="M68" s="15" t="str">
        <f t="shared" si="1"/>
        <v>insert into dbo.LifeInsJobCode (JobCode,JobGrade,JobDescription,JobGroupCode1,JobGroupName1,JobGroupCode2,JobGroupName2,CreateTime,Creator,ModifyTime,Modifier) VALUES ('03030020','4','山地造林工人','','','','',getdate(),'Alvin',getdate(),'Alvin')</v>
      </c>
    </row>
    <row r="69" spans="2:13" ht="13.8">
      <c r="B69" s="15" t="s">
        <v>885</v>
      </c>
      <c r="C69" s="15">
        <v>4</v>
      </c>
      <c r="D69" s="15" t="s">
        <v>886</v>
      </c>
      <c r="E69" s="15" t="s">
        <v>758</v>
      </c>
      <c r="F69" s="15" t="s">
        <v>758</v>
      </c>
      <c r="G69" s="15" t="s">
        <v>758</v>
      </c>
      <c r="H69" s="15" t="s">
        <v>758</v>
      </c>
      <c r="I69" s="15" t="s">
        <v>2895</v>
      </c>
      <c r="J69" s="15" t="s">
        <v>755</v>
      </c>
      <c r="K69" s="15" t="s">
        <v>2895</v>
      </c>
      <c r="L69" s="15" t="s">
        <v>755</v>
      </c>
      <c r="M69" s="15" t="str">
        <f t="shared" si="1"/>
        <v>insert into dbo.LifeInsJobCode (JobCode,JobGrade,JobDescription,JobGroupCode1,JobGroupName1,JobGroupCode2,JobGroupName2,CreateTime,Creator,ModifyTime,Modifier) VALUES ('03030030','4','山林管理人員','','','','',getdate(),'Alvin',getdate(),'Alvin')</v>
      </c>
    </row>
    <row r="70" spans="2:13" ht="13.8">
      <c r="B70" s="15" t="s">
        <v>887</v>
      </c>
      <c r="C70" s="15">
        <v>6</v>
      </c>
      <c r="D70" s="15" t="s">
        <v>888</v>
      </c>
      <c r="E70" s="15" t="s">
        <v>758</v>
      </c>
      <c r="F70" s="15" t="s">
        <v>758</v>
      </c>
      <c r="G70" s="15" t="s">
        <v>758</v>
      </c>
      <c r="H70" s="15" t="s">
        <v>758</v>
      </c>
      <c r="I70" s="15" t="s">
        <v>2895</v>
      </c>
      <c r="J70" s="15" t="s">
        <v>755</v>
      </c>
      <c r="K70" s="15" t="s">
        <v>2895</v>
      </c>
      <c r="L70" s="15" t="s">
        <v>755</v>
      </c>
      <c r="M70" s="15" t="str">
        <f t="shared" si="1"/>
        <v>insert into dbo.LifeInsJobCode (JobCode,JobGrade,JobDescription,JobGroupCode1,JobGroupName1,JobGroupCode2,JobGroupName2,CreateTime,Creator,ModifyTime,Modifier) VALUES ('03030040','6','森林防火人員','','','','',getdate(),'Alvin',getdate(),'Alvin')</v>
      </c>
    </row>
    <row r="71" spans="2:13" ht="13.8">
      <c r="B71" s="15" t="s">
        <v>889</v>
      </c>
      <c r="C71" s="15">
        <v>2</v>
      </c>
      <c r="D71" s="15" t="s">
        <v>890</v>
      </c>
      <c r="E71" s="15" t="s">
        <v>758</v>
      </c>
      <c r="F71" s="15" t="s">
        <v>758</v>
      </c>
      <c r="G71" s="15" t="s">
        <v>758</v>
      </c>
      <c r="H71" s="15" t="s">
        <v>758</v>
      </c>
      <c r="I71" s="15" t="s">
        <v>2895</v>
      </c>
      <c r="J71" s="15" t="s">
        <v>755</v>
      </c>
      <c r="K71" s="15" t="s">
        <v>2895</v>
      </c>
      <c r="L71" s="15" t="s">
        <v>755</v>
      </c>
      <c r="M71" s="15" t="str">
        <f t="shared" si="1"/>
        <v>insert into dbo.LifeInsJobCode (JobCode,JobGrade,JobDescription,JobGroupCode1,JobGroupName1,JobGroupCode2,JobGroupName2,CreateTime,Creator,ModifyTime,Modifier) VALUES ('03030050','2','平地育苗工人','','','','',getdate(),'Alvin',getdate(),'Alvin')</v>
      </c>
    </row>
    <row r="72" spans="2:13" ht="13.8">
      <c r="B72" s="15" t="s">
        <v>891</v>
      </c>
      <c r="C72" s="15">
        <v>1</v>
      </c>
      <c r="D72" s="15" t="s">
        <v>892</v>
      </c>
      <c r="E72" s="15" t="s">
        <v>758</v>
      </c>
      <c r="F72" s="15" t="s">
        <v>758</v>
      </c>
      <c r="G72" s="15" t="s">
        <v>758</v>
      </c>
      <c r="H72" s="15" t="s">
        <v>758</v>
      </c>
      <c r="I72" s="15" t="s">
        <v>2895</v>
      </c>
      <c r="J72" s="15" t="s">
        <v>755</v>
      </c>
      <c r="K72" s="15" t="s">
        <v>2895</v>
      </c>
      <c r="L72" s="15" t="s">
        <v>755</v>
      </c>
      <c r="M72" s="15" t="str">
        <f t="shared" si="1"/>
        <v>insert into dbo.LifeInsJobCode (JobCode,JobGrade,JobDescription,JobGroupCode1,JobGroupName1,JobGroupCode2,JobGroupName2,CreateTime,Creator,ModifyTime,Modifier) VALUES ('03030060','1','實驗室育苗栽培人員','','','','',getdate(),'Alvin',getdate(),'Alvin')</v>
      </c>
    </row>
    <row r="73" spans="2:13" ht="13.8">
      <c r="B73" s="15" t="s">
        <v>893</v>
      </c>
      <c r="C73" s="15">
        <v>6</v>
      </c>
      <c r="D73" s="15" t="s">
        <v>894</v>
      </c>
      <c r="E73" s="15" t="s">
        <v>758</v>
      </c>
      <c r="F73" s="15" t="s">
        <v>758</v>
      </c>
      <c r="G73" s="15" t="s">
        <v>758</v>
      </c>
      <c r="H73" s="15" t="s">
        <v>758</v>
      </c>
      <c r="I73" s="15" t="s">
        <v>2895</v>
      </c>
      <c r="J73" s="15" t="s">
        <v>755</v>
      </c>
      <c r="K73" s="15" t="s">
        <v>2895</v>
      </c>
      <c r="L73" s="15" t="s">
        <v>755</v>
      </c>
      <c r="M73" s="15" t="str">
        <f t="shared" si="1"/>
        <v>insert into dbo.LifeInsJobCode (JobCode,JobGrade,JobDescription,JobGroupCode1,JobGroupName1,JobGroupCode2,JobGroupName2,CreateTime,Creator,ModifyTime,Modifier) VALUES ('03030070','6','救難人員','','','','',getdate(),'Alvin',getdate(),'Alvin')</v>
      </c>
    </row>
    <row r="74" spans="2:13" ht="13.8">
      <c r="B74" s="15" t="s">
        <v>895</v>
      </c>
      <c r="C74" s="15">
        <v>2</v>
      </c>
      <c r="D74" s="15" t="s">
        <v>896</v>
      </c>
      <c r="E74" s="15" t="s">
        <v>758</v>
      </c>
      <c r="F74" s="15" t="s">
        <v>758</v>
      </c>
      <c r="G74" s="15" t="s">
        <v>758</v>
      </c>
      <c r="H74" s="15" t="s">
        <v>758</v>
      </c>
      <c r="I74" s="15" t="s">
        <v>2895</v>
      </c>
      <c r="J74" s="15" t="s">
        <v>755</v>
      </c>
      <c r="K74" s="15" t="s">
        <v>2895</v>
      </c>
      <c r="L74" s="15" t="s">
        <v>755</v>
      </c>
      <c r="M74" s="15" t="str">
        <f t="shared" si="1"/>
        <v>insert into dbo.LifeInsJobCode (JobCode,JobGrade,JobDescription,JobGroupCode1,JobGroupName1,JobGroupCode2,JobGroupName2,CreateTime,Creator,ModifyTime,Modifier) VALUES ('03030080','2','導覽解說員','','','','',getdate(),'Alvin',getdate(),'Alvin')</v>
      </c>
    </row>
    <row r="75" spans="2:13" ht="13.8">
      <c r="B75" s="15" t="s">
        <v>897</v>
      </c>
      <c r="C75" s="15">
        <v>7</v>
      </c>
      <c r="D75" s="15" t="s">
        <v>898</v>
      </c>
      <c r="E75" s="15" t="s">
        <v>899</v>
      </c>
      <c r="F75" s="15" t="s">
        <v>900</v>
      </c>
      <c r="G75" s="15" t="s">
        <v>901</v>
      </c>
      <c r="H75" s="15" t="s">
        <v>902</v>
      </c>
      <c r="I75" s="15" t="s">
        <v>2895</v>
      </c>
      <c r="J75" s="15" t="s">
        <v>755</v>
      </c>
      <c r="K75" s="15" t="s">
        <v>2895</v>
      </c>
      <c r="L75" s="15" t="s">
        <v>755</v>
      </c>
      <c r="M75" s="15" t="str">
        <f t="shared" si="1"/>
        <v>insert into dbo.LifeInsJobCode (JobCode,JobGrade,JobDescription,JobGroupCode1,JobGroupName1,JobGroupCode2,JobGroupName2,CreateTime,Creator,ModifyTime,Modifier) VALUES ('04010010','7','礦工','04','礦業採石業','0401','坑道內作業',getdate(),'Alvin',getdate(),'Alvin')</v>
      </c>
    </row>
    <row r="76" spans="2:13" ht="13.8">
      <c r="B76" s="15" t="s">
        <v>903</v>
      </c>
      <c r="C76" s="15" t="s">
        <v>904</v>
      </c>
      <c r="D76" s="15" t="s">
        <v>3270</v>
      </c>
      <c r="E76" s="15" t="s">
        <v>758</v>
      </c>
      <c r="F76" s="15" t="s">
        <v>758</v>
      </c>
      <c r="G76" s="15" t="s">
        <v>905</v>
      </c>
      <c r="H76" s="15" t="s">
        <v>906</v>
      </c>
      <c r="I76" s="15" t="s">
        <v>2895</v>
      </c>
      <c r="J76" s="15" t="s">
        <v>755</v>
      </c>
      <c r="K76" s="15" t="s">
        <v>2895</v>
      </c>
      <c r="L76" s="15" t="s">
        <v>755</v>
      </c>
      <c r="M76" s="15" t="str">
        <f t="shared" si="1"/>
        <v>insert into dbo.LifeInsJobCode (JobCode,JobGrade,JobDescription,JobGroupCode1,JobGroupName1,JobGroupCode2,JobGroupName2,CreateTime,Creator,ModifyTime,Modifier) VALUES ('04020010','1','經營者(不到現場者)','','','0402','坑外作業',getdate(),'Alvin',getdate(),'Alvin')</v>
      </c>
    </row>
    <row r="77" spans="2:13" ht="13.8">
      <c r="B77" s="15" t="s">
        <v>907</v>
      </c>
      <c r="C77" s="15">
        <v>2</v>
      </c>
      <c r="D77" s="15" t="s">
        <v>3271</v>
      </c>
      <c r="E77" s="15" t="s">
        <v>758</v>
      </c>
      <c r="F77" s="15" t="s">
        <v>758</v>
      </c>
      <c r="G77" s="15" t="s">
        <v>758</v>
      </c>
      <c r="H77" s="15" t="s">
        <v>758</v>
      </c>
      <c r="I77" s="15" t="s">
        <v>2895</v>
      </c>
      <c r="J77" s="15" t="s">
        <v>755</v>
      </c>
      <c r="K77" s="15" t="s">
        <v>2895</v>
      </c>
      <c r="L77" s="15" t="s">
        <v>755</v>
      </c>
      <c r="M77" s="15" t="str">
        <f t="shared" si="1"/>
        <v>insert into dbo.LifeInsJobCode (JobCode,JobGrade,JobDescription,JobGroupCode1,JobGroupName1,JobGroupCode2,JobGroupName2,CreateTime,Creator,ModifyTime,Modifier) VALUES ('04020020','2','經營者(到現場者)、現場監督人員','','','','',getdate(),'Alvin',getdate(),'Alvin')</v>
      </c>
    </row>
    <row r="78" spans="2:13" ht="13.8">
      <c r="B78" s="15" t="s">
        <v>908</v>
      </c>
      <c r="C78" s="15">
        <v>2</v>
      </c>
      <c r="D78" s="15" t="s">
        <v>909</v>
      </c>
      <c r="E78" s="15" t="s">
        <v>758</v>
      </c>
      <c r="F78" s="15" t="s">
        <v>758</v>
      </c>
      <c r="G78" s="15" t="s">
        <v>758</v>
      </c>
      <c r="H78" s="15" t="s">
        <v>758</v>
      </c>
      <c r="I78" s="15" t="s">
        <v>2895</v>
      </c>
      <c r="J78" s="15" t="s">
        <v>755</v>
      </c>
      <c r="K78" s="15" t="s">
        <v>2895</v>
      </c>
      <c r="L78" s="15" t="s">
        <v>755</v>
      </c>
      <c r="M78" s="15" t="str">
        <f t="shared" si="1"/>
        <v>insert into dbo.LifeInsJobCode (JobCode,JobGrade,JobDescription,JobGroupCode1,JobGroupName1,JobGroupCode2,JobGroupName2,CreateTime,Creator,ModifyTime,Modifier) VALUES ('04020030','2','經理人員、行政人員','','','','',getdate(),'Alvin',getdate(),'Alvin')</v>
      </c>
    </row>
    <row r="79" spans="2:13" ht="13.8">
      <c r="B79" s="15" t="s">
        <v>910</v>
      </c>
      <c r="C79" s="15" t="s">
        <v>911</v>
      </c>
      <c r="D79" s="15" t="s">
        <v>912</v>
      </c>
      <c r="E79" s="15" t="s">
        <v>758</v>
      </c>
      <c r="F79" s="15" t="s">
        <v>758</v>
      </c>
      <c r="G79" s="15" t="s">
        <v>758</v>
      </c>
      <c r="H79" s="15" t="s">
        <v>758</v>
      </c>
      <c r="I79" s="15" t="s">
        <v>2895</v>
      </c>
      <c r="J79" s="15" t="s">
        <v>755</v>
      </c>
      <c r="K79" s="15" t="s">
        <v>2895</v>
      </c>
      <c r="L79" s="15" t="s">
        <v>755</v>
      </c>
      <c r="M79" s="15" t="str">
        <f t="shared" si="1"/>
        <v>insert into dbo.LifeInsJobCode (JobCode,JobGrade,JobDescription,JobGroupCode1,JobGroupName1,JobGroupCode2,JobGroupName2,CreateTime,Creator,ModifyTime,Modifier) VALUES ('04020040','4','礦業工程師、技師、領班','','','','',getdate(),'Alvin',getdate(),'Alvin')</v>
      </c>
    </row>
    <row r="80" spans="2:13" ht="13.8">
      <c r="B80" s="15" t="s">
        <v>913</v>
      </c>
      <c r="C80" s="15" t="s">
        <v>914</v>
      </c>
      <c r="D80" s="15" t="s">
        <v>915</v>
      </c>
      <c r="E80" s="15" t="s">
        <v>758</v>
      </c>
      <c r="F80" s="15" t="s">
        <v>758</v>
      </c>
      <c r="G80" s="15" t="s">
        <v>758</v>
      </c>
      <c r="H80" s="15" t="s">
        <v>758</v>
      </c>
      <c r="I80" s="15" t="s">
        <v>2895</v>
      </c>
      <c r="J80" s="15" t="s">
        <v>755</v>
      </c>
      <c r="K80" s="15" t="s">
        <v>2895</v>
      </c>
      <c r="L80" s="15" t="s">
        <v>755</v>
      </c>
      <c r="M80" s="15" t="str">
        <f t="shared" si="1"/>
        <v>insert into dbo.LifeInsJobCode (JobCode,JobGrade,JobDescription,JobGroupCode1,JobGroupName1,JobGroupCode2,JobGroupName2,CreateTime,Creator,ModifyTime,Modifier) VALUES ('04020050','5','工人','','','','',getdate(),'Alvin',getdate(),'Alvin')</v>
      </c>
    </row>
    <row r="81" spans="2:13" ht="13.8">
      <c r="B81" s="15" t="s">
        <v>916</v>
      </c>
      <c r="C81" s="15" t="s">
        <v>911</v>
      </c>
      <c r="D81" s="15" t="s">
        <v>917</v>
      </c>
      <c r="E81" s="15" t="s">
        <v>758</v>
      </c>
      <c r="F81" s="15" t="s">
        <v>758</v>
      </c>
      <c r="G81" s="15" t="s">
        <v>758</v>
      </c>
      <c r="H81" s="15" t="s">
        <v>758</v>
      </c>
      <c r="I81" s="15" t="s">
        <v>2895</v>
      </c>
      <c r="J81" s="15" t="s">
        <v>755</v>
      </c>
      <c r="K81" s="15" t="s">
        <v>2895</v>
      </c>
      <c r="L81" s="15" t="s">
        <v>755</v>
      </c>
      <c r="M81" s="15" t="str">
        <f t="shared" si="1"/>
        <v>insert into dbo.LifeInsJobCode (JobCode,JobGrade,JobDescription,JobGroupCode1,JobGroupName1,JobGroupCode2,JobGroupName2,CreateTime,Creator,ModifyTime,Modifier) VALUES ('04020060','4','工礦安全人員','','','','',getdate(),'Alvin',getdate(),'Alvin')</v>
      </c>
    </row>
    <row r="82" spans="2:13" ht="13.8">
      <c r="B82" s="15" t="s">
        <v>918</v>
      </c>
      <c r="C82" s="15" t="s">
        <v>919</v>
      </c>
      <c r="D82" s="15" t="s">
        <v>920</v>
      </c>
      <c r="E82" s="15" t="s">
        <v>758</v>
      </c>
      <c r="F82" s="15" t="s">
        <v>758</v>
      </c>
      <c r="G82" s="15" t="s">
        <v>921</v>
      </c>
      <c r="H82" s="15" t="s">
        <v>922</v>
      </c>
      <c r="I82" s="15" t="s">
        <v>2895</v>
      </c>
      <c r="J82" s="15" t="s">
        <v>755</v>
      </c>
      <c r="K82" s="15" t="s">
        <v>2895</v>
      </c>
      <c r="L82" s="15" t="s">
        <v>755</v>
      </c>
      <c r="M82" s="15" t="str">
        <f t="shared" si="1"/>
        <v>insert into dbo.LifeInsJobCode (JobCode,JobGrade,JobDescription,JobGroupCode1,JobGroupName1,JobGroupCode2,JobGroupName2,CreateTime,Creator,ModifyTime,Modifier) VALUES ('04030010','6','所有作業人員(潛水人員拒保)','','','0403','海上作業',getdate(),'Alvin',getdate(),'Alvin')</v>
      </c>
    </row>
    <row r="83" spans="2:13" ht="13.8">
      <c r="B83" s="15" t="s">
        <v>923</v>
      </c>
      <c r="C83" s="15" t="s">
        <v>911</v>
      </c>
      <c r="D83" s="15" t="s">
        <v>924</v>
      </c>
      <c r="E83" s="15" t="s">
        <v>758</v>
      </c>
      <c r="F83" s="15" t="s">
        <v>758</v>
      </c>
      <c r="G83" s="15" t="s">
        <v>925</v>
      </c>
      <c r="H83" s="15" t="s">
        <v>926</v>
      </c>
      <c r="I83" s="15" t="s">
        <v>2895</v>
      </c>
      <c r="J83" s="15" t="s">
        <v>755</v>
      </c>
      <c r="K83" s="15" t="s">
        <v>2895</v>
      </c>
      <c r="L83" s="15" t="s">
        <v>755</v>
      </c>
      <c r="M83" s="15" t="str">
        <f t="shared" si="1"/>
        <v>insert into dbo.LifeInsJobCode (JobCode,JobGrade,JobDescription,JobGroupCode1,JobGroupName1,JobGroupCode2,JobGroupName2,CreateTime,Creator,ModifyTime,Modifier) VALUES ('04040010','4','採石業工人(河床)','','','0404','採砂石業',getdate(),'Alvin',getdate(),'Alvin')</v>
      </c>
    </row>
    <row r="84" spans="2:13" ht="13.8">
      <c r="B84" s="15" t="s">
        <v>927</v>
      </c>
      <c r="C84" s="15" t="s">
        <v>919</v>
      </c>
      <c r="D84" s="15" t="s">
        <v>928</v>
      </c>
      <c r="E84" s="15" t="s">
        <v>758</v>
      </c>
      <c r="F84" s="15" t="s">
        <v>758</v>
      </c>
      <c r="G84" s="15" t="s">
        <v>758</v>
      </c>
      <c r="H84" s="15" t="s">
        <v>758</v>
      </c>
      <c r="I84" s="15" t="s">
        <v>2895</v>
      </c>
      <c r="J84" s="15" t="s">
        <v>755</v>
      </c>
      <c r="K84" s="15" t="s">
        <v>2895</v>
      </c>
      <c r="L84" s="15" t="s">
        <v>755</v>
      </c>
      <c r="M84" s="15" t="str">
        <f t="shared" si="1"/>
        <v>insert into dbo.LifeInsJobCode (JobCode,JobGrade,JobDescription,JobGroupCode1,JobGroupName1,JobGroupCode2,JobGroupName2,CreateTime,Creator,ModifyTime,Modifier) VALUES ('04040011','6','採石業工人(山地)','','','','',getdate(),'Alvin',getdate(),'Alvin')</v>
      </c>
    </row>
    <row r="85" spans="2:13" ht="13.8">
      <c r="B85" s="15" t="s">
        <v>929</v>
      </c>
      <c r="C85" s="15" t="s">
        <v>911</v>
      </c>
      <c r="D85" s="15" t="s">
        <v>930</v>
      </c>
      <c r="E85" s="15" t="s">
        <v>758</v>
      </c>
      <c r="F85" s="15" t="s">
        <v>758</v>
      </c>
      <c r="G85" s="15" t="s">
        <v>758</v>
      </c>
      <c r="H85" s="15" t="s">
        <v>758</v>
      </c>
      <c r="I85" s="15" t="s">
        <v>2895</v>
      </c>
      <c r="J85" s="15" t="s">
        <v>755</v>
      </c>
      <c r="K85" s="15" t="s">
        <v>2895</v>
      </c>
      <c r="L85" s="15" t="s">
        <v>755</v>
      </c>
      <c r="M85" s="15" t="str">
        <f t="shared" si="1"/>
        <v>insert into dbo.LifeInsJobCode (JobCode,JobGrade,JobDescription,JobGroupCode1,JobGroupName1,JobGroupCode2,JobGroupName2,CreateTime,Creator,ModifyTime,Modifier) VALUES ('04040020','4','採砂業工人','','','','',getdate(),'Alvin',getdate(),'Alvin')</v>
      </c>
    </row>
    <row r="86" spans="2:13" ht="13.8">
      <c r="B86" s="15" t="s">
        <v>931</v>
      </c>
      <c r="C86" s="15">
        <v>2</v>
      </c>
      <c r="D86" s="15" t="s">
        <v>932</v>
      </c>
      <c r="E86" s="15" t="s">
        <v>758</v>
      </c>
      <c r="F86" s="15" t="s">
        <v>758</v>
      </c>
      <c r="G86" s="15" t="s">
        <v>758</v>
      </c>
      <c r="H86" s="15" t="s">
        <v>758</v>
      </c>
      <c r="I86" s="15" t="s">
        <v>2895</v>
      </c>
      <c r="J86" s="15" t="s">
        <v>755</v>
      </c>
      <c r="K86" s="15" t="s">
        <v>2895</v>
      </c>
      <c r="L86" s="15" t="s">
        <v>755</v>
      </c>
      <c r="M86" s="15" t="str">
        <f t="shared" si="1"/>
        <v>insert into dbo.LifeInsJobCode (JobCode,JobGrade,JobDescription,JobGroupCode1,JobGroupName1,JobGroupCode2,JobGroupName2,CreateTime,Creator,ModifyTime,Modifier) VALUES ('04040030','2','砂石場負責人','','','','',getdate(),'Alvin',getdate(),'Alvin')</v>
      </c>
    </row>
    <row r="87" spans="2:13" ht="13.8">
      <c r="B87" s="15" t="s">
        <v>933</v>
      </c>
      <c r="C87" s="15">
        <v>7</v>
      </c>
      <c r="D87" s="15" t="s">
        <v>934</v>
      </c>
      <c r="E87" s="15" t="s">
        <v>758</v>
      </c>
      <c r="F87" s="15" t="s">
        <v>758</v>
      </c>
      <c r="G87" s="15" t="s">
        <v>758</v>
      </c>
      <c r="H87" s="15" t="s">
        <v>758</v>
      </c>
      <c r="I87" s="15" t="s">
        <v>2895</v>
      </c>
      <c r="J87" s="15" t="s">
        <v>755</v>
      </c>
      <c r="K87" s="15" t="s">
        <v>2895</v>
      </c>
      <c r="L87" s="15" t="s">
        <v>755</v>
      </c>
      <c r="M87" s="15" t="str">
        <f t="shared" si="1"/>
        <v>insert into dbo.LifeInsJobCode (JobCode,JobGrade,JobDescription,JobGroupCode1,JobGroupName1,JobGroupCode2,JobGroupName2,CreateTime,Creator,ModifyTime,Modifier) VALUES ('04040040','7','採石爆破人員','','','','',getdate(),'Alvin',getdate(),'Alvin')</v>
      </c>
    </row>
    <row r="88" spans="2:13" ht="13.8">
      <c r="B88" s="15" t="s">
        <v>935</v>
      </c>
      <c r="C88" s="15">
        <v>4</v>
      </c>
      <c r="D88" s="15" t="s">
        <v>936</v>
      </c>
      <c r="E88" s="15" t="s">
        <v>758</v>
      </c>
      <c r="F88" s="15" t="s">
        <v>758</v>
      </c>
      <c r="G88" s="15" t="s">
        <v>758</v>
      </c>
      <c r="H88" s="15" t="s">
        <v>758</v>
      </c>
      <c r="I88" s="15" t="s">
        <v>2895</v>
      </c>
      <c r="J88" s="15" t="s">
        <v>755</v>
      </c>
      <c r="K88" s="15" t="s">
        <v>2895</v>
      </c>
      <c r="L88" s="15" t="s">
        <v>755</v>
      </c>
      <c r="M88" s="15" t="str">
        <f t="shared" si="1"/>
        <v>insert into dbo.LifeInsJobCode (JobCode,JobGrade,JobDescription,JobGroupCode1,JobGroupName1,JobGroupCode2,JobGroupName2,CreateTime,Creator,ModifyTime,Modifier) VALUES ('04040050','4','石材切割工人(大理石、花崗石)','','','','',getdate(),'Alvin',getdate(),'Alvin')</v>
      </c>
    </row>
    <row r="89" spans="2:13" ht="13.8">
      <c r="B89" s="15" t="s">
        <v>937</v>
      </c>
      <c r="C89" s="15" t="s">
        <v>911</v>
      </c>
      <c r="D89" s="15" t="s">
        <v>938</v>
      </c>
      <c r="E89" s="15" t="s">
        <v>758</v>
      </c>
      <c r="F89" s="15" t="s">
        <v>758</v>
      </c>
      <c r="G89" s="15" t="s">
        <v>758</v>
      </c>
      <c r="H89" s="15" t="s">
        <v>758</v>
      </c>
      <c r="I89" s="15" t="s">
        <v>2895</v>
      </c>
      <c r="J89" s="15" t="s">
        <v>755</v>
      </c>
      <c r="K89" s="15" t="s">
        <v>2895</v>
      </c>
      <c r="L89" s="15" t="s">
        <v>755</v>
      </c>
      <c r="M89" s="15" t="str">
        <f t="shared" si="1"/>
        <v>insert into dbo.LifeInsJobCode (JobCode,JobGrade,JobDescription,JobGroupCode1,JobGroupName1,JobGroupCode2,JobGroupName2,CreateTime,Creator,ModifyTime,Modifier) VALUES ('04040060','4','石材磨光工人(大理石、花崗石)','','','','',getdate(),'Alvin',getdate(),'Alvin')</v>
      </c>
    </row>
    <row r="90" spans="2:13" ht="13.8">
      <c r="B90" s="15" t="s">
        <v>939</v>
      </c>
      <c r="C90" s="15">
        <v>4</v>
      </c>
      <c r="D90" s="15" t="s">
        <v>940</v>
      </c>
      <c r="E90" s="15" t="s">
        <v>758</v>
      </c>
      <c r="F90" s="15" t="s">
        <v>758</v>
      </c>
      <c r="G90" s="15" t="s">
        <v>758</v>
      </c>
      <c r="H90" s="15" t="s">
        <v>758</v>
      </c>
      <c r="I90" s="15" t="s">
        <v>2895</v>
      </c>
      <c r="J90" s="15" t="s">
        <v>755</v>
      </c>
      <c r="K90" s="15" t="s">
        <v>2895</v>
      </c>
      <c r="L90" s="15" t="s">
        <v>755</v>
      </c>
      <c r="M90" s="15" t="str">
        <f t="shared" si="1"/>
        <v>insert into dbo.LifeInsJobCode (JobCode,JobGrade,JobDescription,JobGroupCode1,JobGroupName1,JobGroupCode2,JobGroupName2,CreateTime,Creator,ModifyTime,Modifier) VALUES ('04040070','4','採石輸送帶機器操作人員','','','','',getdate(),'Alvin',getdate(),'Alvin')</v>
      </c>
    </row>
    <row r="91" spans="2:13" ht="13.8">
      <c r="B91" s="15" t="s">
        <v>941</v>
      </c>
      <c r="C91" s="15">
        <v>2</v>
      </c>
      <c r="D91" s="15" t="s">
        <v>942</v>
      </c>
      <c r="E91" s="15" t="s">
        <v>758</v>
      </c>
      <c r="F91" s="15" t="s">
        <v>758</v>
      </c>
      <c r="G91" s="15" t="s">
        <v>943</v>
      </c>
      <c r="H91" s="15" t="s">
        <v>944</v>
      </c>
      <c r="I91" s="15" t="s">
        <v>2895</v>
      </c>
      <c r="J91" s="15" t="s">
        <v>755</v>
      </c>
      <c r="K91" s="15" t="s">
        <v>2895</v>
      </c>
      <c r="L91" s="15" t="s">
        <v>755</v>
      </c>
      <c r="M91" s="15" t="str">
        <f t="shared" si="1"/>
        <v>insert into dbo.LifeInsJobCode (JobCode,JobGrade,JobDescription,JobGroupCode1,JobGroupName1,JobGroupCode2,JobGroupName2,CreateTime,Creator,ModifyTime,Modifier) VALUES ('04050010','2','行政人員','','','0405','陸上油礦開採業',getdate(),'Alvin',getdate(),'Alvin')</v>
      </c>
    </row>
    <row r="92" spans="2:13" ht="13.8">
      <c r="B92" s="15" t="s">
        <v>945</v>
      </c>
      <c r="C92" s="15" t="s">
        <v>946</v>
      </c>
      <c r="D92" s="15" t="s">
        <v>3328</v>
      </c>
      <c r="E92" s="15" t="s">
        <v>758</v>
      </c>
      <c r="F92" s="15" t="s">
        <v>758</v>
      </c>
      <c r="G92" s="15" t="s">
        <v>758</v>
      </c>
      <c r="H92" s="15" t="s">
        <v>758</v>
      </c>
      <c r="I92" s="15" t="s">
        <v>2895</v>
      </c>
      <c r="J92" s="15" t="s">
        <v>755</v>
      </c>
      <c r="K92" s="15" t="s">
        <v>2895</v>
      </c>
      <c r="L92" s="15" t="s">
        <v>755</v>
      </c>
      <c r="M92" s="15" t="str">
        <f t="shared" si="1"/>
        <v>insert into dbo.LifeInsJobCode (JobCode,JobGrade,JobDescription,JobGroupCode1,JobGroupName1,JobGroupCode2,JobGroupName2,CreateTime,Creator,ModifyTime,Modifier) VALUES ('04050020','3','工程師、領班(不參與現場工作者)','','','','',getdate(),'Alvin',getdate(),'Alvin')</v>
      </c>
    </row>
    <row r="93" spans="2:13" ht="13.8">
      <c r="B93" s="15" t="s">
        <v>947</v>
      </c>
      <c r="C93" s="15" t="s">
        <v>914</v>
      </c>
      <c r="D93" s="15" t="s">
        <v>948</v>
      </c>
      <c r="E93" s="15" t="s">
        <v>758</v>
      </c>
      <c r="F93" s="15" t="s">
        <v>758</v>
      </c>
      <c r="G93" s="15" t="s">
        <v>758</v>
      </c>
      <c r="H93" s="15" t="s">
        <v>758</v>
      </c>
      <c r="I93" s="15" t="s">
        <v>2895</v>
      </c>
      <c r="J93" s="15" t="s">
        <v>755</v>
      </c>
      <c r="K93" s="15" t="s">
        <v>2895</v>
      </c>
      <c r="L93" s="15" t="s">
        <v>755</v>
      </c>
      <c r="M93" s="15" t="str">
        <f t="shared" si="1"/>
        <v>insert into dbo.LifeInsJobCode (JobCode,JobGrade,JobDescription,JobGroupCode1,JobGroupName1,JobGroupCode2,JobGroupName2,CreateTime,Creator,ModifyTime,Modifier) VALUES ('04050030','5','技術員','','','','',getdate(),'Alvin',getdate(),'Alvin')</v>
      </c>
    </row>
    <row r="94" spans="2:13" ht="13.8">
      <c r="B94" s="15" t="s">
        <v>949</v>
      </c>
      <c r="C94" s="15" t="s">
        <v>914</v>
      </c>
      <c r="D94" s="15" t="s">
        <v>950</v>
      </c>
      <c r="E94" s="15" t="s">
        <v>758</v>
      </c>
      <c r="F94" s="15" t="s">
        <v>758</v>
      </c>
      <c r="G94" s="15" t="s">
        <v>758</v>
      </c>
      <c r="H94" s="15" t="s">
        <v>758</v>
      </c>
      <c r="I94" s="15" t="s">
        <v>2895</v>
      </c>
      <c r="J94" s="15" t="s">
        <v>755</v>
      </c>
      <c r="K94" s="15" t="s">
        <v>2895</v>
      </c>
      <c r="L94" s="15" t="s">
        <v>755</v>
      </c>
      <c r="M94" s="15" t="str">
        <f t="shared" si="1"/>
        <v>insert into dbo.LifeInsJobCode (JobCode,JobGrade,JobDescription,JobGroupCode1,JobGroupName1,JobGroupCode2,JobGroupName2,CreateTime,Creator,ModifyTime,Modifier) VALUES ('04050040','5','油氣井清潔保養修護工','','','','',getdate(),'Alvin',getdate(),'Alvin')</v>
      </c>
    </row>
    <row r="95" spans="2:13" ht="13.8">
      <c r="B95" s="15" t="s">
        <v>951</v>
      </c>
      <c r="C95" s="15" t="s">
        <v>914</v>
      </c>
      <c r="D95" s="15" t="s">
        <v>952</v>
      </c>
      <c r="E95" s="15" t="s">
        <v>758</v>
      </c>
      <c r="F95" s="15" t="s">
        <v>758</v>
      </c>
      <c r="G95" s="15" t="s">
        <v>758</v>
      </c>
      <c r="H95" s="15" t="s">
        <v>758</v>
      </c>
      <c r="I95" s="15" t="s">
        <v>2895</v>
      </c>
      <c r="J95" s="15" t="s">
        <v>755</v>
      </c>
      <c r="K95" s="15" t="s">
        <v>2895</v>
      </c>
      <c r="L95" s="15" t="s">
        <v>755</v>
      </c>
      <c r="M95" s="15" t="str">
        <f t="shared" si="1"/>
        <v>insert into dbo.LifeInsJobCode (JobCode,JobGrade,JobDescription,JobGroupCode1,JobGroupName1,JobGroupCode2,JobGroupName2,CreateTime,Creator,ModifyTime,Modifier) VALUES ('04050050','5','鑽勘設備安裝換修保養工','','','','',getdate(),'Alvin',getdate(),'Alvin')</v>
      </c>
    </row>
    <row r="96" spans="2:13" ht="13.8">
      <c r="B96" s="15" t="s">
        <v>953</v>
      </c>
      <c r="C96" s="15" t="s">
        <v>914</v>
      </c>
      <c r="D96" s="15" t="s">
        <v>954</v>
      </c>
      <c r="E96" s="15" t="s">
        <v>758</v>
      </c>
      <c r="F96" s="15" t="s">
        <v>758</v>
      </c>
      <c r="G96" s="15" t="s">
        <v>758</v>
      </c>
      <c r="H96" s="15" t="s">
        <v>758</v>
      </c>
      <c r="I96" s="15" t="s">
        <v>2895</v>
      </c>
      <c r="J96" s="15" t="s">
        <v>755</v>
      </c>
      <c r="K96" s="15" t="s">
        <v>2895</v>
      </c>
      <c r="L96" s="15" t="s">
        <v>755</v>
      </c>
      <c r="M96" s="15" t="str">
        <f t="shared" si="1"/>
        <v>insert into dbo.LifeInsJobCode (JobCode,JobGrade,JobDescription,JobGroupCode1,JobGroupName1,JobGroupCode2,JobGroupName2,CreateTime,Creator,ModifyTime,Modifier) VALUES ('04050060','5','鑽油井工人','','','','',getdate(),'Alvin',getdate(),'Alvin')</v>
      </c>
    </row>
    <row r="97" spans="2:13" ht="13.8">
      <c r="B97" s="15" t="s">
        <v>955</v>
      </c>
      <c r="C97" s="15" t="s">
        <v>914</v>
      </c>
      <c r="D97" s="15" t="s">
        <v>956</v>
      </c>
      <c r="E97" s="15" t="s">
        <v>758</v>
      </c>
      <c r="F97" s="15" t="s">
        <v>758</v>
      </c>
      <c r="G97" s="15" t="s">
        <v>758</v>
      </c>
      <c r="H97" s="15" t="s">
        <v>758</v>
      </c>
      <c r="I97" s="15" t="s">
        <v>2895</v>
      </c>
      <c r="J97" s="15" t="s">
        <v>755</v>
      </c>
      <c r="K97" s="15" t="s">
        <v>2895</v>
      </c>
      <c r="L97" s="15" t="s">
        <v>755</v>
      </c>
      <c r="M97" s="15" t="str">
        <f t="shared" si="1"/>
        <v>insert into dbo.LifeInsJobCode (JobCode,JobGrade,JobDescription,JobGroupCode1,JobGroupName1,JobGroupCode2,JobGroupName2,CreateTime,Creator,ModifyTime,Modifier) VALUES ('04050070','5','儲油槽清潔工','','','','',getdate(),'Alvin',getdate(),'Alvin')</v>
      </c>
    </row>
    <row r="98" spans="2:13" ht="13.8">
      <c r="B98" s="15" t="s">
        <v>957</v>
      </c>
      <c r="C98" s="15" t="s">
        <v>911</v>
      </c>
      <c r="D98" s="15" t="s">
        <v>958</v>
      </c>
      <c r="E98" s="15" t="s">
        <v>758</v>
      </c>
      <c r="F98" s="15" t="s">
        <v>758</v>
      </c>
      <c r="G98" s="15" t="s">
        <v>959</v>
      </c>
      <c r="H98" s="15" t="s">
        <v>960</v>
      </c>
      <c r="I98" s="15" t="s">
        <v>2895</v>
      </c>
      <c r="J98" s="15" t="s">
        <v>755</v>
      </c>
      <c r="K98" s="15" t="s">
        <v>2895</v>
      </c>
      <c r="L98" s="15" t="s">
        <v>755</v>
      </c>
      <c r="M98" s="15" t="str">
        <f t="shared" si="1"/>
        <v>insert into dbo.LifeInsJobCode (JobCode,JobGrade,JobDescription,JobGroupCode1,JobGroupName1,JobGroupCode2,JobGroupName2,CreateTime,Creator,ModifyTime,Modifier) VALUES ('04060010','4','工程師','','','0406','海上油礦開採業',getdate(),'Alvin',getdate(),'Alvin')</v>
      </c>
    </row>
    <row r="99" spans="2:13" ht="13.8">
      <c r="B99" s="15" t="s">
        <v>961</v>
      </c>
      <c r="C99" s="15" t="s">
        <v>919</v>
      </c>
      <c r="D99" s="15" t="s">
        <v>948</v>
      </c>
      <c r="E99" s="15" t="s">
        <v>758</v>
      </c>
      <c r="F99" s="15" t="s">
        <v>758</v>
      </c>
      <c r="G99" s="15" t="s">
        <v>758</v>
      </c>
      <c r="H99" s="15" t="s">
        <v>758</v>
      </c>
      <c r="I99" s="15" t="s">
        <v>2895</v>
      </c>
      <c r="J99" s="15" t="s">
        <v>755</v>
      </c>
      <c r="K99" s="15" t="s">
        <v>2895</v>
      </c>
      <c r="L99" s="15" t="s">
        <v>755</v>
      </c>
      <c r="M99" s="15" t="str">
        <f t="shared" si="1"/>
        <v>insert into dbo.LifeInsJobCode (JobCode,JobGrade,JobDescription,JobGroupCode1,JobGroupName1,JobGroupCode2,JobGroupName2,CreateTime,Creator,ModifyTime,Modifier) VALUES ('04060020','6','技術員','','','','',getdate(),'Alvin',getdate(),'Alvin')</v>
      </c>
    </row>
    <row r="100" spans="2:13" ht="13.8">
      <c r="B100" s="15" t="s">
        <v>962</v>
      </c>
      <c r="C100" s="15" t="s">
        <v>919</v>
      </c>
      <c r="D100" s="15" t="s">
        <v>950</v>
      </c>
      <c r="E100" s="15" t="s">
        <v>758</v>
      </c>
      <c r="F100" s="15" t="s">
        <v>758</v>
      </c>
      <c r="G100" s="15" t="s">
        <v>758</v>
      </c>
      <c r="H100" s="15" t="s">
        <v>758</v>
      </c>
      <c r="I100" s="15" t="s">
        <v>2895</v>
      </c>
      <c r="J100" s="15" t="s">
        <v>755</v>
      </c>
      <c r="K100" s="15" t="s">
        <v>2895</v>
      </c>
      <c r="L100" s="15" t="s">
        <v>755</v>
      </c>
      <c r="M100" s="15" t="str">
        <f t="shared" si="1"/>
        <v>insert into dbo.LifeInsJobCode (JobCode,JobGrade,JobDescription,JobGroupCode1,JobGroupName1,JobGroupCode2,JobGroupName2,CreateTime,Creator,ModifyTime,Modifier) VALUES ('04060030','6','油氣井清潔保養修護工','','','','',getdate(),'Alvin',getdate(),'Alvin')</v>
      </c>
    </row>
    <row r="101" spans="2:13" ht="13.8">
      <c r="B101" s="15" t="s">
        <v>963</v>
      </c>
      <c r="C101" s="15" t="s">
        <v>919</v>
      </c>
      <c r="D101" s="15" t="s">
        <v>952</v>
      </c>
      <c r="E101" s="15" t="s">
        <v>758</v>
      </c>
      <c r="F101" s="15" t="s">
        <v>758</v>
      </c>
      <c r="G101" s="15" t="s">
        <v>758</v>
      </c>
      <c r="H101" s="15" t="s">
        <v>758</v>
      </c>
      <c r="I101" s="15" t="s">
        <v>2895</v>
      </c>
      <c r="J101" s="15" t="s">
        <v>755</v>
      </c>
      <c r="K101" s="15" t="s">
        <v>2895</v>
      </c>
      <c r="L101" s="15" t="s">
        <v>755</v>
      </c>
      <c r="M101" s="15" t="str">
        <f t="shared" si="1"/>
        <v>insert into dbo.LifeInsJobCode (JobCode,JobGrade,JobDescription,JobGroupCode1,JobGroupName1,JobGroupCode2,JobGroupName2,CreateTime,Creator,ModifyTime,Modifier) VALUES ('04060040','6','鑽勘設備安裝換修保養工','','','','',getdate(),'Alvin',getdate(),'Alvin')</v>
      </c>
    </row>
    <row r="102" spans="2:13" ht="13.8">
      <c r="B102" s="15" t="s">
        <v>964</v>
      </c>
      <c r="C102" s="15" t="s">
        <v>919</v>
      </c>
      <c r="D102" s="15" t="s">
        <v>954</v>
      </c>
      <c r="E102" s="15" t="s">
        <v>758</v>
      </c>
      <c r="F102" s="15" t="s">
        <v>758</v>
      </c>
      <c r="G102" s="15" t="s">
        <v>758</v>
      </c>
      <c r="H102" s="15" t="s">
        <v>758</v>
      </c>
      <c r="I102" s="15" t="s">
        <v>2895</v>
      </c>
      <c r="J102" s="15" t="s">
        <v>755</v>
      </c>
      <c r="K102" s="15" t="s">
        <v>2895</v>
      </c>
      <c r="L102" s="15" t="s">
        <v>755</v>
      </c>
      <c r="M102" s="15" t="str">
        <f t="shared" si="1"/>
        <v>insert into dbo.LifeInsJobCode (JobCode,JobGrade,JobDescription,JobGroupCode1,JobGroupName1,JobGroupCode2,JobGroupName2,CreateTime,Creator,ModifyTime,Modifier) VALUES ('04060050','6','鑽油井工人','','','','',getdate(),'Alvin',getdate(),'Alvin')</v>
      </c>
    </row>
    <row r="103" spans="2:13" ht="13.8">
      <c r="B103" s="15" t="s">
        <v>965</v>
      </c>
      <c r="C103" s="15">
        <v>1</v>
      </c>
      <c r="D103" s="15" t="s">
        <v>3272</v>
      </c>
      <c r="E103" s="15" t="s">
        <v>966</v>
      </c>
      <c r="F103" s="15" t="s">
        <v>967</v>
      </c>
      <c r="G103" s="15" t="s">
        <v>968</v>
      </c>
      <c r="H103" s="15" t="s">
        <v>969</v>
      </c>
      <c r="I103" s="15" t="s">
        <v>2895</v>
      </c>
      <c r="J103" s="15" t="s">
        <v>755</v>
      </c>
      <c r="K103" s="15" t="s">
        <v>2895</v>
      </c>
      <c r="L103" s="15" t="s">
        <v>755</v>
      </c>
      <c r="M103" s="15" t="str">
        <f t="shared" si="1"/>
        <v>insert into dbo.LifeInsJobCode (JobCode,JobGrade,JobDescription,JobGroupCode1,JobGroupName1,JobGroupCode2,JobGroupName2,CreateTime,Creator,ModifyTime,Modifier) VALUES ('05010010','1','計程車行、貨運行之負責人(不參與駕駛者)','05','交通運輸業','0501','陸運',getdate(),'Alvin',getdate(),'Alvin')</v>
      </c>
    </row>
    <row r="104" spans="2:13" ht="13.8">
      <c r="B104" s="15" t="s">
        <v>970</v>
      </c>
      <c r="C104" s="15">
        <v>2</v>
      </c>
      <c r="D104" s="15" t="s">
        <v>971</v>
      </c>
      <c r="E104" s="15" t="s">
        <v>758</v>
      </c>
      <c r="F104" s="15" t="s">
        <v>758</v>
      </c>
      <c r="G104" s="15" t="s">
        <v>758</v>
      </c>
      <c r="H104" s="15" t="s">
        <v>758</v>
      </c>
      <c r="I104" s="15" t="s">
        <v>2895</v>
      </c>
      <c r="J104" s="15" t="s">
        <v>755</v>
      </c>
      <c r="K104" s="15" t="s">
        <v>2895</v>
      </c>
      <c r="L104" s="15" t="s">
        <v>755</v>
      </c>
      <c r="M104" s="15" t="str">
        <f t="shared" si="1"/>
        <v>insert into dbo.LifeInsJobCode (JobCode,JobGrade,JobDescription,JobGroupCode1,JobGroupName1,JobGroupCode2,JobGroupName2,CreateTime,Creator,ModifyTime,Modifier) VALUES ('05010020','2','外務員','','','','',getdate(),'Alvin',getdate(),'Alvin')</v>
      </c>
    </row>
    <row r="105" spans="2:13" ht="13.8">
      <c r="B105" s="15" t="s">
        <v>972</v>
      </c>
      <c r="C105" s="15">
        <v>1</v>
      </c>
      <c r="D105" s="15" t="s">
        <v>973</v>
      </c>
      <c r="E105" s="15" t="s">
        <v>758</v>
      </c>
      <c r="F105" s="15" t="s">
        <v>758</v>
      </c>
      <c r="G105" s="15" t="s">
        <v>758</v>
      </c>
      <c r="H105" s="15" t="s">
        <v>758</v>
      </c>
      <c r="I105" s="15" t="s">
        <v>2895</v>
      </c>
      <c r="J105" s="15" t="s">
        <v>755</v>
      </c>
      <c r="K105" s="15" t="s">
        <v>2895</v>
      </c>
      <c r="L105" s="15" t="s">
        <v>755</v>
      </c>
      <c r="M105" s="15" t="str">
        <f t="shared" si="1"/>
        <v>insert into dbo.LifeInsJobCode (JobCode,JobGrade,JobDescription,JobGroupCode1,JobGroupName1,JobGroupCode2,JobGroupName2,CreateTime,Creator,ModifyTime,Modifier) VALUES ('05010030','1','內勤工作人員','','','','',getdate(),'Alvin',getdate(),'Alvin')</v>
      </c>
    </row>
    <row r="106" spans="2:13" ht="13.8">
      <c r="B106" s="15" t="s">
        <v>974</v>
      </c>
      <c r="C106" s="15">
        <v>2</v>
      </c>
      <c r="D106" s="15" t="s">
        <v>975</v>
      </c>
      <c r="E106" s="15" t="s">
        <v>758</v>
      </c>
      <c r="F106" s="15" t="s">
        <v>758</v>
      </c>
      <c r="G106" s="15" t="s">
        <v>758</v>
      </c>
      <c r="H106" s="15" t="s">
        <v>758</v>
      </c>
      <c r="I106" s="15" t="s">
        <v>2895</v>
      </c>
      <c r="J106" s="15" t="s">
        <v>755</v>
      </c>
      <c r="K106" s="15" t="s">
        <v>2895</v>
      </c>
      <c r="L106" s="15" t="s">
        <v>755</v>
      </c>
      <c r="M106" s="15" t="str">
        <f t="shared" si="1"/>
        <v>insert into dbo.LifeInsJobCode (JobCode,JobGrade,JobDescription,JobGroupCode1,JobGroupName1,JobGroupCode2,JobGroupName2,CreateTime,Creator,ModifyTime,Modifier) VALUES ('05010040','2','自用小客車司機','','','','',getdate(),'Alvin',getdate(),'Alvin')</v>
      </c>
    </row>
    <row r="107" spans="2:13" ht="13.8">
      <c r="B107" s="15" t="s">
        <v>976</v>
      </c>
      <c r="C107" s="15">
        <v>2</v>
      </c>
      <c r="D107" s="15" t="s">
        <v>977</v>
      </c>
      <c r="E107" s="15" t="s">
        <v>758</v>
      </c>
      <c r="F107" s="15" t="s">
        <v>758</v>
      </c>
      <c r="G107" s="15" t="s">
        <v>758</v>
      </c>
      <c r="H107" s="15" t="s">
        <v>758</v>
      </c>
      <c r="I107" s="15" t="s">
        <v>2895</v>
      </c>
      <c r="J107" s="15" t="s">
        <v>755</v>
      </c>
      <c r="K107" s="15" t="s">
        <v>2895</v>
      </c>
      <c r="L107" s="15" t="s">
        <v>755</v>
      </c>
      <c r="M107" s="15" t="str">
        <f t="shared" si="1"/>
        <v>insert into dbo.LifeInsJobCode (JobCode,JobGrade,JobDescription,JobGroupCode1,JobGroupName1,JobGroupCode2,JobGroupName2,CreateTime,Creator,ModifyTime,Modifier) VALUES ('05010050','2','自用大客車司機','','','','',getdate(),'Alvin',getdate(),'Alvin')</v>
      </c>
    </row>
    <row r="108" spans="2:13" ht="13.8">
      <c r="B108" s="15" t="s">
        <v>978</v>
      </c>
      <c r="C108" s="15">
        <v>4</v>
      </c>
      <c r="D108" s="15" t="s">
        <v>979</v>
      </c>
      <c r="E108" s="15" t="s">
        <v>758</v>
      </c>
      <c r="F108" s="15" t="s">
        <v>758</v>
      </c>
      <c r="G108" s="15" t="s">
        <v>758</v>
      </c>
      <c r="H108" s="15" t="s">
        <v>758</v>
      </c>
      <c r="I108" s="15" t="s">
        <v>2895</v>
      </c>
      <c r="J108" s="15" t="s">
        <v>755</v>
      </c>
      <c r="K108" s="15" t="s">
        <v>2895</v>
      </c>
      <c r="L108" s="15" t="s">
        <v>755</v>
      </c>
      <c r="M108" s="15" t="str">
        <f t="shared" si="1"/>
        <v>insert into dbo.LifeInsJobCode (JobCode,JobGrade,JobDescription,JobGroupCode1,JobGroupName1,JobGroupCode2,JobGroupName2,CreateTime,Creator,ModifyTime,Modifier) VALUES ('05010060','4','計程車司機','','','','',getdate(),'Alvin',getdate(),'Alvin')</v>
      </c>
    </row>
    <row r="109" spans="2:13" ht="13.8">
      <c r="B109" s="15" t="s">
        <v>980</v>
      </c>
      <c r="C109" s="15">
        <v>3</v>
      </c>
      <c r="D109" s="15" t="s">
        <v>981</v>
      </c>
      <c r="E109" s="15" t="s">
        <v>758</v>
      </c>
      <c r="F109" s="15" t="s">
        <v>758</v>
      </c>
      <c r="G109" s="15" t="s">
        <v>758</v>
      </c>
      <c r="H109" s="15" t="s">
        <v>758</v>
      </c>
      <c r="I109" s="15" t="s">
        <v>2895</v>
      </c>
      <c r="J109" s="15" t="s">
        <v>755</v>
      </c>
      <c r="K109" s="15" t="s">
        <v>2895</v>
      </c>
      <c r="L109" s="15" t="s">
        <v>755</v>
      </c>
      <c r="M109" s="15" t="str">
        <f t="shared" si="1"/>
        <v>insert into dbo.LifeInsJobCode (JobCode,JobGrade,JobDescription,JobGroupCode1,JobGroupName1,JobGroupCode2,JobGroupName2,CreateTime,Creator,ModifyTime,Modifier) VALUES ('05010070','3','遊覽車司機及服務員','','','','',getdate(),'Alvin',getdate(),'Alvin')</v>
      </c>
    </row>
    <row r="110" spans="2:13" ht="13.8">
      <c r="B110" s="15" t="s">
        <v>982</v>
      </c>
      <c r="C110" s="15">
        <v>3</v>
      </c>
      <c r="D110" s="15" t="s">
        <v>983</v>
      </c>
      <c r="E110" s="15" t="s">
        <v>758</v>
      </c>
      <c r="F110" s="15" t="s">
        <v>758</v>
      </c>
      <c r="G110" s="15" t="s">
        <v>758</v>
      </c>
      <c r="H110" s="15" t="s">
        <v>758</v>
      </c>
      <c r="I110" s="15" t="s">
        <v>2895</v>
      </c>
      <c r="J110" s="15" t="s">
        <v>755</v>
      </c>
      <c r="K110" s="15" t="s">
        <v>2895</v>
      </c>
      <c r="L110" s="15" t="s">
        <v>755</v>
      </c>
      <c r="M110" s="15" t="str">
        <f t="shared" si="1"/>
        <v>insert into dbo.LifeInsJobCode (JobCode,JobGrade,JobDescription,JobGroupCode1,JobGroupName1,JobGroupCode2,JobGroupName2,CreateTime,Creator,ModifyTime,Modifier) VALUES ('05010080','3','客運車司機及服務員','','','','',getdate(),'Alvin',getdate(),'Alvin')</v>
      </c>
    </row>
    <row r="111" spans="2:13" ht="13.8">
      <c r="B111" s="15" t="s">
        <v>984</v>
      </c>
      <c r="C111" s="15">
        <v>3</v>
      </c>
      <c r="D111" s="15" t="s">
        <v>985</v>
      </c>
      <c r="E111" s="15" t="s">
        <v>758</v>
      </c>
      <c r="F111" s="15" t="s">
        <v>758</v>
      </c>
      <c r="G111" s="15" t="s">
        <v>758</v>
      </c>
      <c r="H111" s="15" t="s">
        <v>758</v>
      </c>
      <c r="I111" s="15" t="s">
        <v>2895</v>
      </c>
      <c r="J111" s="15" t="s">
        <v>755</v>
      </c>
      <c r="K111" s="15" t="s">
        <v>2895</v>
      </c>
      <c r="L111" s="15" t="s">
        <v>755</v>
      </c>
      <c r="M111" s="15" t="str">
        <f t="shared" si="1"/>
        <v>insert into dbo.LifeInsJobCode (JobCode,JobGrade,JobDescription,JobGroupCode1,JobGroupName1,JobGroupCode2,JobGroupName2,CreateTime,Creator,ModifyTime,Modifier) VALUES ('05010090','3','小型客貨兩用車司機','','','','',getdate(),'Alvin',getdate(),'Alvin')</v>
      </c>
    </row>
    <row r="112" spans="2:13" ht="13.8">
      <c r="B112" s="15" t="s">
        <v>986</v>
      </c>
      <c r="C112" s="15">
        <v>4</v>
      </c>
      <c r="D112" s="15" t="s">
        <v>987</v>
      </c>
      <c r="E112" s="15" t="s">
        <v>758</v>
      </c>
      <c r="F112" s="15" t="s">
        <v>758</v>
      </c>
      <c r="G112" s="15" t="s">
        <v>758</v>
      </c>
      <c r="H112" s="15" t="s">
        <v>758</v>
      </c>
      <c r="I112" s="15" t="s">
        <v>2895</v>
      </c>
      <c r="J112" s="15" t="s">
        <v>755</v>
      </c>
      <c r="K112" s="15" t="s">
        <v>2895</v>
      </c>
      <c r="L112" s="15" t="s">
        <v>755</v>
      </c>
      <c r="M112" s="15" t="str">
        <f t="shared" si="1"/>
        <v>insert into dbo.LifeInsJobCode (JobCode,JobGrade,JobDescription,JobGroupCode1,JobGroupName1,JobGroupCode2,JobGroupName2,CreateTime,Creator,ModifyTime,Modifier) VALUES ('05010100','4','自用貨車司機、隨車工人、小型自用貨車司機','','','','',getdate(),'Alvin',getdate(),'Alvin')</v>
      </c>
    </row>
    <row r="113" spans="2:13" ht="13.8">
      <c r="B113" s="15" t="s">
        <v>988</v>
      </c>
      <c r="C113" s="15">
        <v>3</v>
      </c>
      <c r="D113" s="15" t="s">
        <v>989</v>
      </c>
      <c r="E113" s="15" t="s">
        <v>758</v>
      </c>
      <c r="F113" s="15" t="s">
        <v>758</v>
      </c>
      <c r="G113" s="15" t="s">
        <v>758</v>
      </c>
      <c r="H113" s="15" t="s">
        <v>758</v>
      </c>
      <c r="I113" s="15" t="s">
        <v>2895</v>
      </c>
      <c r="J113" s="15" t="s">
        <v>755</v>
      </c>
      <c r="K113" s="15" t="s">
        <v>2895</v>
      </c>
      <c r="L113" s="15" t="s">
        <v>755</v>
      </c>
      <c r="M113" s="15" t="str">
        <f t="shared" si="1"/>
        <v>insert into dbo.LifeInsJobCode (JobCode,JobGrade,JobDescription,JobGroupCode1,JobGroupName1,JobGroupCode2,JobGroupName2,CreateTime,Creator,ModifyTime,Modifier) VALUES ('05010110','3','人力三輪車伕','','','','',getdate(),'Alvin',getdate(),'Alvin')</v>
      </c>
    </row>
    <row r="114" spans="2:13" ht="13.8">
      <c r="B114" s="15" t="s">
        <v>990</v>
      </c>
      <c r="C114" s="15">
        <v>5</v>
      </c>
      <c r="D114" s="15" t="s">
        <v>991</v>
      </c>
      <c r="E114" s="15" t="s">
        <v>758</v>
      </c>
      <c r="F114" s="15" t="s">
        <v>758</v>
      </c>
      <c r="G114" s="15" t="s">
        <v>758</v>
      </c>
      <c r="H114" s="15" t="s">
        <v>758</v>
      </c>
      <c r="I114" s="15" t="s">
        <v>2895</v>
      </c>
      <c r="J114" s="15" t="s">
        <v>755</v>
      </c>
      <c r="K114" s="15" t="s">
        <v>2895</v>
      </c>
      <c r="L114" s="15" t="s">
        <v>755</v>
      </c>
      <c r="M114" s="15" t="str">
        <f t="shared" si="1"/>
        <v>insert into dbo.LifeInsJobCode (JobCode,JobGrade,JobDescription,JobGroupCode1,JobGroupName1,JobGroupCode2,JobGroupName2,CreateTime,Creator,ModifyTime,Modifier) VALUES ('05010120','5','鐵牛車駕駛人員','','','','',getdate(),'Alvin',getdate(),'Alvin')</v>
      </c>
    </row>
    <row r="115" spans="2:13" ht="13.8">
      <c r="B115" s="15" t="s">
        <v>992</v>
      </c>
      <c r="C115" s="15">
        <v>5</v>
      </c>
      <c r="D115" s="15" t="s">
        <v>993</v>
      </c>
      <c r="E115" s="15" t="s">
        <v>758</v>
      </c>
      <c r="F115" s="15" t="s">
        <v>758</v>
      </c>
      <c r="G115" s="15" t="s">
        <v>758</v>
      </c>
      <c r="H115" s="15" t="s">
        <v>758</v>
      </c>
      <c r="I115" s="15" t="s">
        <v>2895</v>
      </c>
      <c r="J115" s="15" t="s">
        <v>755</v>
      </c>
      <c r="K115" s="15" t="s">
        <v>2895</v>
      </c>
      <c r="L115" s="15" t="s">
        <v>755</v>
      </c>
      <c r="M115" s="15" t="str">
        <f t="shared" si="1"/>
        <v>insert into dbo.LifeInsJobCode (JobCode,JobGrade,JobDescription,JobGroupCode1,JobGroupName1,JobGroupCode2,JobGroupName2,CreateTime,Creator,ModifyTime,Modifier) VALUES ('05010130','5','機動三輪車伕','','','','',getdate(),'Alvin',getdate(),'Alvin')</v>
      </c>
    </row>
    <row r="116" spans="2:13" ht="13.8">
      <c r="B116" s="15" t="s">
        <v>994</v>
      </c>
      <c r="C116" s="15">
        <v>1</v>
      </c>
      <c r="D116" s="15" t="s">
        <v>995</v>
      </c>
      <c r="E116" s="15" t="s">
        <v>758</v>
      </c>
      <c r="F116" s="15" t="s">
        <v>758</v>
      </c>
      <c r="G116" s="15" t="s">
        <v>758</v>
      </c>
      <c r="H116" s="15" t="s">
        <v>758</v>
      </c>
      <c r="I116" s="15" t="s">
        <v>2895</v>
      </c>
      <c r="J116" s="15" t="s">
        <v>755</v>
      </c>
      <c r="K116" s="15" t="s">
        <v>2895</v>
      </c>
      <c r="L116" s="15" t="s">
        <v>755</v>
      </c>
      <c r="M116" s="15" t="str">
        <f t="shared" si="1"/>
        <v>insert into dbo.LifeInsJobCode (JobCode,JobGrade,JobDescription,JobGroupCode1,JobGroupName1,JobGroupCode2,JobGroupName2,CreateTime,Creator,ModifyTime,Modifier) VALUES ('05010140','1','櫃臺售票員','','','','',getdate(),'Alvin',getdate(),'Alvin')</v>
      </c>
    </row>
    <row r="117" spans="2:13" ht="13.8">
      <c r="B117" s="15" t="s">
        <v>996</v>
      </c>
      <c r="C117" s="15">
        <v>2</v>
      </c>
      <c r="D117" s="15" t="s">
        <v>997</v>
      </c>
      <c r="E117" s="15" t="s">
        <v>758</v>
      </c>
      <c r="F117" s="15" t="s">
        <v>758</v>
      </c>
      <c r="G117" s="15" t="s">
        <v>758</v>
      </c>
      <c r="H117" s="15" t="s">
        <v>758</v>
      </c>
      <c r="I117" s="15" t="s">
        <v>2895</v>
      </c>
      <c r="J117" s="15" t="s">
        <v>755</v>
      </c>
      <c r="K117" s="15" t="s">
        <v>2895</v>
      </c>
      <c r="L117" s="15" t="s">
        <v>755</v>
      </c>
      <c r="M117" s="15" t="str">
        <f t="shared" si="1"/>
        <v>insert into dbo.LifeInsJobCode (JobCode,JobGrade,JobDescription,JobGroupCode1,JobGroupName1,JobGroupCode2,JobGroupName2,CreateTime,Creator,ModifyTime,Modifier) VALUES ('05010150','2','客運車稽核人員','','','','',getdate(),'Alvin',getdate(),'Alvin')</v>
      </c>
    </row>
    <row r="118" spans="2:13" ht="13.8">
      <c r="B118" s="15" t="s">
        <v>998</v>
      </c>
      <c r="C118" s="15">
        <v>6</v>
      </c>
      <c r="D118" s="15" t="s">
        <v>999</v>
      </c>
      <c r="E118" s="15" t="s">
        <v>758</v>
      </c>
      <c r="F118" s="15" t="s">
        <v>758</v>
      </c>
      <c r="G118" s="15" t="s">
        <v>758</v>
      </c>
      <c r="H118" s="15" t="s">
        <v>758</v>
      </c>
      <c r="I118" s="15" t="s">
        <v>2895</v>
      </c>
      <c r="J118" s="15" t="s">
        <v>755</v>
      </c>
      <c r="K118" s="15" t="s">
        <v>2895</v>
      </c>
      <c r="L118" s="15" t="s">
        <v>755</v>
      </c>
      <c r="M118" s="15" t="str">
        <f t="shared" si="1"/>
        <v>insert into dbo.LifeInsJobCode (JobCode,JobGrade,JobDescription,JobGroupCode1,JobGroupName1,JobGroupCode2,JobGroupName2,CreateTime,Creator,ModifyTime,Modifier) VALUES ('05010160','6','營業用貨車司機','','','','',getdate(),'Alvin',getdate(),'Alvin')</v>
      </c>
    </row>
    <row r="119" spans="2:13" ht="13.8">
      <c r="B119" s="15" t="s">
        <v>1000</v>
      </c>
      <c r="C119" s="15">
        <v>6</v>
      </c>
      <c r="D119" s="15" t="s">
        <v>1001</v>
      </c>
      <c r="E119" s="15" t="s">
        <v>758</v>
      </c>
      <c r="F119" s="15" t="s">
        <v>758</v>
      </c>
      <c r="G119" s="15" t="s">
        <v>758</v>
      </c>
      <c r="H119" s="15" t="s">
        <v>758</v>
      </c>
      <c r="I119" s="15" t="s">
        <v>2895</v>
      </c>
      <c r="J119" s="15" t="s">
        <v>755</v>
      </c>
      <c r="K119" s="15" t="s">
        <v>2895</v>
      </c>
      <c r="L119" s="15" t="s">
        <v>755</v>
      </c>
      <c r="M119" s="15" t="str">
        <f t="shared" si="1"/>
        <v>insert into dbo.LifeInsJobCode (JobCode,JobGrade,JobDescription,JobGroupCode1,JobGroupName1,JobGroupCode2,JobGroupName2,CreateTime,Creator,ModifyTime,Modifier) VALUES ('05010170','6','營業用貨車隨車工人','','','','',getdate(),'Alvin',getdate(),'Alvin')</v>
      </c>
    </row>
    <row r="120" spans="2:13" ht="13.8">
      <c r="B120" s="15" t="s">
        <v>1002</v>
      </c>
      <c r="C120" s="15">
        <v>4</v>
      </c>
      <c r="D120" s="15" t="s">
        <v>1003</v>
      </c>
      <c r="E120" s="15" t="s">
        <v>758</v>
      </c>
      <c r="F120" s="15" t="s">
        <v>758</v>
      </c>
      <c r="G120" s="15" t="s">
        <v>758</v>
      </c>
      <c r="H120" s="15" t="s">
        <v>758</v>
      </c>
      <c r="I120" s="15" t="s">
        <v>2895</v>
      </c>
      <c r="J120" s="15" t="s">
        <v>755</v>
      </c>
      <c r="K120" s="15" t="s">
        <v>2895</v>
      </c>
      <c r="L120" s="15" t="s">
        <v>755</v>
      </c>
      <c r="M120" s="15" t="str">
        <f t="shared" si="1"/>
        <v>insert into dbo.LifeInsJobCode (JobCode,JobGrade,JobDescription,JobGroupCode1,JobGroupName1,JobGroupCode2,JobGroupName2,CreateTime,Creator,ModifyTime,Modifier) VALUES ('05010180','4','搬運、搬家工人司機、隨車工人','','','','',getdate(),'Alvin',getdate(),'Alvin')</v>
      </c>
    </row>
    <row r="121" spans="2:13" ht="13.8">
      <c r="B121" s="15" t="s">
        <v>1004</v>
      </c>
      <c r="C121" s="15">
        <v>6</v>
      </c>
      <c r="D121" s="15" t="s">
        <v>1005</v>
      </c>
      <c r="E121" s="15" t="s">
        <v>758</v>
      </c>
      <c r="F121" s="15" t="s">
        <v>758</v>
      </c>
      <c r="G121" s="15" t="s">
        <v>758</v>
      </c>
      <c r="H121" s="15" t="s">
        <v>758</v>
      </c>
      <c r="I121" s="15" t="s">
        <v>2895</v>
      </c>
      <c r="J121" s="15" t="s">
        <v>755</v>
      </c>
      <c r="K121" s="15" t="s">
        <v>2895</v>
      </c>
      <c r="L121" s="15" t="s">
        <v>755</v>
      </c>
      <c r="M121" s="15" t="str">
        <f t="shared" si="1"/>
        <v>insert into dbo.LifeInsJobCode (JobCode,JobGrade,JobDescription,JobGroupCode1,JobGroupName1,JobGroupCode2,JobGroupName2,CreateTime,Creator,ModifyTime,Modifier) VALUES ('05010190','6','砂石車司機、隨車工人','','','','',getdate(),'Alvin',getdate(),'Alvin')</v>
      </c>
    </row>
    <row r="122" spans="2:13" ht="13.8">
      <c r="B122" s="15" t="s">
        <v>1006</v>
      </c>
      <c r="C122" s="15">
        <v>5</v>
      </c>
      <c r="D122" s="15" t="s">
        <v>1007</v>
      </c>
      <c r="E122" s="15" t="s">
        <v>758</v>
      </c>
      <c r="F122" s="15" t="s">
        <v>758</v>
      </c>
      <c r="G122" s="15" t="s">
        <v>758</v>
      </c>
      <c r="H122" s="15" t="s">
        <v>758</v>
      </c>
      <c r="I122" s="15" t="s">
        <v>2895</v>
      </c>
      <c r="J122" s="15" t="s">
        <v>755</v>
      </c>
      <c r="K122" s="15" t="s">
        <v>2895</v>
      </c>
      <c r="L122" s="15" t="s">
        <v>755</v>
      </c>
      <c r="M122" s="15" t="str">
        <f t="shared" si="1"/>
        <v>insert into dbo.LifeInsJobCode (JobCode,JobGrade,JobDescription,JobGroupCode1,JobGroupName1,JobGroupCode2,JobGroupName2,CreateTime,Creator,ModifyTime,Modifier) VALUES ('05010200','5','工程卡車司機、隨車工人','','','','',getdate(),'Alvin',getdate(),'Alvin')</v>
      </c>
    </row>
    <row r="123" spans="2:13" ht="13.8">
      <c r="B123" s="15" t="s">
        <v>1008</v>
      </c>
      <c r="C123" s="15">
        <v>6</v>
      </c>
      <c r="D123" s="15" t="s">
        <v>1009</v>
      </c>
      <c r="E123" s="15" t="s">
        <v>758</v>
      </c>
      <c r="F123" s="15" t="s">
        <v>758</v>
      </c>
      <c r="G123" s="15" t="s">
        <v>758</v>
      </c>
      <c r="H123" s="15" t="s">
        <v>758</v>
      </c>
      <c r="I123" s="15" t="s">
        <v>2895</v>
      </c>
      <c r="J123" s="15" t="s">
        <v>755</v>
      </c>
      <c r="K123" s="15" t="s">
        <v>2895</v>
      </c>
      <c r="L123" s="15" t="s">
        <v>755</v>
      </c>
      <c r="M123" s="15" t="str">
        <f t="shared" si="1"/>
        <v>insert into dbo.LifeInsJobCode (JobCode,JobGrade,JobDescription,JobGroupCode1,JobGroupName1,JobGroupCode2,JobGroupName2,CreateTime,Creator,ModifyTime,Modifier) VALUES ('05010210','6','液化、氣化、油罐車司機、隨車工人','','','','',getdate(),'Alvin',getdate(),'Alvin')</v>
      </c>
    </row>
    <row r="124" spans="2:13" ht="13.8">
      <c r="B124" s="15" t="s">
        <v>1010</v>
      </c>
      <c r="C124" s="15">
        <v>4</v>
      </c>
      <c r="D124" s="15" t="s">
        <v>1011</v>
      </c>
      <c r="E124" s="15" t="s">
        <v>758</v>
      </c>
      <c r="F124" s="15" t="s">
        <v>758</v>
      </c>
      <c r="G124" s="15" t="s">
        <v>758</v>
      </c>
      <c r="H124" s="15" t="s">
        <v>758</v>
      </c>
      <c r="I124" s="15" t="s">
        <v>2895</v>
      </c>
      <c r="J124" s="15" t="s">
        <v>755</v>
      </c>
      <c r="K124" s="15" t="s">
        <v>2895</v>
      </c>
      <c r="L124" s="15" t="s">
        <v>755</v>
      </c>
      <c r="M124" s="15" t="str">
        <f t="shared" si="1"/>
        <v>insert into dbo.LifeInsJobCode (JobCode,JobGrade,JobDescription,JobGroupCode1,JobGroupName1,JobGroupCode2,JobGroupName2,CreateTime,Creator,ModifyTime,Modifier) VALUES ('05010220','4','貨櫃車司機、隨車工人','','','','',getdate(),'Alvin',getdate(),'Alvin')</v>
      </c>
    </row>
    <row r="125" spans="2:13" ht="13.8">
      <c r="B125" s="15" t="s">
        <v>1012</v>
      </c>
      <c r="C125" s="15">
        <v>3</v>
      </c>
      <c r="D125" s="15" t="s">
        <v>1013</v>
      </c>
      <c r="E125" s="15" t="s">
        <v>758</v>
      </c>
      <c r="F125" s="15" t="s">
        <v>758</v>
      </c>
      <c r="G125" s="15" t="s">
        <v>758</v>
      </c>
      <c r="H125" s="15" t="s">
        <v>758</v>
      </c>
      <c r="I125" s="15" t="s">
        <v>2895</v>
      </c>
      <c r="J125" s="15" t="s">
        <v>755</v>
      </c>
      <c r="K125" s="15" t="s">
        <v>2895</v>
      </c>
      <c r="L125" s="15" t="s">
        <v>755</v>
      </c>
      <c r="M125" s="15" t="str">
        <f t="shared" si="1"/>
        <v>insert into dbo.LifeInsJobCode (JobCode,JobGrade,JobDescription,JobGroupCode1,JobGroupName1,JobGroupCode2,JobGroupName2,CreateTime,Creator,ModifyTime,Modifier) VALUES ('05010230','3','纜車操縱員','','','','',getdate(),'Alvin',getdate(),'Alvin')</v>
      </c>
    </row>
    <row r="126" spans="2:13" ht="13.8">
      <c r="B126" s="15" t="s">
        <v>1014</v>
      </c>
      <c r="C126" s="15">
        <v>3</v>
      </c>
      <c r="D126" s="15" t="s">
        <v>1015</v>
      </c>
      <c r="E126" s="15" t="s">
        <v>758</v>
      </c>
      <c r="F126" s="15" t="s">
        <v>758</v>
      </c>
      <c r="G126" s="15" t="s">
        <v>758</v>
      </c>
      <c r="H126" s="15" t="s">
        <v>758</v>
      </c>
      <c r="I126" s="15" t="s">
        <v>2895</v>
      </c>
      <c r="J126" s="15" t="s">
        <v>755</v>
      </c>
      <c r="K126" s="15" t="s">
        <v>2895</v>
      </c>
      <c r="L126" s="15" t="s">
        <v>755</v>
      </c>
      <c r="M126" s="15" t="str">
        <f t="shared" si="1"/>
        <v>insert into dbo.LifeInsJobCode (JobCode,JobGrade,JobDescription,JobGroupCode1,JobGroupName1,JobGroupCode2,JobGroupName2,CreateTime,Creator,ModifyTime,Modifier) VALUES ('05010240','3','垃圾車(司機及隨車人員)','','','','',getdate(),'Alvin',getdate(),'Alvin')</v>
      </c>
    </row>
    <row r="127" spans="2:13" ht="13.8">
      <c r="B127" s="15" t="s">
        <v>1016</v>
      </c>
      <c r="C127" s="15">
        <v>3</v>
      </c>
      <c r="D127" s="15" t="s">
        <v>1017</v>
      </c>
      <c r="E127" s="15" t="s">
        <v>758</v>
      </c>
      <c r="F127" s="15" t="s">
        <v>758</v>
      </c>
      <c r="G127" s="15" t="s">
        <v>758</v>
      </c>
      <c r="H127" s="15" t="s">
        <v>758</v>
      </c>
      <c r="I127" s="15" t="s">
        <v>2895</v>
      </c>
      <c r="J127" s="15" t="s">
        <v>755</v>
      </c>
      <c r="K127" s="15" t="s">
        <v>2895</v>
      </c>
      <c r="L127" s="15" t="s">
        <v>755</v>
      </c>
      <c r="M127" s="15" t="str">
        <f t="shared" si="1"/>
        <v>insert into dbo.LifeInsJobCode (JobCode,JobGrade,JobDescription,JobGroupCode1,JobGroupName1,JobGroupCode2,JobGroupName2,CreateTime,Creator,ModifyTime,Modifier) VALUES ('05010250','3','靈車司機','','','','',getdate(),'Alvin',getdate(),'Alvin')</v>
      </c>
    </row>
    <row r="128" spans="2:13" ht="13.8">
      <c r="B128" s="15" t="s">
        <v>1018</v>
      </c>
      <c r="C128" s="15">
        <v>4</v>
      </c>
      <c r="D128" s="15" t="s">
        <v>3329</v>
      </c>
      <c r="E128" s="15" t="s">
        <v>758</v>
      </c>
      <c r="F128" s="15" t="s">
        <v>758</v>
      </c>
      <c r="G128" s="15" t="s">
        <v>758</v>
      </c>
      <c r="H128" s="15" t="s">
        <v>758</v>
      </c>
      <c r="I128" s="15" t="s">
        <v>2895</v>
      </c>
      <c r="J128" s="15" t="s">
        <v>755</v>
      </c>
      <c r="K128" s="15" t="s">
        <v>2895</v>
      </c>
      <c r="L128" s="15" t="s">
        <v>755</v>
      </c>
      <c r="M128" s="15" t="str">
        <f t="shared" si="1"/>
        <v>insert into dbo.LifeInsJobCode (JobCode,JobGrade,JobDescription,JobGroupCode1,JobGroupName1,JobGroupCode2,JobGroupName2,CreateTime,Creator,ModifyTime,Modifier) VALUES ('05010260','4','快遞司機(貨車)','','','','',getdate(),'Alvin',getdate(),'Alvin')</v>
      </c>
    </row>
    <row r="129" spans="2:13" ht="13.8">
      <c r="B129" s="15" t="s">
        <v>1019</v>
      </c>
      <c r="C129" s="15">
        <v>3</v>
      </c>
      <c r="D129" s="15" t="s">
        <v>1020</v>
      </c>
      <c r="E129" s="15" t="s">
        <v>758</v>
      </c>
      <c r="F129" s="15" t="s">
        <v>758</v>
      </c>
      <c r="G129" s="15" t="s">
        <v>758</v>
      </c>
      <c r="H129" s="15" t="s">
        <v>758</v>
      </c>
      <c r="I129" s="15" t="s">
        <v>2895</v>
      </c>
      <c r="J129" s="15" t="s">
        <v>755</v>
      </c>
      <c r="K129" s="15" t="s">
        <v>2895</v>
      </c>
      <c r="L129" s="15" t="s">
        <v>755</v>
      </c>
      <c r="M129" s="15" t="str">
        <f t="shared" si="1"/>
        <v>insert into dbo.LifeInsJobCode (JobCode,JobGrade,JobDescription,JobGroupCode1,JobGroupName1,JobGroupCode2,JobGroupName2,CreateTime,Creator,ModifyTime,Modifier) VALUES ('05010261','3','快遞送貨(機車)','','','','',getdate(),'Alvin',getdate(),'Alvin')</v>
      </c>
    </row>
    <row r="130" spans="2:13" ht="13.8">
      <c r="B130" s="15" t="s">
        <v>1021</v>
      </c>
      <c r="C130" s="15">
        <v>3</v>
      </c>
      <c r="D130" s="15" t="s">
        <v>3273</v>
      </c>
      <c r="E130" s="15" t="s">
        <v>758</v>
      </c>
      <c r="F130" s="15" t="s">
        <v>758</v>
      </c>
      <c r="G130" s="15" t="s">
        <v>758</v>
      </c>
      <c r="H130" s="15" t="s">
        <v>758</v>
      </c>
      <c r="I130" s="15" t="s">
        <v>2895</v>
      </c>
      <c r="J130" s="15" t="s">
        <v>755</v>
      </c>
      <c r="K130" s="15" t="s">
        <v>2895</v>
      </c>
      <c r="L130" s="15" t="s">
        <v>755</v>
      </c>
      <c r="M130" s="15" t="str">
        <f t="shared" ref="M130:M193" si="2">$M$1 &amp; " VALUES ('"&amp;B130&amp;"','"&amp;C130&amp;"','"&amp;D130&amp;"','"&amp;E130&amp;"','"&amp;F130&amp;"','"&amp;G130&amp;"','"&amp;H130&amp;"',"&amp;I130&amp;",'"&amp;J130&amp;"',"&amp;K130&amp;",'"&amp;L130&amp;"')"</f>
        <v>insert into dbo.LifeInsJobCode (JobCode,JobGrade,JobDescription,JobGroupCode1,JobGroupName1,JobGroupCode2,JobGroupName2,CreateTime,Creator,ModifyTime,Modifier) VALUES ('05010270','3','拖吊車司機、隨車人員(一般道路)','','','','',getdate(),'Alvin',getdate(),'Alvin')</v>
      </c>
    </row>
    <row r="131" spans="2:13" ht="13.8">
      <c r="B131" s="15" t="s">
        <v>1022</v>
      </c>
      <c r="C131" s="15">
        <v>4</v>
      </c>
      <c r="D131" s="15" t="s">
        <v>3274</v>
      </c>
      <c r="E131" s="15" t="s">
        <v>758</v>
      </c>
      <c r="F131" s="15" t="s">
        <v>758</v>
      </c>
      <c r="G131" s="15" t="s">
        <v>758</v>
      </c>
      <c r="H131" s="15" t="s">
        <v>758</v>
      </c>
      <c r="I131" s="15" t="s">
        <v>2895</v>
      </c>
      <c r="J131" s="15" t="s">
        <v>755</v>
      </c>
      <c r="K131" s="15" t="s">
        <v>2895</v>
      </c>
      <c r="L131" s="15" t="s">
        <v>755</v>
      </c>
      <c r="M131" s="15" t="str">
        <f t="shared" si="2"/>
        <v>insert into dbo.LifeInsJobCode (JobCode,JobGrade,JobDescription,JobGroupCode1,JobGroupName1,JobGroupCode2,JobGroupName2,CreateTime,Creator,ModifyTime,Modifier) VALUES ('05010271','4','拖吊車司機、隨車人員(高速公路)','','','','',getdate(),'Alvin',getdate(),'Alvin')</v>
      </c>
    </row>
    <row r="132" spans="2:13" ht="13.8">
      <c r="B132" s="15" t="s">
        <v>1023</v>
      </c>
      <c r="C132" s="15">
        <v>3</v>
      </c>
      <c r="D132" s="15" t="s">
        <v>3275</v>
      </c>
      <c r="E132" s="15" t="s">
        <v>758</v>
      </c>
      <c r="F132" s="15" t="s">
        <v>758</v>
      </c>
      <c r="G132" s="15" t="s">
        <v>758</v>
      </c>
      <c r="H132" s="15" t="s">
        <v>758</v>
      </c>
      <c r="I132" s="15" t="s">
        <v>2895</v>
      </c>
      <c r="J132" s="15" t="s">
        <v>755</v>
      </c>
      <c r="K132" s="15" t="s">
        <v>2895</v>
      </c>
      <c r="L132" s="15" t="s">
        <v>755</v>
      </c>
      <c r="M132" s="15" t="str">
        <f t="shared" si="2"/>
        <v>insert into dbo.LifeInsJobCode (JobCode,JobGrade,JobDescription,JobGroupCode1,JobGroupName1,JobGroupCode2,JobGroupName2,CreateTime,Creator,ModifyTime,Modifier) VALUES ('05010280','3','堆高機駕駛(非航運)','','','','',getdate(),'Alvin',getdate(),'Alvin')</v>
      </c>
    </row>
    <row r="133" spans="2:13" ht="13.8">
      <c r="B133" s="15" t="s">
        <v>1024</v>
      </c>
      <c r="C133" s="15">
        <v>3</v>
      </c>
      <c r="D133" s="15" t="s">
        <v>1025</v>
      </c>
      <c r="E133" s="15" t="s">
        <v>758</v>
      </c>
      <c r="F133" s="15" t="s">
        <v>758</v>
      </c>
      <c r="G133" s="15" t="s">
        <v>758</v>
      </c>
      <c r="H133" s="15" t="s">
        <v>758</v>
      </c>
      <c r="I133" s="15" t="s">
        <v>2895</v>
      </c>
      <c r="J133" s="15" t="s">
        <v>755</v>
      </c>
      <c r="K133" s="15" t="s">
        <v>2895</v>
      </c>
      <c r="L133" s="15" t="s">
        <v>755</v>
      </c>
      <c r="M133" s="15" t="str">
        <f t="shared" si="2"/>
        <v>insert into dbo.LifeInsJobCode (JobCode,JobGrade,JobDescription,JobGroupCode1,JobGroupName1,JobGroupCode2,JobGroupName2,CreateTime,Creator,ModifyTime,Modifier) VALUES ('05010290','3','貨櫃場管理員','','','','',getdate(),'Alvin',getdate(),'Alvin')</v>
      </c>
    </row>
    <row r="134" spans="2:13" ht="13.8">
      <c r="B134" s="15" t="s">
        <v>1026</v>
      </c>
      <c r="C134" s="15">
        <v>2</v>
      </c>
      <c r="D134" s="15" t="s">
        <v>1027</v>
      </c>
      <c r="E134" s="15" t="s">
        <v>758</v>
      </c>
      <c r="F134" s="15" t="s">
        <v>758</v>
      </c>
      <c r="G134" s="15" t="s">
        <v>758</v>
      </c>
      <c r="H134" s="15" t="s">
        <v>758</v>
      </c>
      <c r="I134" s="15" t="s">
        <v>2895</v>
      </c>
      <c r="J134" s="15" t="s">
        <v>755</v>
      </c>
      <c r="K134" s="15" t="s">
        <v>2895</v>
      </c>
      <c r="L134" s="15" t="s">
        <v>755</v>
      </c>
      <c r="M134" s="15" t="str">
        <f t="shared" si="2"/>
        <v>insert into dbo.LifeInsJobCode (JobCode,JobGrade,JobDescription,JobGroupCode1,JobGroupName1,JobGroupCode2,JobGroupName2,CreateTime,Creator,ModifyTime,Modifier) VALUES ('05010300','2','娃娃車司機','','','','',getdate(),'Alvin',getdate(),'Alvin')</v>
      </c>
    </row>
    <row r="135" spans="2:13" ht="13.8">
      <c r="B135" s="15" t="s">
        <v>1028</v>
      </c>
      <c r="C135" s="15">
        <v>4</v>
      </c>
      <c r="D135" s="15" t="s">
        <v>1029</v>
      </c>
      <c r="E135" s="15" t="s">
        <v>758</v>
      </c>
      <c r="F135" s="15" t="s">
        <v>758</v>
      </c>
      <c r="G135" s="15" t="s">
        <v>758</v>
      </c>
      <c r="H135" s="15" t="s">
        <v>758</v>
      </c>
      <c r="I135" s="15" t="s">
        <v>2895</v>
      </c>
      <c r="J135" s="15" t="s">
        <v>755</v>
      </c>
      <c r="K135" s="15" t="s">
        <v>2895</v>
      </c>
      <c r="L135" s="15" t="s">
        <v>755</v>
      </c>
      <c r="M135" s="15" t="str">
        <f t="shared" si="2"/>
        <v>insert into dbo.LifeInsJobCode (JobCode,JobGrade,JobDescription,JobGroupCode1,JobGroupName1,JobGroupCode2,JobGroupName2,CreateTime,Creator,ModifyTime,Modifier) VALUES ('05010310','4','救護車司機','','','','',getdate(),'Alvin',getdate(),'Alvin')</v>
      </c>
    </row>
    <row r="136" spans="2:13" ht="13.8">
      <c r="B136" s="15" t="s">
        <v>1030</v>
      </c>
      <c r="C136" s="15">
        <v>4</v>
      </c>
      <c r="D136" s="15" t="s">
        <v>1031</v>
      </c>
      <c r="E136" s="15" t="s">
        <v>758</v>
      </c>
      <c r="F136" s="15" t="s">
        <v>758</v>
      </c>
      <c r="G136" s="15" t="s">
        <v>758</v>
      </c>
      <c r="H136" s="15" t="s">
        <v>758</v>
      </c>
      <c r="I136" s="15" t="s">
        <v>2895</v>
      </c>
      <c r="J136" s="15" t="s">
        <v>755</v>
      </c>
      <c r="K136" s="15" t="s">
        <v>2895</v>
      </c>
      <c r="L136" s="15" t="s">
        <v>755</v>
      </c>
      <c r="M136" s="15" t="str">
        <f t="shared" si="2"/>
        <v>insert into dbo.LifeInsJobCode (JobCode,JobGrade,JobDescription,JobGroupCode1,JobGroupName1,JobGroupCode2,JobGroupName2,CreateTime,Creator,ModifyTime,Modifier) VALUES ('05010320','4','消防車司機','','','','',getdate(),'Alvin',getdate(),'Alvin')</v>
      </c>
    </row>
    <row r="137" spans="2:13" ht="13.8">
      <c r="B137" s="15" t="s">
        <v>1032</v>
      </c>
      <c r="C137" s="15">
        <v>4</v>
      </c>
      <c r="D137" s="15" t="s">
        <v>1033</v>
      </c>
      <c r="E137" s="15" t="s">
        <v>758</v>
      </c>
      <c r="F137" s="15" t="s">
        <v>758</v>
      </c>
      <c r="G137" s="15" t="s">
        <v>758</v>
      </c>
      <c r="H137" s="15" t="s">
        <v>758</v>
      </c>
      <c r="I137" s="15" t="s">
        <v>2895</v>
      </c>
      <c r="J137" s="15" t="s">
        <v>755</v>
      </c>
      <c r="K137" s="15" t="s">
        <v>2895</v>
      </c>
      <c r="L137" s="15" t="s">
        <v>755</v>
      </c>
      <c r="M137" s="15" t="str">
        <f t="shared" si="2"/>
        <v>insert into dbo.LifeInsJobCode (JobCode,JobGrade,JobDescription,JobGroupCode1,JobGroupName1,JobGroupCode2,JobGroupName2,CreateTime,Creator,ModifyTime,Modifier) VALUES ('05010330','4','貨櫃場吊車駕駛','','','','',getdate(),'Alvin',getdate(),'Alvin')</v>
      </c>
    </row>
    <row r="138" spans="2:13" ht="13.8">
      <c r="B138" s="15" t="s">
        <v>1034</v>
      </c>
      <c r="C138" s="15">
        <v>4</v>
      </c>
      <c r="D138" s="15" t="s">
        <v>1035</v>
      </c>
      <c r="E138" s="15" t="s">
        <v>758</v>
      </c>
      <c r="F138" s="15" t="s">
        <v>758</v>
      </c>
      <c r="G138" s="15" t="s">
        <v>758</v>
      </c>
      <c r="H138" s="15" t="s">
        <v>758</v>
      </c>
      <c r="I138" s="15" t="s">
        <v>2895</v>
      </c>
      <c r="J138" s="15" t="s">
        <v>755</v>
      </c>
      <c r="K138" s="15" t="s">
        <v>2895</v>
      </c>
      <c r="L138" s="15" t="s">
        <v>755</v>
      </c>
      <c r="M138" s="15" t="str">
        <f t="shared" si="2"/>
        <v>insert into dbo.LifeInsJobCode (JobCode,JobGrade,JobDescription,JobGroupCode1,JobGroupName1,JobGroupCode2,JobGroupName2,CreateTime,Creator,ModifyTime,Modifier) VALUES ('05010340','4','拖板車司機、隨車人員','','','','',getdate(),'Alvin',getdate(),'Alvin')</v>
      </c>
    </row>
    <row r="139" spans="2:13" ht="13.8">
      <c r="B139" s="15" t="s">
        <v>1036</v>
      </c>
      <c r="C139" s="15">
        <v>5</v>
      </c>
      <c r="D139" s="15" t="s">
        <v>1037</v>
      </c>
      <c r="E139" s="15" t="s">
        <v>758</v>
      </c>
      <c r="F139" s="15" t="s">
        <v>758</v>
      </c>
      <c r="G139" s="15" t="s">
        <v>758</v>
      </c>
      <c r="H139" s="15" t="s">
        <v>758</v>
      </c>
      <c r="I139" s="15" t="s">
        <v>2895</v>
      </c>
      <c r="J139" s="15" t="s">
        <v>755</v>
      </c>
      <c r="K139" s="15" t="s">
        <v>2895</v>
      </c>
      <c r="L139" s="15" t="s">
        <v>755</v>
      </c>
      <c r="M139" s="15" t="str">
        <f t="shared" si="2"/>
        <v>insert into dbo.LifeInsJobCode (JobCode,JobGrade,JobDescription,JobGroupCode1,JobGroupName1,JobGroupCode2,JobGroupName2,CreateTime,Creator,ModifyTime,Modifier) VALUES ('05010350','5','混凝土預拌車司機、隨車工人','','','','',getdate(),'Alvin',getdate(),'Alvin')</v>
      </c>
    </row>
    <row r="140" spans="2:13" ht="13.8">
      <c r="B140" s="15" t="s">
        <v>1038</v>
      </c>
      <c r="C140" s="15">
        <v>5</v>
      </c>
      <c r="D140" s="15" t="s">
        <v>1039</v>
      </c>
      <c r="E140" s="15" t="s">
        <v>758</v>
      </c>
      <c r="F140" s="15" t="s">
        <v>758</v>
      </c>
      <c r="G140" s="15" t="s">
        <v>758</v>
      </c>
      <c r="H140" s="15" t="s">
        <v>758</v>
      </c>
      <c r="I140" s="15" t="s">
        <v>2895</v>
      </c>
      <c r="J140" s="15" t="s">
        <v>755</v>
      </c>
      <c r="K140" s="15" t="s">
        <v>2895</v>
      </c>
      <c r="L140" s="15" t="s">
        <v>755</v>
      </c>
      <c r="M140" s="15" t="str">
        <f t="shared" si="2"/>
        <v>insert into dbo.LifeInsJobCode (JobCode,JobGrade,JobDescription,JobGroupCode1,JobGroupName1,JobGroupCode2,JobGroupName2,CreateTime,Creator,ModifyTime,Modifier) VALUES ('05010360','5','拼裝車司機','','','','',getdate(),'Alvin',getdate(),'Alvin')</v>
      </c>
    </row>
    <row r="141" spans="2:13" ht="13.8">
      <c r="B141" s="15" t="s">
        <v>1040</v>
      </c>
      <c r="C141" s="15">
        <v>4</v>
      </c>
      <c r="D141" s="15" t="s">
        <v>1041</v>
      </c>
      <c r="E141" s="15" t="s">
        <v>758</v>
      </c>
      <c r="F141" s="15" t="s">
        <v>758</v>
      </c>
      <c r="G141" s="15" t="s">
        <v>758</v>
      </c>
      <c r="H141" s="15" t="s">
        <v>758</v>
      </c>
      <c r="I141" s="15" t="s">
        <v>2895</v>
      </c>
      <c r="J141" s="15" t="s">
        <v>755</v>
      </c>
      <c r="K141" s="15" t="s">
        <v>2895</v>
      </c>
      <c r="L141" s="15" t="s">
        <v>755</v>
      </c>
      <c r="M141" s="15" t="str">
        <f t="shared" si="2"/>
        <v>insert into dbo.LifeInsJobCode (JobCode,JobGrade,JobDescription,JobGroupCode1,JobGroupName1,JobGroupCode2,JobGroupName2,CreateTime,Creator,ModifyTime,Modifier) VALUES ('05010370','4','聯結車司機、隨車工人','','','','',getdate(),'Alvin',getdate(),'Alvin')</v>
      </c>
    </row>
    <row r="142" spans="2:13" ht="13.8">
      <c r="B142" s="15" t="s">
        <v>1042</v>
      </c>
      <c r="C142" s="15">
        <v>5</v>
      </c>
      <c r="D142" s="15" t="s">
        <v>1043</v>
      </c>
      <c r="E142" s="15" t="s">
        <v>758</v>
      </c>
      <c r="F142" s="15" t="s">
        <v>758</v>
      </c>
      <c r="G142" s="15" t="s">
        <v>758</v>
      </c>
      <c r="H142" s="15" t="s">
        <v>758</v>
      </c>
      <c r="I142" s="15" t="s">
        <v>2895</v>
      </c>
      <c r="J142" s="15" t="s">
        <v>755</v>
      </c>
      <c r="K142" s="15" t="s">
        <v>2895</v>
      </c>
      <c r="L142" s="15" t="s">
        <v>755</v>
      </c>
      <c r="M142" s="15" t="str">
        <f t="shared" si="2"/>
        <v>insert into dbo.LifeInsJobCode (JobCode,JobGrade,JobDescription,JobGroupCode1,JobGroupName1,JobGroupCode2,JobGroupName2,CreateTime,Creator,ModifyTime,Modifier) VALUES ('05010380','5','吊車司機、隨車工人','','','','',getdate(),'Alvin',getdate(),'Alvin')</v>
      </c>
    </row>
    <row r="143" spans="2:13" ht="13.8">
      <c r="B143" s="15" t="s">
        <v>1044</v>
      </c>
      <c r="C143" s="15">
        <v>4</v>
      </c>
      <c r="D143" s="15" t="s">
        <v>1045</v>
      </c>
      <c r="E143" s="15" t="s">
        <v>758</v>
      </c>
      <c r="F143" s="15" t="s">
        <v>758</v>
      </c>
      <c r="G143" s="15" t="s">
        <v>758</v>
      </c>
      <c r="H143" s="15" t="s">
        <v>758</v>
      </c>
      <c r="I143" s="15" t="s">
        <v>2895</v>
      </c>
      <c r="J143" s="15" t="s">
        <v>755</v>
      </c>
      <c r="K143" s="15" t="s">
        <v>2895</v>
      </c>
      <c r="L143" s="15" t="s">
        <v>755</v>
      </c>
      <c r="M143" s="15" t="str">
        <f t="shared" si="2"/>
        <v>insert into dbo.LifeInsJobCode (JobCode,JobGrade,JobDescription,JobGroupCode1,JobGroupName1,JobGroupCode2,JobGroupName2,CreateTime,Creator,ModifyTime,Modifier) VALUES ('05010390','4','曳引車司機、隨車工人','','','','',getdate(),'Alvin',getdate(),'Alvin')</v>
      </c>
    </row>
    <row r="144" spans="2:13" ht="13.8">
      <c r="B144" s="15" t="s">
        <v>1046</v>
      </c>
      <c r="C144" s="15">
        <v>3</v>
      </c>
      <c r="D144" s="15" t="s">
        <v>1047</v>
      </c>
      <c r="E144" s="15" t="s">
        <v>758</v>
      </c>
      <c r="F144" s="15" t="s">
        <v>758</v>
      </c>
      <c r="G144" s="15" t="s">
        <v>758</v>
      </c>
      <c r="H144" s="15" t="s">
        <v>758</v>
      </c>
      <c r="I144" s="15" t="s">
        <v>2895</v>
      </c>
      <c r="J144" s="15" t="s">
        <v>755</v>
      </c>
      <c r="K144" s="15" t="s">
        <v>2895</v>
      </c>
      <c r="L144" s="15" t="s">
        <v>755</v>
      </c>
      <c r="M144" s="15" t="str">
        <f t="shared" si="2"/>
        <v>insert into dbo.LifeInsJobCode (JobCode,JobGrade,JobDescription,JobGroupCode1,JobGroupName1,JobGroupCode2,JobGroupName2,CreateTime,Creator,ModifyTime,Modifier) VALUES ('05010400','3','教練車教練','','','','',getdate(),'Alvin',getdate(),'Alvin')</v>
      </c>
    </row>
    <row r="145" spans="2:13" ht="13.8">
      <c r="B145" s="15" t="s">
        <v>1048</v>
      </c>
      <c r="C145" s="15">
        <v>3</v>
      </c>
      <c r="D145" s="15" t="s">
        <v>1049</v>
      </c>
      <c r="E145" s="15" t="s">
        <v>758</v>
      </c>
      <c r="F145" s="15" t="s">
        <v>758</v>
      </c>
      <c r="G145" s="15" t="s">
        <v>758</v>
      </c>
      <c r="H145" s="15" t="s">
        <v>758</v>
      </c>
      <c r="I145" s="15" t="s">
        <v>2895</v>
      </c>
      <c r="J145" s="15" t="s">
        <v>755</v>
      </c>
      <c r="K145" s="15" t="s">
        <v>2895</v>
      </c>
      <c r="L145" s="15" t="s">
        <v>755</v>
      </c>
      <c r="M145" s="15" t="str">
        <f t="shared" si="2"/>
        <v>insert into dbo.LifeInsJobCode (JobCode,JobGrade,JobDescription,JobGroupCode1,JobGroupName1,JobGroupCode2,JobGroupName2,CreateTime,Creator,ModifyTime,Modifier) VALUES ('05010410','3','送外賣機車駕駛','','','','',getdate(),'Alvin',getdate(),'Alvin')</v>
      </c>
    </row>
    <row r="146" spans="2:13" ht="13.8">
      <c r="B146" s="15" t="s">
        <v>1050</v>
      </c>
      <c r="C146" s="15">
        <v>3</v>
      </c>
      <c r="D146" s="15" t="s">
        <v>1051</v>
      </c>
      <c r="E146" s="15" t="s">
        <v>758</v>
      </c>
      <c r="F146" s="15" t="s">
        <v>758</v>
      </c>
      <c r="G146" s="15" t="s">
        <v>758</v>
      </c>
      <c r="H146" s="15" t="s">
        <v>758</v>
      </c>
      <c r="I146" s="15" t="s">
        <v>2895</v>
      </c>
      <c r="J146" s="15" t="s">
        <v>755</v>
      </c>
      <c r="K146" s="15" t="s">
        <v>2895</v>
      </c>
      <c r="L146" s="15" t="s">
        <v>755</v>
      </c>
      <c r="M146" s="15" t="str">
        <f t="shared" si="2"/>
        <v>insert into dbo.LifeInsJobCode (JobCode,JobGrade,JobDescription,JobGroupCode1,JobGroupName1,JobGroupCode2,JobGroupName2,CreateTime,Creator,ModifyTime,Modifier) VALUES ('05010430','3','環保資源回收車司機、隨車人員','','','','',getdate(),'Alvin',getdate(),'Alvin')</v>
      </c>
    </row>
    <row r="147" spans="2:13" ht="13.8">
      <c r="B147" s="15" t="s">
        <v>1052</v>
      </c>
      <c r="C147" s="15">
        <v>4</v>
      </c>
      <c r="D147" s="15" t="s">
        <v>1053</v>
      </c>
      <c r="E147" s="15" t="s">
        <v>758</v>
      </c>
      <c r="F147" s="15" t="s">
        <v>758</v>
      </c>
      <c r="G147" s="15" t="s">
        <v>758</v>
      </c>
      <c r="H147" s="15" t="s">
        <v>758</v>
      </c>
      <c r="I147" s="15" t="s">
        <v>2895</v>
      </c>
      <c r="J147" s="15" t="s">
        <v>755</v>
      </c>
      <c r="K147" s="15" t="s">
        <v>2895</v>
      </c>
      <c r="L147" s="15" t="s">
        <v>755</v>
      </c>
      <c r="M147" s="15" t="str">
        <f t="shared" si="2"/>
        <v>insert into dbo.LifeInsJobCode (JobCode,JobGrade,JobDescription,JobGroupCode1,JobGroupName1,JobGroupCode2,JobGroupName2,CreateTime,Creator,ModifyTime,Modifier) VALUES ('05010440','4','道路工程車司機、機械操作員','','','','',getdate(),'Alvin',getdate(),'Alvin')</v>
      </c>
    </row>
    <row r="148" spans="2:13" ht="13.8">
      <c r="B148" s="15" t="s">
        <v>1054</v>
      </c>
      <c r="C148" s="15">
        <v>5</v>
      </c>
      <c r="D148" s="15" t="s">
        <v>1055</v>
      </c>
      <c r="E148" s="15" t="s">
        <v>758</v>
      </c>
      <c r="F148" s="15" t="s">
        <v>758</v>
      </c>
      <c r="G148" s="15" t="s">
        <v>758</v>
      </c>
      <c r="H148" s="15" t="s">
        <v>758</v>
      </c>
      <c r="I148" s="15" t="s">
        <v>2895</v>
      </c>
      <c r="J148" s="15" t="s">
        <v>755</v>
      </c>
      <c r="K148" s="15" t="s">
        <v>2895</v>
      </c>
      <c r="L148" s="15" t="s">
        <v>755</v>
      </c>
      <c r="M148" s="15" t="str">
        <f t="shared" si="2"/>
        <v>insert into dbo.LifeInsJobCode (JobCode,JobGrade,JobDescription,JobGroupCode1,JobGroupName1,JobGroupCode2,JobGroupName2,CreateTime,Creator,ModifyTime,Modifier) VALUES ('05010450','5','挖土機(怪手)操作員','','','','',getdate(),'Alvin',getdate(),'Alvin')</v>
      </c>
    </row>
    <row r="149" spans="2:13" ht="13.8">
      <c r="B149" s="15" t="s">
        <v>1056</v>
      </c>
      <c r="C149" s="15">
        <v>4</v>
      </c>
      <c r="D149" s="15" t="s">
        <v>1057</v>
      </c>
      <c r="E149" s="15" t="s">
        <v>758</v>
      </c>
      <c r="F149" s="15" t="s">
        <v>758</v>
      </c>
      <c r="G149" s="15" t="s">
        <v>758</v>
      </c>
      <c r="H149" s="15" t="s">
        <v>758</v>
      </c>
      <c r="I149" s="15" t="s">
        <v>2895</v>
      </c>
      <c r="J149" s="15" t="s">
        <v>755</v>
      </c>
      <c r="K149" s="15" t="s">
        <v>2895</v>
      </c>
      <c r="L149" s="15" t="s">
        <v>755</v>
      </c>
      <c r="M149" s="15" t="str">
        <f t="shared" si="2"/>
        <v>insert into dbo.LifeInsJobCode (JobCode,JobGrade,JobDescription,JobGroupCode1,JobGroupName1,JobGroupCode2,JobGroupName2,CreateTime,Creator,ModifyTime,Modifier) VALUES ('05010460','4','鏟土機駕駛','','','','',getdate(),'Alvin',getdate(),'Alvin')</v>
      </c>
    </row>
    <row r="150" spans="2:13" ht="13.8">
      <c r="B150" s="15" t="s">
        <v>1058</v>
      </c>
      <c r="C150" s="15">
        <v>1</v>
      </c>
      <c r="D150" s="15" t="s">
        <v>1059</v>
      </c>
      <c r="E150" s="15" t="s">
        <v>758</v>
      </c>
      <c r="F150" s="15" t="s">
        <v>758</v>
      </c>
      <c r="G150" s="15" t="s">
        <v>1060</v>
      </c>
      <c r="H150" s="15" t="s">
        <v>1061</v>
      </c>
      <c r="I150" s="15" t="s">
        <v>2895</v>
      </c>
      <c r="J150" s="15" t="s">
        <v>755</v>
      </c>
      <c r="K150" s="15" t="s">
        <v>2895</v>
      </c>
      <c r="L150" s="15" t="s">
        <v>755</v>
      </c>
      <c r="M150" s="15" t="str">
        <f t="shared" si="2"/>
        <v>insert into dbo.LifeInsJobCode (JobCode,JobGrade,JobDescription,JobGroupCode1,JobGroupName1,JobGroupCode2,JobGroupName2,CreateTime,Creator,ModifyTime,Modifier) VALUES ('05020010','1','站長','','','0502','鐵路、捷運、高鐵',getdate(),'Alvin',getdate(),'Alvin')</v>
      </c>
    </row>
    <row r="151" spans="2:13" ht="13.8">
      <c r="B151" s="15" t="s">
        <v>1062</v>
      </c>
      <c r="C151" s="15">
        <v>1</v>
      </c>
      <c r="D151" s="15" t="s">
        <v>1063</v>
      </c>
      <c r="E151" s="15" t="s">
        <v>758</v>
      </c>
      <c r="F151" s="15" t="s">
        <v>758</v>
      </c>
      <c r="G151" s="15" t="s">
        <v>758</v>
      </c>
      <c r="H151" s="15" t="s">
        <v>758</v>
      </c>
      <c r="I151" s="15" t="s">
        <v>2895</v>
      </c>
      <c r="J151" s="15" t="s">
        <v>755</v>
      </c>
      <c r="K151" s="15" t="s">
        <v>2895</v>
      </c>
      <c r="L151" s="15" t="s">
        <v>755</v>
      </c>
      <c r="M151" s="15" t="str">
        <f t="shared" si="2"/>
        <v>insert into dbo.LifeInsJobCode (JobCode,JobGrade,JobDescription,JobGroupCode1,JobGroupName1,JobGroupCode2,JobGroupName2,CreateTime,Creator,ModifyTime,Modifier) VALUES ('05020020','1','票房工作人員','','','','',getdate(),'Alvin',getdate(),'Alvin')</v>
      </c>
    </row>
    <row r="152" spans="2:13" ht="13.8">
      <c r="B152" s="15" t="s">
        <v>1064</v>
      </c>
      <c r="C152" s="15">
        <v>1</v>
      </c>
      <c r="D152" s="15" t="s">
        <v>1065</v>
      </c>
      <c r="E152" s="15" t="s">
        <v>758</v>
      </c>
      <c r="F152" s="15" t="s">
        <v>758</v>
      </c>
      <c r="G152" s="15" t="s">
        <v>758</v>
      </c>
      <c r="H152" s="15" t="s">
        <v>758</v>
      </c>
      <c r="I152" s="15" t="s">
        <v>2895</v>
      </c>
      <c r="J152" s="15" t="s">
        <v>755</v>
      </c>
      <c r="K152" s="15" t="s">
        <v>2895</v>
      </c>
      <c r="L152" s="15" t="s">
        <v>755</v>
      </c>
      <c r="M152" s="15" t="str">
        <f t="shared" si="2"/>
        <v>insert into dbo.LifeInsJobCode (JobCode,JobGrade,JobDescription,JobGroupCode1,JobGroupName1,JobGroupCode2,JobGroupName2,CreateTime,Creator,ModifyTime,Modifier) VALUES ('05020030','1','播音員','','','','',getdate(),'Alvin',getdate(),'Alvin')</v>
      </c>
    </row>
    <row r="153" spans="2:13" ht="13.8">
      <c r="B153" s="15" t="s">
        <v>1066</v>
      </c>
      <c r="C153" s="15">
        <v>1</v>
      </c>
      <c r="D153" s="15" t="s">
        <v>1067</v>
      </c>
      <c r="E153" s="15" t="s">
        <v>758</v>
      </c>
      <c r="F153" s="15" t="s">
        <v>758</v>
      </c>
      <c r="G153" s="15" t="s">
        <v>758</v>
      </c>
      <c r="H153" s="15" t="s">
        <v>758</v>
      </c>
      <c r="I153" s="15" t="s">
        <v>2895</v>
      </c>
      <c r="J153" s="15" t="s">
        <v>755</v>
      </c>
      <c r="K153" s="15" t="s">
        <v>2895</v>
      </c>
      <c r="L153" s="15" t="s">
        <v>755</v>
      </c>
      <c r="M153" s="15" t="str">
        <f t="shared" si="2"/>
        <v>insert into dbo.LifeInsJobCode (JobCode,JobGrade,JobDescription,JobGroupCode1,JobGroupName1,JobGroupCode2,JobGroupName2,CreateTime,Creator,ModifyTime,Modifier) VALUES ('05020040','1','一般內勤人員','','','','',getdate(),'Alvin',getdate(),'Alvin')</v>
      </c>
    </row>
    <row r="154" spans="2:13" ht="13.8">
      <c r="B154" s="15" t="s">
        <v>1068</v>
      </c>
      <c r="C154" s="15">
        <v>1</v>
      </c>
      <c r="D154" s="15" t="s">
        <v>1069</v>
      </c>
      <c r="E154" s="15" t="s">
        <v>758</v>
      </c>
      <c r="F154" s="15" t="s">
        <v>758</v>
      </c>
      <c r="G154" s="15" t="s">
        <v>758</v>
      </c>
      <c r="H154" s="15" t="s">
        <v>758</v>
      </c>
      <c r="I154" s="15" t="s">
        <v>2895</v>
      </c>
      <c r="J154" s="15" t="s">
        <v>755</v>
      </c>
      <c r="K154" s="15" t="s">
        <v>2895</v>
      </c>
      <c r="L154" s="15" t="s">
        <v>755</v>
      </c>
      <c r="M154" s="15" t="str">
        <f t="shared" si="2"/>
        <v>insert into dbo.LifeInsJobCode (JobCode,JobGrade,JobDescription,JobGroupCode1,JobGroupName1,JobGroupCode2,JobGroupName2,CreateTime,Creator,ModifyTime,Modifier) VALUES ('05020050','1','車站剪票員','','','','',getdate(),'Alvin',getdate(),'Alvin')</v>
      </c>
    </row>
    <row r="155" spans="2:13" ht="13.8">
      <c r="B155" s="15" t="s">
        <v>1070</v>
      </c>
      <c r="C155" s="15">
        <v>1</v>
      </c>
      <c r="D155" s="15" t="s">
        <v>1071</v>
      </c>
      <c r="E155" s="15" t="s">
        <v>758</v>
      </c>
      <c r="F155" s="15" t="s">
        <v>758</v>
      </c>
      <c r="G155" s="15" t="s">
        <v>758</v>
      </c>
      <c r="H155" s="15" t="s">
        <v>758</v>
      </c>
      <c r="I155" s="15" t="s">
        <v>2895</v>
      </c>
      <c r="J155" s="15" t="s">
        <v>755</v>
      </c>
      <c r="K155" s="15" t="s">
        <v>2895</v>
      </c>
      <c r="L155" s="15" t="s">
        <v>755</v>
      </c>
      <c r="M155" s="15" t="str">
        <f t="shared" si="2"/>
        <v>insert into dbo.LifeInsJobCode (JobCode,JobGrade,JobDescription,JobGroupCode1,JobGroupName1,JobGroupCode2,JobGroupName2,CreateTime,Creator,ModifyTime,Modifier) VALUES ('05020060','1','服務臺人員','','','','',getdate(),'Alvin',getdate(),'Alvin')</v>
      </c>
    </row>
    <row r="156" spans="2:13" ht="13.8">
      <c r="B156" s="15" t="s">
        <v>1072</v>
      </c>
      <c r="C156" s="15">
        <v>2</v>
      </c>
      <c r="D156" s="15" t="s">
        <v>1073</v>
      </c>
      <c r="E156" s="15" t="s">
        <v>758</v>
      </c>
      <c r="F156" s="15" t="s">
        <v>758</v>
      </c>
      <c r="G156" s="15" t="s">
        <v>758</v>
      </c>
      <c r="H156" s="15" t="s">
        <v>758</v>
      </c>
      <c r="I156" s="15" t="s">
        <v>2895</v>
      </c>
      <c r="J156" s="15" t="s">
        <v>755</v>
      </c>
      <c r="K156" s="15" t="s">
        <v>2895</v>
      </c>
      <c r="L156" s="15" t="s">
        <v>755</v>
      </c>
      <c r="M156" s="15" t="str">
        <f t="shared" si="2"/>
        <v>insert into dbo.LifeInsJobCode (JobCode,JobGrade,JobDescription,JobGroupCode1,JobGroupName1,JobGroupCode2,JobGroupName2,CreateTime,Creator,ModifyTime,Modifier) VALUES ('05020070','2','月臺工作人員','','','','',getdate(),'Alvin',getdate(),'Alvin')</v>
      </c>
    </row>
    <row r="157" spans="2:13" ht="13.8">
      <c r="B157" s="15" t="s">
        <v>1074</v>
      </c>
      <c r="C157" s="15">
        <v>2</v>
      </c>
      <c r="D157" s="15" t="s">
        <v>1075</v>
      </c>
      <c r="E157" s="15" t="s">
        <v>758</v>
      </c>
      <c r="F157" s="15" t="s">
        <v>758</v>
      </c>
      <c r="G157" s="15" t="s">
        <v>758</v>
      </c>
      <c r="H157" s="15" t="s">
        <v>758</v>
      </c>
      <c r="I157" s="15" t="s">
        <v>2895</v>
      </c>
      <c r="J157" s="15" t="s">
        <v>755</v>
      </c>
      <c r="K157" s="15" t="s">
        <v>2895</v>
      </c>
      <c r="L157" s="15" t="s">
        <v>755</v>
      </c>
      <c r="M157" s="15" t="str">
        <f t="shared" si="2"/>
        <v>insert into dbo.LifeInsJobCode (JobCode,JobGrade,JobDescription,JobGroupCode1,JobGroupName1,JobGroupCode2,JobGroupName2,CreateTime,Creator,ModifyTime,Modifier) VALUES ('05020080','2','行李搬運工人','','','','',getdate(),'Alvin',getdate(),'Alvin')</v>
      </c>
    </row>
    <row r="158" spans="2:13" ht="13.8">
      <c r="B158" s="15" t="s">
        <v>1076</v>
      </c>
      <c r="C158" s="15">
        <v>2</v>
      </c>
      <c r="D158" s="15" t="s">
        <v>1077</v>
      </c>
      <c r="E158" s="15" t="s">
        <v>758</v>
      </c>
      <c r="F158" s="15" t="s">
        <v>758</v>
      </c>
      <c r="G158" s="15" t="s">
        <v>758</v>
      </c>
      <c r="H158" s="15" t="s">
        <v>758</v>
      </c>
      <c r="I158" s="15" t="s">
        <v>2895</v>
      </c>
      <c r="J158" s="15" t="s">
        <v>755</v>
      </c>
      <c r="K158" s="15" t="s">
        <v>2895</v>
      </c>
      <c r="L158" s="15" t="s">
        <v>755</v>
      </c>
      <c r="M158" s="15" t="str">
        <f t="shared" si="2"/>
        <v>insert into dbo.LifeInsJobCode (JobCode,JobGrade,JobDescription,JobGroupCode1,JobGroupName1,JobGroupCode2,JobGroupName2,CreateTime,Creator,ModifyTime,Modifier) VALUES ('05020090','2','車站清潔人員','','','','',getdate(),'Alvin',getdate(),'Alvin')</v>
      </c>
    </row>
    <row r="159" spans="2:13" ht="13.8">
      <c r="B159" s="15" t="s">
        <v>1078</v>
      </c>
      <c r="C159" s="15">
        <v>2</v>
      </c>
      <c r="D159" s="15" t="s">
        <v>3276</v>
      </c>
      <c r="E159" s="15" t="s">
        <v>758</v>
      </c>
      <c r="F159" s="15" t="s">
        <v>758</v>
      </c>
      <c r="G159" s="15" t="s">
        <v>758</v>
      </c>
      <c r="H159" s="15" t="s">
        <v>758</v>
      </c>
      <c r="I159" s="15" t="s">
        <v>2895</v>
      </c>
      <c r="J159" s="15" t="s">
        <v>755</v>
      </c>
      <c r="K159" s="15" t="s">
        <v>2895</v>
      </c>
      <c r="L159" s="15" t="s">
        <v>755</v>
      </c>
      <c r="M159" s="15" t="str">
        <f t="shared" si="2"/>
        <v>insert into dbo.LifeInsJobCode (JobCode,JobGrade,JobDescription,JobGroupCode1,JobGroupName1,JobGroupCode2,JobGroupName2,CreateTime,Creator,ModifyTime,Modifier) VALUES ('05020100','2','隨車人員(技術人員除外)','','','','',getdate(),'Alvin',getdate(),'Alvin')</v>
      </c>
    </row>
    <row r="160" spans="2:13" ht="13.8">
      <c r="B160" s="15" t="s">
        <v>1079</v>
      </c>
      <c r="C160" s="15">
        <v>3</v>
      </c>
      <c r="D160" s="15" t="s">
        <v>1080</v>
      </c>
      <c r="E160" s="15" t="s">
        <v>758</v>
      </c>
      <c r="F160" s="15" t="s">
        <v>758</v>
      </c>
      <c r="G160" s="15" t="s">
        <v>758</v>
      </c>
      <c r="H160" s="15" t="s">
        <v>758</v>
      </c>
      <c r="I160" s="15" t="s">
        <v>2895</v>
      </c>
      <c r="J160" s="15" t="s">
        <v>755</v>
      </c>
      <c r="K160" s="15" t="s">
        <v>2895</v>
      </c>
      <c r="L160" s="15" t="s">
        <v>755</v>
      </c>
      <c r="M160" s="15" t="str">
        <f t="shared" si="2"/>
        <v>insert into dbo.LifeInsJobCode (JobCode,JobGrade,JobDescription,JobGroupCode1,JobGroupName1,JobGroupCode2,JobGroupName2,CreateTime,Creator,ModifyTime,Modifier) VALUES ('05020110','3','駕駛員','','','','',getdate(),'Alvin',getdate(),'Alvin')</v>
      </c>
    </row>
    <row r="161" spans="2:13" ht="13.8">
      <c r="B161" s="15" t="s">
        <v>1081</v>
      </c>
      <c r="C161" s="15">
        <v>3</v>
      </c>
      <c r="D161" s="15" t="s">
        <v>1082</v>
      </c>
      <c r="E161" s="15" t="s">
        <v>758</v>
      </c>
      <c r="F161" s="15" t="s">
        <v>758</v>
      </c>
      <c r="G161" s="15" t="s">
        <v>758</v>
      </c>
      <c r="H161" s="15" t="s">
        <v>758</v>
      </c>
      <c r="I161" s="15" t="s">
        <v>2895</v>
      </c>
      <c r="J161" s="15" t="s">
        <v>755</v>
      </c>
      <c r="K161" s="15" t="s">
        <v>2895</v>
      </c>
      <c r="L161" s="15" t="s">
        <v>755</v>
      </c>
      <c r="M161" s="15" t="str">
        <f t="shared" si="2"/>
        <v>insert into dbo.LifeInsJobCode (JobCode,JobGrade,JobDescription,JobGroupCode1,JobGroupName1,JobGroupCode2,JobGroupName2,CreateTime,Creator,ModifyTime,Modifier) VALUES ('05020120','3','燃料填充員','','','','',getdate(),'Alvin',getdate(),'Alvin')</v>
      </c>
    </row>
    <row r="162" spans="2:13" ht="13.8">
      <c r="B162" s="15" t="s">
        <v>1083</v>
      </c>
      <c r="C162" s="15">
        <v>4</v>
      </c>
      <c r="D162" s="15" t="s">
        <v>1084</v>
      </c>
      <c r="E162" s="15" t="s">
        <v>758</v>
      </c>
      <c r="F162" s="15" t="s">
        <v>758</v>
      </c>
      <c r="G162" s="15" t="s">
        <v>758</v>
      </c>
      <c r="H162" s="15" t="s">
        <v>758</v>
      </c>
      <c r="I162" s="15" t="s">
        <v>2895</v>
      </c>
      <c r="J162" s="15" t="s">
        <v>755</v>
      </c>
      <c r="K162" s="15" t="s">
        <v>2895</v>
      </c>
      <c r="L162" s="15" t="s">
        <v>755</v>
      </c>
      <c r="M162" s="15" t="str">
        <f t="shared" si="2"/>
        <v>insert into dbo.LifeInsJobCode (JobCode,JobGrade,JobDescription,JobGroupCode1,JobGroupName1,JobGroupCode2,JobGroupName2,CreateTime,Creator,ModifyTime,Modifier) VALUES ('05020130','4','機工','','','','',getdate(),'Alvin',getdate(),'Alvin')</v>
      </c>
    </row>
    <row r="163" spans="2:13" ht="13.8">
      <c r="B163" s="15" t="s">
        <v>1085</v>
      </c>
      <c r="C163" s="15">
        <v>4</v>
      </c>
      <c r="D163" s="15" t="s">
        <v>1086</v>
      </c>
      <c r="E163" s="15" t="s">
        <v>758</v>
      </c>
      <c r="F163" s="15" t="s">
        <v>758</v>
      </c>
      <c r="G163" s="15" t="s">
        <v>758</v>
      </c>
      <c r="H163" s="15" t="s">
        <v>758</v>
      </c>
      <c r="I163" s="15" t="s">
        <v>2895</v>
      </c>
      <c r="J163" s="15" t="s">
        <v>755</v>
      </c>
      <c r="K163" s="15" t="s">
        <v>2895</v>
      </c>
      <c r="L163" s="15" t="s">
        <v>755</v>
      </c>
      <c r="M163" s="15" t="str">
        <f t="shared" si="2"/>
        <v>insert into dbo.LifeInsJobCode (JobCode,JobGrade,JobDescription,JobGroupCode1,JobGroupName1,JobGroupCode2,JobGroupName2,CreateTime,Creator,ModifyTime,Modifier) VALUES ('05020140','4','電工','','','','',getdate(),'Alvin',getdate(),'Alvin')</v>
      </c>
    </row>
    <row r="164" spans="2:13" ht="13.8">
      <c r="B164" s="15" t="s">
        <v>1087</v>
      </c>
      <c r="C164" s="15">
        <v>1</v>
      </c>
      <c r="D164" s="15" t="s">
        <v>1088</v>
      </c>
      <c r="E164" s="15" t="s">
        <v>758</v>
      </c>
      <c r="F164" s="15" t="s">
        <v>758</v>
      </c>
      <c r="G164" s="15" t="s">
        <v>758</v>
      </c>
      <c r="H164" s="15" t="s">
        <v>758</v>
      </c>
      <c r="I164" s="15" t="s">
        <v>2895</v>
      </c>
      <c r="J164" s="15" t="s">
        <v>755</v>
      </c>
      <c r="K164" s="15" t="s">
        <v>2895</v>
      </c>
      <c r="L164" s="15" t="s">
        <v>755</v>
      </c>
      <c r="M164" s="15" t="str">
        <f t="shared" si="2"/>
        <v>insert into dbo.LifeInsJobCode (JobCode,JobGrade,JobDescription,JobGroupCode1,JobGroupName1,JobGroupCode2,JobGroupName2,CreateTime,Creator,ModifyTime,Modifier) VALUES ('05020150','1','修護廠廠長','','','','',getdate(),'Alvin',getdate(),'Alvin')</v>
      </c>
    </row>
    <row r="165" spans="2:13" ht="13.8">
      <c r="B165" s="15" t="s">
        <v>1089</v>
      </c>
      <c r="C165" s="15">
        <v>1</v>
      </c>
      <c r="D165" s="15" t="s">
        <v>1090</v>
      </c>
      <c r="E165" s="15" t="s">
        <v>758</v>
      </c>
      <c r="F165" s="15" t="s">
        <v>758</v>
      </c>
      <c r="G165" s="15" t="s">
        <v>758</v>
      </c>
      <c r="H165" s="15" t="s">
        <v>758</v>
      </c>
      <c r="I165" s="15" t="s">
        <v>2895</v>
      </c>
      <c r="J165" s="15" t="s">
        <v>755</v>
      </c>
      <c r="K165" s="15" t="s">
        <v>2895</v>
      </c>
      <c r="L165" s="15" t="s">
        <v>755</v>
      </c>
      <c r="M165" s="15" t="str">
        <f t="shared" si="2"/>
        <v>insert into dbo.LifeInsJobCode (JobCode,JobGrade,JobDescription,JobGroupCode1,JobGroupName1,JobGroupCode2,JobGroupName2,CreateTime,Creator,ModifyTime,Modifier) VALUES ('05020160','1','修護廠一般內勤人員','','','','',getdate(),'Alvin',getdate(),'Alvin')</v>
      </c>
    </row>
    <row r="166" spans="2:13" ht="13.8">
      <c r="B166" s="15" t="s">
        <v>1091</v>
      </c>
      <c r="C166" s="15">
        <v>2</v>
      </c>
      <c r="D166" s="15" t="s">
        <v>1092</v>
      </c>
      <c r="E166" s="15" t="s">
        <v>758</v>
      </c>
      <c r="F166" s="15" t="s">
        <v>758</v>
      </c>
      <c r="G166" s="15" t="s">
        <v>758</v>
      </c>
      <c r="H166" s="15" t="s">
        <v>758</v>
      </c>
      <c r="I166" s="15" t="s">
        <v>2895</v>
      </c>
      <c r="J166" s="15" t="s">
        <v>755</v>
      </c>
      <c r="K166" s="15" t="s">
        <v>2895</v>
      </c>
      <c r="L166" s="15" t="s">
        <v>755</v>
      </c>
      <c r="M166" s="15" t="str">
        <f t="shared" si="2"/>
        <v>insert into dbo.LifeInsJobCode (JobCode,JobGrade,JobDescription,JobGroupCode1,JobGroupName1,JobGroupCode2,JobGroupName2,CreateTime,Creator,ModifyTime,Modifier) VALUES ('05020170','2','修護廠工程師','','','','',getdate(),'Alvin',getdate(),'Alvin')</v>
      </c>
    </row>
    <row r="167" spans="2:13" ht="13.8">
      <c r="B167" s="15" t="s">
        <v>1093</v>
      </c>
      <c r="C167" s="15">
        <v>3</v>
      </c>
      <c r="D167" s="15" t="s">
        <v>1094</v>
      </c>
      <c r="E167" s="15" t="s">
        <v>758</v>
      </c>
      <c r="F167" s="15" t="s">
        <v>758</v>
      </c>
      <c r="G167" s="15" t="s">
        <v>758</v>
      </c>
      <c r="H167" s="15" t="s">
        <v>758</v>
      </c>
      <c r="I167" s="15" t="s">
        <v>2895</v>
      </c>
      <c r="J167" s="15" t="s">
        <v>755</v>
      </c>
      <c r="K167" s="15" t="s">
        <v>2895</v>
      </c>
      <c r="L167" s="15" t="s">
        <v>755</v>
      </c>
      <c r="M167" s="15" t="str">
        <f t="shared" si="2"/>
        <v>insert into dbo.LifeInsJobCode (JobCode,JobGrade,JobDescription,JobGroupCode1,JobGroupName1,JobGroupCode2,JobGroupName2,CreateTime,Creator,ModifyTime,Modifier) VALUES ('05020180','3','修護廠技工','','','','',getdate(),'Alvin',getdate(),'Alvin')</v>
      </c>
    </row>
    <row r="168" spans="2:13" ht="13.8">
      <c r="B168" s="15" t="s">
        <v>1095</v>
      </c>
      <c r="C168" s="15">
        <v>4</v>
      </c>
      <c r="D168" s="15" t="s">
        <v>1096</v>
      </c>
      <c r="E168" s="15" t="s">
        <v>758</v>
      </c>
      <c r="F168" s="15" t="s">
        <v>758</v>
      </c>
      <c r="G168" s="15" t="s">
        <v>758</v>
      </c>
      <c r="H168" s="15" t="s">
        <v>758</v>
      </c>
      <c r="I168" s="15" t="s">
        <v>2895</v>
      </c>
      <c r="J168" s="15" t="s">
        <v>755</v>
      </c>
      <c r="K168" s="15" t="s">
        <v>2895</v>
      </c>
      <c r="L168" s="15" t="s">
        <v>755</v>
      </c>
      <c r="M168" s="15" t="str">
        <f t="shared" si="2"/>
        <v>insert into dbo.LifeInsJobCode (JobCode,JobGrade,JobDescription,JobGroupCode1,JobGroupName1,JobGroupCode2,JobGroupName2,CreateTime,Creator,ModifyTime,Modifier) VALUES ('05020190','4','修路工','','','','',getdate(),'Alvin',getdate(),'Alvin')</v>
      </c>
    </row>
    <row r="169" spans="2:13" ht="13.8">
      <c r="B169" s="15" t="s">
        <v>1097</v>
      </c>
      <c r="C169" s="15">
        <v>4</v>
      </c>
      <c r="D169" s="15" t="s">
        <v>1098</v>
      </c>
      <c r="E169" s="15" t="s">
        <v>758</v>
      </c>
      <c r="F169" s="15" t="s">
        <v>758</v>
      </c>
      <c r="G169" s="15" t="s">
        <v>758</v>
      </c>
      <c r="H169" s="15" t="s">
        <v>758</v>
      </c>
      <c r="I169" s="15" t="s">
        <v>2895</v>
      </c>
      <c r="J169" s="15" t="s">
        <v>755</v>
      </c>
      <c r="K169" s="15" t="s">
        <v>2895</v>
      </c>
      <c r="L169" s="15" t="s">
        <v>755</v>
      </c>
      <c r="M169" s="15" t="str">
        <f t="shared" si="2"/>
        <v>insert into dbo.LifeInsJobCode (JobCode,JobGrade,JobDescription,JobGroupCode1,JobGroupName1,JobGroupCode2,JobGroupName2,CreateTime,Creator,ModifyTime,Modifier) VALUES ('05020200','4','維護工','','','','',getdate(),'Alvin',getdate(),'Alvin')</v>
      </c>
    </row>
    <row r="170" spans="2:13" ht="13.8">
      <c r="B170" s="15" t="s">
        <v>1099</v>
      </c>
      <c r="C170" s="15">
        <v>2</v>
      </c>
      <c r="D170" s="15" t="s">
        <v>1100</v>
      </c>
      <c r="E170" s="15" t="s">
        <v>758</v>
      </c>
      <c r="F170" s="15" t="s">
        <v>758</v>
      </c>
      <c r="G170" s="15" t="s">
        <v>758</v>
      </c>
      <c r="H170" s="15" t="s">
        <v>758</v>
      </c>
      <c r="I170" s="15" t="s">
        <v>2895</v>
      </c>
      <c r="J170" s="15" t="s">
        <v>755</v>
      </c>
      <c r="K170" s="15" t="s">
        <v>2895</v>
      </c>
      <c r="L170" s="15" t="s">
        <v>755</v>
      </c>
      <c r="M170" s="15" t="str">
        <f t="shared" si="2"/>
        <v>insert into dbo.LifeInsJobCode (JobCode,JobGrade,JobDescription,JobGroupCode1,JobGroupName1,JobGroupCode2,JobGroupName2,CreateTime,Creator,ModifyTime,Modifier) VALUES ('05020210','2','平交道看守人員','','','','',getdate(),'Alvin',getdate(),'Alvin')</v>
      </c>
    </row>
    <row r="171" spans="2:13" ht="13.8">
      <c r="B171" s="15" t="s">
        <v>1101</v>
      </c>
      <c r="C171" s="15">
        <v>3</v>
      </c>
      <c r="D171" s="15" t="s">
        <v>1102</v>
      </c>
      <c r="E171" s="15" t="s">
        <v>758</v>
      </c>
      <c r="F171" s="15" t="s">
        <v>758</v>
      </c>
      <c r="G171" s="15" t="s">
        <v>758</v>
      </c>
      <c r="H171" s="15" t="s">
        <v>758</v>
      </c>
      <c r="I171" s="15" t="s">
        <v>2895</v>
      </c>
      <c r="J171" s="15" t="s">
        <v>755</v>
      </c>
      <c r="K171" s="15" t="s">
        <v>2895</v>
      </c>
      <c r="L171" s="15" t="s">
        <v>755</v>
      </c>
      <c r="M171" s="15" t="str">
        <f t="shared" si="2"/>
        <v>insert into dbo.LifeInsJobCode (JobCode,JobGrade,JobDescription,JobGroupCode1,JobGroupName1,JobGroupCode2,JobGroupName2,CreateTime,Creator,ModifyTime,Modifier) VALUES ('05020220','3','貨運：領班','','','','',getdate(),'Alvin',getdate(),'Alvin')</v>
      </c>
    </row>
    <row r="172" spans="2:13" ht="13.8">
      <c r="B172" s="15" t="s">
        <v>1103</v>
      </c>
      <c r="C172" s="15">
        <v>4</v>
      </c>
      <c r="D172" s="15" t="s">
        <v>1104</v>
      </c>
      <c r="E172" s="15" t="s">
        <v>758</v>
      </c>
      <c r="F172" s="15" t="s">
        <v>758</v>
      </c>
      <c r="G172" s="15" t="s">
        <v>758</v>
      </c>
      <c r="H172" s="15" t="s">
        <v>758</v>
      </c>
      <c r="I172" s="15" t="s">
        <v>2895</v>
      </c>
      <c r="J172" s="15" t="s">
        <v>755</v>
      </c>
      <c r="K172" s="15" t="s">
        <v>2895</v>
      </c>
      <c r="L172" s="15" t="s">
        <v>755</v>
      </c>
      <c r="M172" s="15" t="str">
        <f t="shared" si="2"/>
        <v>insert into dbo.LifeInsJobCode (JobCode,JobGrade,JobDescription,JobGroupCode1,JobGroupName1,JobGroupCode2,JobGroupName2,CreateTime,Creator,ModifyTime,Modifier) VALUES ('05020230','4','貨運：搬運工人','','','','',getdate(),'Alvin',getdate(),'Alvin')</v>
      </c>
    </row>
    <row r="173" spans="2:13" ht="13.8">
      <c r="B173" s="15" t="s">
        <v>1105</v>
      </c>
      <c r="C173" s="15">
        <v>4</v>
      </c>
      <c r="D173" s="15" t="s">
        <v>1106</v>
      </c>
      <c r="E173" s="15" t="s">
        <v>758</v>
      </c>
      <c r="F173" s="15" t="s">
        <v>758</v>
      </c>
      <c r="G173" s="15" t="s">
        <v>758</v>
      </c>
      <c r="H173" s="15" t="s">
        <v>758</v>
      </c>
      <c r="I173" s="15" t="s">
        <v>2895</v>
      </c>
      <c r="J173" s="15" t="s">
        <v>755</v>
      </c>
      <c r="K173" s="15" t="s">
        <v>2895</v>
      </c>
      <c r="L173" s="15" t="s">
        <v>755</v>
      </c>
      <c r="M173" s="15" t="str">
        <f t="shared" si="2"/>
        <v>insert into dbo.LifeInsJobCode (JobCode,JobGrade,JobDescription,JobGroupCode1,JobGroupName1,JobGroupCode2,JobGroupName2,CreateTime,Creator,ModifyTime,Modifier) VALUES ('05020240','4','巡查人員','','','','',getdate(),'Alvin',getdate(),'Alvin')</v>
      </c>
    </row>
    <row r="174" spans="2:13" ht="13.8">
      <c r="B174" s="15" t="s">
        <v>1107</v>
      </c>
      <c r="C174" s="15">
        <v>7</v>
      </c>
      <c r="D174" s="15" t="s">
        <v>1108</v>
      </c>
      <c r="E174" s="15" t="s">
        <v>758</v>
      </c>
      <c r="F174" s="15" t="s">
        <v>758</v>
      </c>
      <c r="G174" s="15" t="s">
        <v>1109</v>
      </c>
      <c r="H174" s="15" t="s">
        <v>1110</v>
      </c>
      <c r="I174" s="15" t="s">
        <v>2895</v>
      </c>
      <c r="J174" s="15" t="s">
        <v>755</v>
      </c>
      <c r="K174" s="15" t="s">
        <v>2895</v>
      </c>
      <c r="L174" s="15" t="s">
        <v>755</v>
      </c>
      <c r="M174" s="15" t="str">
        <f t="shared" si="2"/>
        <v>insert into dbo.LifeInsJobCode (JobCode,JobGrade,JobDescription,JobGroupCode1,JobGroupName1,JobGroupCode2,JobGroupName2,CreateTime,Creator,ModifyTime,Modifier) VALUES ('05030010','7','A-客貨輪：船長','','','0503','航運',getdate(),'Alvin',getdate(),'Alvin')</v>
      </c>
    </row>
    <row r="175" spans="2:13" ht="13.8">
      <c r="B175" s="15" t="s">
        <v>1111</v>
      </c>
      <c r="C175" s="15">
        <v>7</v>
      </c>
      <c r="D175" s="15" t="s">
        <v>1112</v>
      </c>
      <c r="E175" s="15" t="s">
        <v>758</v>
      </c>
      <c r="F175" s="15" t="s">
        <v>758</v>
      </c>
      <c r="G175" s="15" t="s">
        <v>758</v>
      </c>
      <c r="H175" s="15" t="s">
        <v>758</v>
      </c>
      <c r="I175" s="15" t="s">
        <v>2895</v>
      </c>
      <c r="J175" s="15" t="s">
        <v>755</v>
      </c>
      <c r="K175" s="15" t="s">
        <v>2895</v>
      </c>
      <c r="L175" s="15" t="s">
        <v>755</v>
      </c>
      <c r="M175" s="15" t="str">
        <f t="shared" si="2"/>
        <v>insert into dbo.LifeInsJobCode (JobCode,JobGrade,JobDescription,JobGroupCode1,JobGroupName1,JobGroupCode2,JobGroupName2,CreateTime,Creator,ModifyTime,Modifier) VALUES ('05030020','7','A-客貨輪：輪機長','','','','',getdate(),'Alvin',getdate(),'Alvin')</v>
      </c>
    </row>
    <row r="176" spans="2:13" ht="13.8">
      <c r="B176" s="15" t="s">
        <v>1113</v>
      </c>
      <c r="C176" s="15">
        <v>7</v>
      </c>
      <c r="D176" s="15" t="s">
        <v>1114</v>
      </c>
      <c r="E176" s="15" t="s">
        <v>758</v>
      </c>
      <c r="F176" s="15" t="s">
        <v>758</v>
      </c>
      <c r="G176" s="15" t="s">
        <v>758</v>
      </c>
      <c r="H176" s="15" t="s">
        <v>758</v>
      </c>
      <c r="I176" s="15" t="s">
        <v>2895</v>
      </c>
      <c r="J176" s="15" t="s">
        <v>755</v>
      </c>
      <c r="K176" s="15" t="s">
        <v>2895</v>
      </c>
      <c r="L176" s="15" t="s">
        <v>755</v>
      </c>
      <c r="M176" s="15" t="str">
        <f t="shared" si="2"/>
        <v>insert into dbo.LifeInsJobCode (JobCode,JobGrade,JobDescription,JobGroupCode1,JobGroupName1,JobGroupCode2,JobGroupName2,CreateTime,Creator,ModifyTime,Modifier) VALUES ('05030030','7','高級船員：大副','','','','',getdate(),'Alvin',getdate(),'Alvin')</v>
      </c>
    </row>
    <row r="177" spans="2:13" ht="13.8">
      <c r="B177" s="15" t="s">
        <v>1115</v>
      </c>
      <c r="C177" s="15">
        <v>7</v>
      </c>
      <c r="D177" s="15" t="s">
        <v>1116</v>
      </c>
      <c r="E177" s="15" t="s">
        <v>758</v>
      </c>
      <c r="F177" s="15" t="s">
        <v>758</v>
      </c>
      <c r="G177" s="15" t="s">
        <v>758</v>
      </c>
      <c r="H177" s="15" t="s">
        <v>758</v>
      </c>
      <c r="I177" s="15" t="s">
        <v>2895</v>
      </c>
      <c r="J177" s="15" t="s">
        <v>755</v>
      </c>
      <c r="K177" s="15" t="s">
        <v>2895</v>
      </c>
      <c r="L177" s="15" t="s">
        <v>755</v>
      </c>
      <c r="M177" s="15" t="str">
        <f t="shared" si="2"/>
        <v>insert into dbo.LifeInsJobCode (JobCode,JobGrade,JobDescription,JobGroupCode1,JobGroupName1,JobGroupCode2,JobGroupName2,CreateTime,Creator,ModifyTime,Modifier) VALUES ('05030040','7','高級船員：二副','','','','',getdate(),'Alvin',getdate(),'Alvin')</v>
      </c>
    </row>
    <row r="178" spans="2:13" ht="13.8">
      <c r="B178" s="15" t="s">
        <v>1117</v>
      </c>
      <c r="C178" s="15">
        <v>7</v>
      </c>
      <c r="D178" s="15" t="s">
        <v>1118</v>
      </c>
      <c r="E178" s="15" t="s">
        <v>758</v>
      </c>
      <c r="F178" s="15" t="s">
        <v>758</v>
      </c>
      <c r="G178" s="15" t="s">
        <v>758</v>
      </c>
      <c r="H178" s="15" t="s">
        <v>758</v>
      </c>
      <c r="I178" s="15" t="s">
        <v>2895</v>
      </c>
      <c r="J178" s="15" t="s">
        <v>755</v>
      </c>
      <c r="K178" s="15" t="s">
        <v>2895</v>
      </c>
      <c r="L178" s="15" t="s">
        <v>755</v>
      </c>
      <c r="M178" s="15" t="str">
        <f t="shared" si="2"/>
        <v>insert into dbo.LifeInsJobCode (JobCode,JobGrade,JobDescription,JobGroupCode1,JobGroupName1,JobGroupCode2,JobGroupName2,CreateTime,Creator,ModifyTime,Modifier) VALUES ('05030050','7','高級船員：三副','','','','',getdate(),'Alvin',getdate(),'Alvin')</v>
      </c>
    </row>
    <row r="179" spans="2:13" ht="13.8">
      <c r="B179" s="15" t="s">
        <v>1119</v>
      </c>
      <c r="C179" s="15">
        <v>7</v>
      </c>
      <c r="D179" s="15" t="s">
        <v>1120</v>
      </c>
      <c r="E179" s="15" t="s">
        <v>758</v>
      </c>
      <c r="F179" s="15" t="s">
        <v>758</v>
      </c>
      <c r="G179" s="15" t="s">
        <v>758</v>
      </c>
      <c r="H179" s="15" t="s">
        <v>758</v>
      </c>
      <c r="I179" s="15" t="s">
        <v>2895</v>
      </c>
      <c r="J179" s="15" t="s">
        <v>755</v>
      </c>
      <c r="K179" s="15" t="s">
        <v>2895</v>
      </c>
      <c r="L179" s="15" t="s">
        <v>755</v>
      </c>
      <c r="M179" s="15" t="str">
        <f t="shared" si="2"/>
        <v>insert into dbo.LifeInsJobCode (JobCode,JobGrade,JobDescription,JobGroupCode1,JobGroupName1,JobGroupCode2,JobGroupName2,CreateTime,Creator,ModifyTime,Modifier) VALUES ('05030060','7','高級船員：大管輪','','','','',getdate(),'Alvin',getdate(),'Alvin')</v>
      </c>
    </row>
    <row r="180" spans="2:13" ht="13.8">
      <c r="B180" s="15" t="s">
        <v>1121</v>
      </c>
      <c r="C180" s="15">
        <v>7</v>
      </c>
      <c r="D180" s="15" t="s">
        <v>1122</v>
      </c>
      <c r="E180" s="15" t="s">
        <v>758</v>
      </c>
      <c r="F180" s="15" t="s">
        <v>758</v>
      </c>
      <c r="G180" s="15" t="s">
        <v>758</v>
      </c>
      <c r="H180" s="15" t="s">
        <v>758</v>
      </c>
      <c r="I180" s="15" t="s">
        <v>2895</v>
      </c>
      <c r="J180" s="15" t="s">
        <v>755</v>
      </c>
      <c r="K180" s="15" t="s">
        <v>2895</v>
      </c>
      <c r="L180" s="15" t="s">
        <v>755</v>
      </c>
      <c r="M180" s="15" t="str">
        <f t="shared" si="2"/>
        <v>insert into dbo.LifeInsJobCode (JobCode,JobGrade,JobDescription,JobGroupCode1,JobGroupName1,JobGroupCode2,JobGroupName2,CreateTime,Creator,ModifyTime,Modifier) VALUES ('05030070','7','高級船員：二管輪','','','','',getdate(),'Alvin',getdate(),'Alvin')</v>
      </c>
    </row>
    <row r="181" spans="2:13" ht="13.8">
      <c r="B181" s="15" t="s">
        <v>1123</v>
      </c>
      <c r="C181" s="15">
        <v>7</v>
      </c>
      <c r="D181" s="15" t="s">
        <v>1124</v>
      </c>
      <c r="E181" s="15" t="s">
        <v>758</v>
      </c>
      <c r="F181" s="15" t="s">
        <v>758</v>
      </c>
      <c r="G181" s="15" t="s">
        <v>758</v>
      </c>
      <c r="H181" s="15" t="s">
        <v>758</v>
      </c>
      <c r="I181" s="15" t="s">
        <v>2895</v>
      </c>
      <c r="J181" s="15" t="s">
        <v>755</v>
      </c>
      <c r="K181" s="15" t="s">
        <v>2895</v>
      </c>
      <c r="L181" s="15" t="s">
        <v>755</v>
      </c>
      <c r="M181" s="15" t="str">
        <f t="shared" si="2"/>
        <v>insert into dbo.LifeInsJobCode (JobCode,JobGrade,JobDescription,JobGroupCode1,JobGroupName1,JobGroupCode2,JobGroupName2,CreateTime,Creator,ModifyTime,Modifier) VALUES ('05030080','7','高級船員：三管輪','','','','',getdate(),'Alvin',getdate(),'Alvin')</v>
      </c>
    </row>
    <row r="182" spans="2:13" ht="13.8">
      <c r="B182" s="15" t="s">
        <v>1125</v>
      </c>
      <c r="C182" s="15">
        <v>7</v>
      </c>
      <c r="D182" s="15" t="s">
        <v>1126</v>
      </c>
      <c r="E182" s="15" t="s">
        <v>758</v>
      </c>
      <c r="F182" s="15" t="s">
        <v>758</v>
      </c>
      <c r="G182" s="15" t="s">
        <v>758</v>
      </c>
      <c r="H182" s="15" t="s">
        <v>758</v>
      </c>
      <c r="I182" s="15" t="s">
        <v>2895</v>
      </c>
      <c r="J182" s="15" t="s">
        <v>755</v>
      </c>
      <c r="K182" s="15" t="s">
        <v>2895</v>
      </c>
      <c r="L182" s="15" t="s">
        <v>755</v>
      </c>
      <c r="M182" s="15" t="str">
        <f t="shared" si="2"/>
        <v>insert into dbo.LifeInsJobCode (JobCode,JobGrade,JobDescription,JobGroupCode1,JobGroupName1,JobGroupCode2,JobGroupName2,CreateTime,Creator,ModifyTime,Modifier) VALUES ('05030090','7','高級船員：報務員','','','','',getdate(),'Alvin',getdate(),'Alvin')</v>
      </c>
    </row>
    <row r="183" spans="2:13" ht="13.8">
      <c r="B183" s="15" t="s">
        <v>1127</v>
      </c>
      <c r="C183" s="15">
        <v>7</v>
      </c>
      <c r="D183" s="15" t="s">
        <v>1128</v>
      </c>
      <c r="E183" s="15" t="s">
        <v>758</v>
      </c>
      <c r="F183" s="15" t="s">
        <v>758</v>
      </c>
      <c r="G183" s="15" t="s">
        <v>758</v>
      </c>
      <c r="H183" s="15" t="s">
        <v>758</v>
      </c>
      <c r="I183" s="15" t="s">
        <v>2895</v>
      </c>
      <c r="J183" s="15" t="s">
        <v>755</v>
      </c>
      <c r="K183" s="15" t="s">
        <v>2895</v>
      </c>
      <c r="L183" s="15" t="s">
        <v>755</v>
      </c>
      <c r="M183" s="15" t="str">
        <f t="shared" si="2"/>
        <v>insert into dbo.LifeInsJobCode (JobCode,JobGrade,JobDescription,JobGroupCode1,JobGroupName1,JobGroupCode2,JobGroupName2,CreateTime,Creator,ModifyTime,Modifier) VALUES ('05030100','7','高級船員：事務長','','','','',getdate(),'Alvin',getdate(),'Alvin')</v>
      </c>
    </row>
    <row r="184" spans="2:13" ht="13.8">
      <c r="B184" s="15" t="s">
        <v>1129</v>
      </c>
      <c r="C184" s="15">
        <v>7</v>
      </c>
      <c r="D184" s="15" t="s">
        <v>1130</v>
      </c>
      <c r="E184" s="15" t="s">
        <v>758</v>
      </c>
      <c r="F184" s="15" t="s">
        <v>758</v>
      </c>
      <c r="G184" s="15" t="s">
        <v>758</v>
      </c>
      <c r="H184" s="15" t="s">
        <v>758</v>
      </c>
      <c r="I184" s="15" t="s">
        <v>2895</v>
      </c>
      <c r="J184" s="15" t="s">
        <v>755</v>
      </c>
      <c r="K184" s="15" t="s">
        <v>2895</v>
      </c>
      <c r="L184" s="15" t="s">
        <v>755</v>
      </c>
      <c r="M184" s="15" t="str">
        <f t="shared" si="2"/>
        <v>insert into dbo.LifeInsJobCode (JobCode,JobGrade,JobDescription,JobGroupCode1,JobGroupName1,JobGroupCode2,JobGroupName2,CreateTime,Creator,ModifyTime,Modifier) VALUES ('05030110','7','高級船員：醫務人員','','','','',getdate(),'Alvin',getdate(),'Alvin')</v>
      </c>
    </row>
    <row r="185" spans="2:13" ht="13.8">
      <c r="B185" s="15" t="s">
        <v>1131</v>
      </c>
      <c r="C185" s="15">
        <v>7</v>
      </c>
      <c r="D185" s="15" t="s">
        <v>1132</v>
      </c>
      <c r="E185" s="15" t="s">
        <v>758</v>
      </c>
      <c r="F185" s="15" t="s">
        <v>758</v>
      </c>
      <c r="G185" s="15" t="s">
        <v>758</v>
      </c>
      <c r="H185" s="15" t="s">
        <v>758</v>
      </c>
      <c r="I185" s="15" t="s">
        <v>2895</v>
      </c>
      <c r="J185" s="15" t="s">
        <v>755</v>
      </c>
      <c r="K185" s="15" t="s">
        <v>2895</v>
      </c>
      <c r="L185" s="15" t="s">
        <v>755</v>
      </c>
      <c r="M185" s="15" t="str">
        <f t="shared" si="2"/>
        <v>insert into dbo.LifeInsJobCode (JobCode,JobGrade,JobDescription,JobGroupCode1,JobGroupName1,JobGroupCode2,JobGroupName2,CreateTime,Creator,ModifyTime,Modifier) VALUES ('05030120','7','一般船員：水手長','','','','',getdate(),'Alvin',getdate(),'Alvin')</v>
      </c>
    </row>
    <row r="186" spans="2:13" ht="13.8">
      <c r="B186" s="15" t="s">
        <v>1133</v>
      </c>
      <c r="C186" s="15">
        <v>7</v>
      </c>
      <c r="D186" s="15" t="s">
        <v>1134</v>
      </c>
      <c r="E186" s="15" t="s">
        <v>758</v>
      </c>
      <c r="F186" s="15" t="s">
        <v>758</v>
      </c>
      <c r="G186" s="15" t="s">
        <v>758</v>
      </c>
      <c r="H186" s="15" t="s">
        <v>758</v>
      </c>
      <c r="I186" s="15" t="s">
        <v>2895</v>
      </c>
      <c r="J186" s="15" t="s">
        <v>755</v>
      </c>
      <c r="K186" s="15" t="s">
        <v>2895</v>
      </c>
      <c r="L186" s="15" t="s">
        <v>755</v>
      </c>
      <c r="M186" s="15" t="str">
        <f t="shared" si="2"/>
        <v>insert into dbo.LifeInsJobCode (JobCode,JobGrade,JobDescription,JobGroupCode1,JobGroupName1,JobGroupCode2,JobGroupName2,CreateTime,Creator,ModifyTime,Modifier) VALUES ('05030130','7','一般船員：水手','','','','',getdate(),'Alvin',getdate(),'Alvin')</v>
      </c>
    </row>
    <row r="187" spans="2:13" ht="13.8">
      <c r="B187" s="15" t="s">
        <v>1135</v>
      </c>
      <c r="C187" s="15">
        <v>7</v>
      </c>
      <c r="D187" s="15" t="s">
        <v>1136</v>
      </c>
      <c r="E187" s="15" t="s">
        <v>758</v>
      </c>
      <c r="F187" s="15" t="s">
        <v>758</v>
      </c>
      <c r="G187" s="15" t="s">
        <v>758</v>
      </c>
      <c r="H187" s="15" t="s">
        <v>758</v>
      </c>
      <c r="I187" s="15" t="s">
        <v>2895</v>
      </c>
      <c r="J187" s="15" t="s">
        <v>755</v>
      </c>
      <c r="K187" s="15" t="s">
        <v>2895</v>
      </c>
      <c r="L187" s="15" t="s">
        <v>755</v>
      </c>
      <c r="M187" s="15" t="str">
        <f t="shared" si="2"/>
        <v>insert into dbo.LifeInsJobCode (JobCode,JobGrade,JobDescription,JobGroupCode1,JobGroupName1,JobGroupCode2,JobGroupName2,CreateTime,Creator,ModifyTime,Modifier) VALUES ('05030140','7','一般船員：銅匠','','','','',getdate(),'Alvin',getdate(),'Alvin')</v>
      </c>
    </row>
    <row r="188" spans="2:13" ht="13.8">
      <c r="B188" s="15" t="s">
        <v>1137</v>
      </c>
      <c r="C188" s="15">
        <v>7</v>
      </c>
      <c r="D188" s="15" t="s">
        <v>1138</v>
      </c>
      <c r="E188" s="15" t="s">
        <v>758</v>
      </c>
      <c r="F188" s="15" t="s">
        <v>758</v>
      </c>
      <c r="G188" s="15" t="s">
        <v>758</v>
      </c>
      <c r="H188" s="15" t="s">
        <v>758</v>
      </c>
      <c r="I188" s="15" t="s">
        <v>2895</v>
      </c>
      <c r="J188" s="15" t="s">
        <v>755</v>
      </c>
      <c r="K188" s="15" t="s">
        <v>2895</v>
      </c>
      <c r="L188" s="15" t="s">
        <v>755</v>
      </c>
      <c r="M188" s="15" t="str">
        <f t="shared" si="2"/>
        <v>insert into dbo.LifeInsJobCode (JobCode,JobGrade,JobDescription,JobGroupCode1,JobGroupName1,JobGroupCode2,JobGroupName2,CreateTime,Creator,ModifyTime,Modifier) VALUES ('05030150','7','一般船員：木匠','','','','',getdate(),'Alvin',getdate(),'Alvin')</v>
      </c>
    </row>
    <row r="189" spans="2:13" ht="13.8">
      <c r="B189" s="15" t="s">
        <v>1139</v>
      </c>
      <c r="C189" s="15">
        <v>7</v>
      </c>
      <c r="D189" s="15" t="s">
        <v>1140</v>
      </c>
      <c r="E189" s="15" t="s">
        <v>758</v>
      </c>
      <c r="F189" s="15" t="s">
        <v>758</v>
      </c>
      <c r="G189" s="15" t="s">
        <v>758</v>
      </c>
      <c r="H189" s="15" t="s">
        <v>758</v>
      </c>
      <c r="I189" s="15" t="s">
        <v>2895</v>
      </c>
      <c r="J189" s="15" t="s">
        <v>755</v>
      </c>
      <c r="K189" s="15" t="s">
        <v>2895</v>
      </c>
      <c r="L189" s="15" t="s">
        <v>755</v>
      </c>
      <c r="M189" s="15" t="str">
        <f t="shared" si="2"/>
        <v>insert into dbo.LifeInsJobCode (JobCode,JobGrade,JobDescription,JobGroupCode1,JobGroupName1,JobGroupCode2,JobGroupName2,CreateTime,Creator,ModifyTime,Modifier) VALUES ('05030160','7','一般船員：泵匠','','','','',getdate(),'Alvin',getdate(),'Alvin')</v>
      </c>
    </row>
    <row r="190" spans="2:13" ht="13.8">
      <c r="B190" s="15" t="s">
        <v>1141</v>
      </c>
      <c r="C190" s="15">
        <v>7</v>
      </c>
      <c r="D190" s="15" t="s">
        <v>1142</v>
      </c>
      <c r="E190" s="15" t="s">
        <v>758</v>
      </c>
      <c r="F190" s="15" t="s">
        <v>758</v>
      </c>
      <c r="G190" s="15" t="s">
        <v>758</v>
      </c>
      <c r="H190" s="15" t="s">
        <v>758</v>
      </c>
      <c r="I190" s="15" t="s">
        <v>2895</v>
      </c>
      <c r="J190" s="15" t="s">
        <v>755</v>
      </c>
      <c r="K190" s="15" t="s">
        <v>2895</v>
      </c>
      <c r="L190" s="15" t="s">
        <v>755</v>
      </c>
      <c r="M190" s="15" t="str">
        <f t="shared" si="2"/>
        <v>insert into dbo.LifeInsJobCode (JobCode,JobGrade,JobDescription,JobGroupCode1,JobGroupName1,JobGroupCode2,JobGroupName2,CreateTime,Creator,ModifyTime,Modifier) VALUES ('05030170','7','一般船員：電機師','','','','',getdate(),'Alvin',getdate(),'Alvin')</v>
      </c>
    </row>
    <row r="191" spans="2:13" ht="13.8">
      <c r="B191" s="15" t="s">
        <v>1143</v>
      </c>
      <c r="C191" s="15">
        <v>7</v>
      </c>
      <c r="D191" s="15" t="s">
        <v>1144</v>
      </c>
      <c r="E191" s="15" t="s">
        <v>758</v>
      </c>
      <c r="F191" s="15" t="s">
        <v>758</v>
      </c>
      <c r="G191" s="15" t="s">
        <v>758</v>
      </c>
      <c r="H191" s="15" t="s">
        <v>758</v>
      </c>
      <c r="I191" s="15" t="s">
        <v>2895</v>
      </c>
      <c r="J191" s="15" t="s">
        <v>755</v>
      </c>
      <c r="K191" s="15" t="s">
        <v>2895</v>
      </c>
      <c r="L191" s="15" t="s">
        <v>755</v>
      </c>
      <c r="M191" s="15" t="str">
        <f t="shared" si="2"/>
        <v>insert into dbo.LifeInsJobCode (JobCode,JobGrade,JobDescription,JobGroupCode1,JobGroupName1,JobGroupCode2,JobGroupName2,CreateTime,Creator,ModifyTime,Modifier) VALUES ('05030180','7','一般船員：廚師','','','','',getdate(),'Alvin',getdate(),'Alvin')</v>
      </c>
    </row>
    <row r="192" spans="2:13" ht="13.8">
      <c r="B192" s="15" t="s">
        <v>1145</v>
      </c>
      <c r="C192" s="15">
        <v>7</v>
      </c>
      <c r="D192" s="15" t="s">
        <v>1146</v>
      </c>
      <c r="E192" s="15" t="s">
        <v>758</v>
      </c>
      <c r="F192" s="15" t="s">
        <v>758</v>
      </c>
      <c r="G192" s="15" t="s">
        <v>758</v>
      </c>
      <c r="H192" s="15" t="s">
        <v>758</v>
      </c>
      <c r="I192" s="15" t="s">
        <v>2895</v>
      </c>
      <c r="J192" s="15" t="s">
        <v>755</v>
      </c>
      <c r="K192" s="15" t="s">
        <v>2895</v>
      </c>
      <c r="L192" s="15" t="s">
        <v>755</v>
      </c>
      <c r="M192" s="15" t="str">
        <f t="shared" si="2"/>
        <v>insert into dbo.LifeInsJobCode (JobCode,JobGrade,JobDescription,JobGroupCode1,JobGroupName1,JobGroupCode2,JobGroupName2,CreateTime,Creator,ModifyTime,Modifier) VALUES ('05030190','7','一般船員：服務生','','','','',getdate(),'Alvin',getdate(),'Alvin')</v>
      </c>
    </row>
    <row r="193" spans="2:13" ht="13.8">
      <c r="B193" s="15" t="s">
        <v>1147</v>
      </c>
      <c r="C193" s="15">
        <v>7</v>
      </c>
      <c r="D193" s="15" t="s">
        <v>1148</v>
      </c>
      <c r="E193" s="15" t="s">
        <v>758</v>
      </c>
      <c r="F193" s="15" t="s">
        <v>758</v>
      </c>
      <c r="G193" s="15" t="s">
        <v>758</v>
      </c>
      <c r="H193" s="15" t="s">
        <v>758</v>
      </c>
      <c r="I193" s="15" t="s">
        <v>2895</v>
      </c>
      <c r="J193" s="15" t="s">
        <v>755</v>
      </c>
      <c r="K193" s="15" t="s">
        <v>2895</v>
      </c>
      <c r="L193" s="15" t="s">
        <v>755</v>
      </c>
      <c r="M193" s="15" t="str">
        <f t="shared" si="2"/>
        <v>insert into dbo.LifeInsJobCode (JobCode,JobGrade,JobDescription,JobGroupCode1,JobGroupName1,JobGroupCode2,JobGroupName2,CreateTime,Creator,ModifyTime,Modifier) VALUES ('05030200','7','一般船員：實習生','','','','',getdate(),'Alvin',getdate(),'Alvin')</v>
      </c>
    </row>
    <row r="194" spans="2:13" ht="13.8">
      <c r="B194" s="15" t="s">
        <v>1149</v>
      </c>
      <c r="C194" s="15">
        <v>7</v>
      </c>
      <c r="D194" s="15" t="s">
        <v>1150</v>
      </c>
      <c r="E194" s="15" t="s">
        <v>758</v>
      </c>
      <c r="F194" s="15" t="s">
        <v>758</v>
      </c>
      <c r="G194" s="15" t="s">
        <v>758</v>
      </c>
      <c r="H194" s="15" t="s">
        <v>758</v>
      </c>
      <c r="I194" s="15" t="s">
        <v>2895</v>
      </c>
      <c r="J194" s="15" t="s">
        <v>755</v>
      </c>
      <c r="K194" s="15" t="s">
        <v>2895</v>
      </c>
      <c r="L194" s="15" t="s">
        <v>755</v>
      </c>
      <c r="M194" s="15" t="str">
        <f t="shared" ref="M194:M257" si="3">$M$1 &amp; " VALUES ('"&amp;B194&amp;"','"&amp;C194&amp;"','"&amp;D194&amp;"','"&amp;E194&amp;"','"&amp;F194&amp;"','"&amp;G194&amp;"','"&amp;H194&amp;"',"&amp;I194&amp;",'"&amp;J194&amp;"',"&amp;K194&amp;",'"&amp;L194&amp;"')"</f>
        <v>insert into dbo.LifeInsJobCode (JobCode,JobGrade,JobDescription,JobGroupCode1,JobGroupName1,JobGroupCode2,JobGroupName2,CreateTime,Creator,ModifyTime,Modifier) VALUES ('05030210','7','B-遊覽船及小汽艇：遊覽船之駕駛及工作人員','','','','',getdate(),'Alvin',getdate(),'Alvin')</v>
      </c>
    </row>
    <row r="195" spans="2:13" ht="13.8">
      <c r="B195" s="15" t="s">
        <v>1151</v>
      </c>
      <c r="C195" s="15">
        <v>7</v>
      </c>
      <c r="D195" s="15" t="s">
        <v>1152</v>
      </c>
      <c r="E195" s="15" t="s">
        <v>758</v>
      </c>
      <c r="F195" s="15" t="s">
        <v>758</v>
      </c>
      <c r="G195" s="15" t="s">
        <v>758</v>
      </c>
      <c r="H195" s="15" t="s">
        <v>758</v>
      </c>
      <c r="I195" s="15" t="s">
        <v>2895</v>
      </c>
      <c r="J195" s="15" t="s">
        <v>755</v>
      </c>
      <c r="K195" s="15" t="s">
        <v>2895</v>
      </c>
      <c r="L195" s="15" t="s">
        <v>755</v>
      </c>
      <c r="M195" s="15" t="str">
        <f t="shared" si="3"/>
        <v>insert into dbo.LifeInsJobCode (JobCode,JobGrade,JobDescription,JobGroupCode1,JobGroupName1,JobGroupCode2,JobGroupName2,CreateTime,Creator,ModifyTime,Modifier) VALUES ('05030220','7','B-遊覽船及小汽艇：小汽艇之駕駛及工作人員','','','','',getdate(),'Alvin',getdate(),'Alvin')</v>
      </c>
    </row>
    <row r="196" spans="2:13" ht="13.8">
      <c r="B196" s="15" t="s">
        <v>1153</v>
      </c>
      <c r="C196" s="15">
        <v>4</v>
      </c>
      <c r="D196" s="15" t="s">
        <v>1154</v>
      </c>
      <c r="E196" s="15" t="s">
        <v>758</v>
      </c>
      <c r="F196" s="15" t="s">
        <v>758</v>
      </c>
      <c r="G196" s="15" t="s">
        <v>758</v>
      </c>
      <c r="H196" s="15" t="s">
        <v>758</v>
      </c>
      <c r="I196" s="15" t="s">
        <v>2895</v>
      </c>
      <c r="J196" s="15" t="s">
        <v>755</v>
      </c>
      <c r="K196" s="15" t="s">
        <v>2895</v>
      </c>
      <c r="L196" s="15" t="s">
        <v>755</v>
      </c>
      <c r="M196" s="15" t="str">
        <f t="shared" si="3"/>
        <v>insert into dbo.LifeInsJobCode (JobCode,JobGrade,JobDescription,JobGroupCode1,JobGroupName1,JobGroupCode2,JobGroupName2,CreateTime,Creator,ModifyTime,Modifier) VALUES ('05030230','4','C-港口作業：碼頭工人及領班','','','','',getdate(),'Alvin',getdate(),'Alvin')</v>
      </c>
    </row>
    <row r="197" spans="2:13" ht="13.8">
      <c r="B197" s="15" t="s">
        <v>1155</v>
      </c>
      <c r="C197" s="15">
        <v>4</v>
      </c>
      <c r="D197" s="15" t="s">
        <v>1156</v>
      </c>
      <c r="E197" s="15" t="s">
        <v>758</v>
      </c>
      <c r="F197" s="15" t="s">
        <v>758</v>
      </c>
      <c r="G197" s="15" t="s">
        <v>758</v>
      </c>
      <c r="H197" s="15" t="s">
        <v>758</v>
      </c>
      <c r="I197" s="15" t="s">
        <v>2895</v>
      </c>
      <c r="J197" s="15" t="s">
        <v>755</v>
      </c>
      <c r="K197" s="15" t="s">
        <v>2895</v>
      </c>
      <c r="L197" s="15" t="s">
        <v>755</v>
      </c>
      <c r="M197" s="15" t="str">
        <f t="shared" si="3"/>
        <v>insert into dbo.LifeInsJobCode (JobCode,JobGrade,JobDescription,JobGroupCode1,JobGroupName1,JobGroupCode2,JobGroupName2,CreateTime,Creator,ModifyTime,Modifier) VALUES ('05030240','4','C-港口作業：推高機操作員','','','','',getdate(),'Alvin',getdate(),'Alvin')</v>
      </c>
    </row>
    <row r="198" spans="2:13" ht="13.8">
      <c r="B198" s="15" t="s">
        <v>1157</v>
      </c>
      <c r="C198" s="15">
        <v>3</v>
      </c>
      <c r="D198" s="15" t="s">
        <v>1158</v>
      </c>
      <c r="E198" s="15" t="s">
        <v>758</v>
      </c>
      <c r="F198" s="15" t="s">
        <v>758</v>
      </c>
      <c r="G198" s="15" t="s">
        <v>758</v>
      </c>
      <c r="H198" s="15" t="s">
        <v>758</v>
      </c>
      <c r="I198" s="15" t="s">
        <v>2895</v>
      </c>
      <c r="J198" s="15" t="s">
        <v>755</v>
      </c>
      <c r="K198" s="15" t="s">
        <v>2895</v>
      </c>
      <c r="L198" s="15" t="s">
        <v>755</v>
      </c>
      <c r="M198" s="15" t="str">
        <f t="shared" si="3"/>
        <v>insert into dbo.LifeInsJobCode (JobCode,JobGrade,JobDescription,JobGroupCode1,JobGroupName1,JobGroupCode2,JobGroupName2,CreateTime,Creator,ModifyTime,Modifier) VALUES ('05030250','3','C-港口作業：倉庫管理人','','','','',getdate(),'Alvin',getdate(),'Alvin')</v>
      </c>
    </row>
    <row r="199" spans="2:13" ht="13.8">
      <c r="B199" s="15" t="s">
        <v>1159</v>
      </c>
      <c r="C199" s="15">
        <v>4</v>
      </c>
      <c r="D199" s="15" t="s">
        <v>1160</v>
      </c>
      <c r="E199" s="15" t="s">
        <v>758</v>
      </c>
      <c r="F199" s="15" t="s">
        <v>758</v>
      </c>
      <c r="G199" s="15" t="s">
        <v>758</v>
      </c>
      <c r="H199" s="15" t="s">
        <v>758</v>
      </c>
      <c r="I199" s="15" t="s">
        <v>2895</v>
      </c>
      <c r="J199" s="15" t="s">
        <v>755</v>
      </c>
      <c r="K199" s="15" t="s">
        <v>2895</v>
      </c>
      <c r="L199" s="15" t="s">
        <v>755</v>
      </c>
      <c r="M199" s="15" t="str">
        <f t="shared" si="3"/>
        <v>insert into dbo.LifeInsJobCode (JobCode,JobGrade,JobDescription,JobGroupCode1,JobGroupName1,JobGroupCode2,JobGroupName2,CreateTime,Creator,ModifyTime,Modifier) VALUES ('05030260','4','C-港口作業：領航員','','','','',getdate(),'Alvin',getdate(),'Alvin')</v>
      </c>
    </row>
    <row r="200" spans="2:13" ht="13.8">
      <c r="B200" s="15" t="s">
        <v>1161</v>
      </c>
      <c r="C200" s="15">
        <v>4</v>
      </c>
      <c r="D200" s="15" t="s">
        <v>1162</v>
      </c>
      <c r="E200" s="15" t="s">
        <v>758</v>
      </c>
      <c r="F200" s="15" t="s">
        <v>758</v>
      </c>
      <c r="G200" s="15" t="s">
        <v>758</v>
      </c>
      <c r="H200" s="15" t="s">
        <v>758</v>
      </c>
      <c r="I200" s="15" t="s">
        <v>2895</v>
      </c>
      <c r="J200" s="15" t="s">
        <v>755</v>
      </c>
      <c r="K200" s="15" t="s">
        <v>2895</v>
      </c>
      <c r="L200" s="15" t="s">
        <v>755</v>
      </c>
      <c r="M200" s="15" t="str">
        <f t="shared" si="3"/>
        <v>insert into dbo.LifeInsJobCode (JobCode,JobGrade,JobDescription,JobGroupCode1,JobGroupName1,JobGroupCode2,JobGroupName2,CreateTime,Creator,ModifyTime,Modifier) VALUES ('05030270','4','C-港口作業：引水人','','','','',getdate(),'Alvin',getdate(),'Alvin')</v>
      </c>
    </row>
    <row r="201" spans="2:13" ht="13.8">
      <c r="B201" s="15" t="s">
        <v>1163</v>
      </c>
      <c r="C201" s="15">
        <v>2</v>
      </c>
      <c r="D201" s="15" t="s">
        <v>1164</v>
      </c>
      <c r="E201" s="15" t="s">
        <v>758</v>
      </c>
      <c r="F201" s="15" t="s">
        <v>758</v>
      </c>
      <c r="G201" s="15" t="s">
        <v>758</v>
      </c>
      <c r="H201" s="15" t="s">
        <v>758</v>
      </c>
      <c r="I201" s="15" t="s">
        <v>2895</v>
      </c>
      <c r="J201" s="15" t="s">
        <v>755</v>
      </c>
      <c r="K201" s="15" t="s">
        <v>2895</v>
      </c>
      <c r="L201" s="15" t="s">
        <v>755</v>
      </c>
      <c r="M201" s="15" t="str">
        <f t="shared" si="3"/>
        <v>insert into dbo.LifeInsJobCode (JobCode,JobGrade,JobDescription,JobGroupCode1,JobGroupName1,JobGroupCode2,JobGroupName2,CreateTime,Creator,ModifyTime,Modifier) VALUES ('05030280','2','C-港口作業：關務人員','','','','',getdate(),'Alvin',getdate(),'Alvin')</v>
      </c>
    </row>
    <row r="202" spans="2:13" ht="13.8">
      <c r="B202" s="15" t="s">
        <v>1165</v>
      </c>
      <c r="C202" s="15">
        <v>3</v>
      </c>
      <c r="D202" s="15" t="s">
        <v>1166</v>
      </c>
      <c r="E202" s="15" t="s">
        <v>758</v>
      </c>
      <c r="F202" s="15" t="s">
        <v>758</v>
      </c>
      <c r="G202" s="15" t="s">
        <v>758</v>
      </c>
      <c r="H202" s="15" t="s">
        <v>758</v>
      </c>
      <c r="I202" s="15" t="s">
        <v>2895</v>
      </c>
      <c r="J202" s="15" t="s">
        <v>755</v>
      </c>
      <c r="K202" s="15" t="s">
        <v>2895</v>
      </c>
      <c r="L202" s="15" t="s">
        <v>755</v>
      </c>
      <c r="M202" s="15" t="str">
        <f t="shared" si="3"/>
        <v>insert into dbo.LifeInsJobCode (JobCode,JobGrade,JobDescription,JobGroupCode1,JobGroupName1,JobGroupCode2,JobGroupName2,CreateTime,Creator,ModifyTime,Modifier) VALUES ('05030290','3','C-港口作業：稽查人員','','','','',getdate(),'Alvin',getdate(),'Alvin')</v>
      </c>
    </row>
    <row r="203" spans="2:13" ht="13.8">
      <c r="B203" s="15" t="s">
        <v>1167</v>
      </c>
      <c r="C203" s="15">
        <v>4</v>
      </c>
      <c r="D203" s="15" t="s">
        <v>1168</v>
      </c>
      <c r="E203" s="15" t="s">
        <v>758</v>
      </c>
      <c r="F203" s="15" t="s">
        <v>758</v>
      </c>
      <c r="G203" s="15" t="s">
        <v>758</v>
      </c>
      <c r="H203" s="15" t="s">
        <v>758</v>
      </c>
      <c r="I203" s="15" t="s">
        <v>2895</v>
      </c>
      <c r="J203" s="15" t="s">
        <v>755</v>
      </c>
      <c r="K203" s="15" t="s">
        <v>2895</v>
      </c>
      <c r="L203" s="15" t="s">
        <v>755</v>
      </c>
      <c r="M203" s="15" t="str">
        <f t="shared" si="3"/>
        <v>insert into dbo.LifeInsJobCode (JobCode,JobGrade,JobDescription,JobGroupCode1,JobGroupName1,JobGroupCode2,JobGroupName2,CreateTime,Creator,ModifyTime,Modifier) VALUES ('05030300','4','C-港口作業：緝私人員','','','','',getdate(),'Alvin',getdate(),'Alvin')</v>
      </c>
    </row>
    <row r="204" spans="2:13" ht="13.8">
      <c r="B204" s="15" t="s">
        <v>1169</v>
      </c>
      <c r="C204" s="15">
        <v>4</v>
      </c>
      <c r="D204" s="15" t="s">
        <v>1170</v>
      </c>
      <c r="E204" s="15" t="s">
        <v>758</v>
      </c>
      <c r="F204" s="15" t="s">
        <v>758</v>
      </c>
      <c r="G204" s="15" t="s">
        <v>758</v>
      </c>
      <c r="H204" s="15" t="s">
        <v>758</v>
      </c>
      <c r="I204" s="15" t="s">
        <v>2895</v>
      </c>
      <c r="J204" s="15" t="s">
        <v>755</v>
      </c>
      <c r="K204" s="15" t="s">
        <v>2895</v>
      </c>
      <c r="L204" s="15" t="s">
        <v>755</v>
      </c>
      <c r="M204" s="15" t="str">
        <f t="shared" si="3"/>
        <v>insert into dbo.LifeInsJobCode (JobCode,JobGrade,JobDescription,JobGroupCode1,JobGroupName1,JobGroupCode2,JobGroupName2,CreateTime,Creator,ModifyTime,Modifier) VALUES ('05030310','4','D-拖船駕駛員及工作人員','','','','',getdate(),'Alvin',getdate(),'Alvin')</v>
      </c>
    </row>
    <row r="205" spans="2:13" ht="13.8">
      <c r="B205" s="15" t="s">
        <v>1171</v>
      </c>
      <c r="C205" s="15">
        <v>4</v>
      </c>
      <c r="D205" s="15" t="s">
        <v>1172</v>
      </c>
      <c r="E205" s="15" t="s">
        <v>758</v>
      </c>
      <c r="F205" s="15" t="s">
        <v>758</v>
      </c>
      <c r="G205" s="15" t="s">
        <v>758</v>
      </c>
      <c r="H205" s="15" t="s">
        <v>758</v>
      </c>
      <c r="I205" s="15" t="s">
        <v>2895</v>
      </c>
      <c r="J205" s="15" t="s">
        <v>755</v>
      </c>
      <c r="K205" s="15" t="s">
        <v>2895</v>
      </c>
      <c r="L205" s="15" t="s">
        <v>755</v>
      </c>
      <c r="M205" s="15" t="str">
        <f t="shared" si="3"/>
        <v>insert into dbo.LifeInsJobCode (JobCode,JobGrade,JobDescription,JobGroupCode1,JobGroupName1,JobGroupCode2,JobGroupName2,CreateTime,Creator,ModifyTime,Modifier) VALUES ('05030320','4','渡輪駕駛員及工作人員','','','','',getdate(),'Alvin',getdate(),'Alvin')</v>
      </c>
    </row>
    <row r="206" spans="2:13" ht="13.8">
      <c r="B206" s="15" t="s">
        <v>1173</v>
      </c>
      <c r="C206" s="15">
        <v>6</v>
      </c>
      <c r="D206" s="15" t="s">
        <v>1174</v>
      </c>
      <c r="E206" s="15" t="s">
        <v>758</v>
      </c>
      <c r="F206" s="15" t="s">
        <v>758</v>
      </c>
      <c r="G206" s="15" t="s">
        <v>758</v>
      </c>
      <c r="H206" s="15" t="s">
        <v>758</v>
      </c>
      <c r="I206" s="15" t="s">
        <v>2895</v>
      </c>
      <c r="J206" s="15" t="s">
        <v>755</v>
      </c>
      <c r="K206" s="15" t="s">
        <v>2895</v>
      </c>
      <c r="L206" s="15" t="s">
        <v>755</v>
      </c>
      <c r="M206" s="15" t="str">
        <f t="shared" si="3"/>
        <v>insert into dbo.LifeInsJobCode (JobCode,JobGrade,JobDescription,JobGroupCode1,JobGroupName1,JobGroupCode2,JobGroupName2,CreateTime,Creator,ModifyTime,Modifier) VALUES ('05030330','6','E-救難船員','','','','',getdate(),'Alvin',getdate(),'Alvin')</v>
      </c>
    </row>
    <row r="207" spans="2:13" ht="13.8">
      <c r="B207" s="15" t="s">
        <v>1175</v>
      </c>
      <c r="C207" s="15">
        <v>5</v>
      </c>
      <c r="D207" s="15" t="s">
        <v>1176</v>
      </c>
      <c r="E207" s="15" t="s">
        <v>758</v>
      </c>
      <c r="F207" s="15" t="s">
        <v>758</v>
      </c>
      <c r="G207" s="15" t="s">
        <v>758</v>
      </c>
      <c r="H207" s="15" t="s">
        <v>758</v>
      </c>
      <c r="I207" s="15" t="s">
        <v>2895</v>
      </c>
      <c r="J207" s="15" t="s">
        <v>755</v>
      </c>
      <c r="K207" s="15" t="s">
        <v>2895</v>
      </c>
      <c r="L207" s="15" t="s">
        <v>755</v>
      </c>
      <c r="M207" s="15" t="str">
        <f t="shared" si="3"/>
        <v>insert into dbo.LifeInsJobCode (JobCode,JobGrade,JobDescription,JobGroupCode1,JobGroupName1,JobGroupCode2,JobGroupName2,CreateTime,Creator,ModifyTime,Modifier) VALUES ('05030340','5','港口疏濬','','','','',getdate(),'Alvin',getdate(),'Alvin')</v>
      </c>
    </row>
    <row r="208" spans="2:13" ht="13.8">
      <c r="B208" s="15" t="s">
        <v>1177</v>
      </c>
      <c r="C208" s="15">
        <v>6</v>
      </c>
      <c r="D208" s="15" t="s">
        <v>1178</v>
      </c>
      <c r="E208" s="15" t="s">
        <v>758</v>
      </c>
      <c r="F208" s="15" t="s">
        <v>758</v>
      </c>
      <c r="G208" s="15" t="s">
        <v>758</v>
      </c>
      <c r="H208" s="15" t="s">
        <v>758</v>
      </c>
      <c r="I208" s="15" t="s">
        <v>2895</v>
      </c>
      <c r="J208" s="15" t="s">
        <v>755</v>
      </c>
      <c r="K208" s="15" t="s">
        <v>2895</v>
      </c>
      <c r="L208" s="15" t="s">
        <v>755</v>
      </c>
      <c r="M208" s="15" t="str">
        <f t="shared" si="3"/>
        <v>insert into dbo.LifeInsJobCode (JobCode,JobGrade,JobDescription,JobGroupCode1,JobGroupName1,JobGroupCode2,JobGroupName2,CreateTime,Creator,ModifyTime,Modifier) VALUES ('05030350','6','碼頭吊車操作人員','','','','',getdate(),'Alvin',getdate(),'Alvin')</v>
      </c>
    </row>
    <row r="209" spans="2:13" ht="13.8">
      <c r="B209" s="15" t="s">
        <v>1179</v>
      </c>
      <c r="C209" s="15">
        <v>4</v>
      </c>
      <c r="D209" s="15" t="s">
        <v>3330</v>
      </c>
      <c r="E209" s="15" t="s">
        <v>758</v>
      </c>
      <c r="F209" s="15" t="s">
        <v>758</v>
      </c>
      <c r="G209" s="15" t="s">
        <v>758</v>
      </c>
      <c r="H209" s="15" t="s">
        <v>758</v>
      </c>
      <c r="I209" s="15" t="s">
        <v>2895</v>
      </c>
      <c r="J209" s="15" t="s">
        <v>755</v>
      </c>
      <c r="K209" s="15" t="s">
        <v>2895</v>
      </c>
      <c r="L209" s="15" t="s">
        <v>755</v>
      </c>
      <c r="M209" s="15" t="str">
        <f t="shared" si="3"/>
        <v>insert into dbo.LifeInsJobCode (JobCode,JobGrade,JobDescription,JobGroupCode1,JobGroupName1,JobGroupCode2,JobGroupName2,CreateTime,Creator,ModifyTime,Modifier) VALUES ('05030360','4','船艙清潔(船舶靠岸後)','','','','',getdate(),'Alvin',getdate(),'Alvin')</v>
      </c>
    </row>
    <row r="210" spans="2:13" ht="13.8">
      <c r="B210" s="15" t="s">
        <v>1180</v>
      </c>
      <c r="C210" s="15">
        <v>1</v>
      </c>
      <c r="D210" s="15" t="s">
        <v>1181</v>
      </c>
      <c r="E210" s="15" t="s">
        <v>758</v>
      </c>
      <c r="F210" s="15" t="s">
        <v>758</v>
      </c>
      <c r="G210" s="15" t="s">
        <v>1182</v>
      </c>
      <c r="H210" s="15" t="s">
        <v>1183</v>
      </c>
      <c r="I210" s="15" t="s">
        <v>2895</v>
      </c>
      <c r="J210" s="15" t="s">
        <v>755</v>
      </c>
      <c r="K210" s="15" t="s">
        <v>2895</v>
      </c>
      <c r="L210" s="15" t="s">
        <v>755</v>
      </c>
      <c r="M210" s="15" t="str">
        <f t="shared" si="3"/>
        <v>insert into dbo.LifeInsJobCode (JobCode,JobGrade,JobDescription,JobGroupCode1,JobGroupName1,JobGroupCode2,JobGroupName2,CreateTime,Creator,ModifyTime,Modifier) VALUES ('05040010','1','A-航空站：站長','','','0504','空運',getdate(),'Alvin',getdate(),'Alvin')</v>
      </c>
    </row>
    <row r="211" spans="2:13" ht="13.8">
      <c r="B211" s="15" t="s">
        <v>1184</v>
      </c>
      <c r="C211" s="15">
        <v>1</v>
      </c>
      <c r="D211" s="15" t="s">
        <v>1185</v>
      </c>
      <c r="E211" s="15" t="s">
        <v>758</v>
      </c>
      <c r="F211" s="15" t="s">
        <v>758</v>
      </c>
      <c r="G211" s="15" t="s">
        <v>758</v>
      </c>
      <c r="H211" s="15" t="s">
        <v>758</v>
      </c>
      <c r="I211" s="15" t="s">
        <v>2895</v>
      </c>
      <c r="J211" s="15" t="s">
        <v>755</v>
      </c>
      <c r="K211" s="15" t="s">
        <v>2895</v>
      </c>
      <c r="L211" s="15" t="s">
        <v>755</v>
      </c>
      <c r="M211" s="15" t="str">
        <f t="shared" si="3"/>
        <v>insert into dbo.LifeInsJobCode (JobCode,JobGrade,JobDescription,JobGroupCode1,JobGroupName1,JobGroupCode2,JobGroupName2,CreateTime,Creator,ModifyTime,Modifier) VALUES ('05040020','1','A-航空站：播音員','','','','',getdate(),'Alvin',getdate(),'Alvin')</v>
      </c>
    </row>
    <row r="212" spans="2:13" ht="13.8">
      <c r="B212" s="15" t="s">
        <v>1186</v>
      </c>
      <c r="C212" s="15">
        <v>1</v>
      </c>
      <c r="D212" s="15" t="s">
        <v>1187</v>
      </c>
      <c r="E212" s="15" t="s">
        <v>758</v>
      </c>
      <c r="F212" s="15" t="s">
        <v>758</v>
      </c>
      <c r="G212" s="15" t="s">
        <v>758</v>
      </c>
      <c r="H212" s="15" t="s">
        <v>758</v>
      </c>
      <c r="I212" s="15" t="s">
        <v>2895</v>
      </c>
      <c r="J212" s="15" t="s">
        <v>755</v>
      </c>
      <c r="K212" s="15" t="s">
        <v>2895</v>
      </c>
      <c r="L212" s="15" t="s">
        <v>755</v>
      </c>
      <c r="M212" s="15" t="str">
        <f t="shared" si="3"/>
        <v>insert into dbo.LifeInsJobCode (JobCode,JobGrade,JobDescription,JobGroupCode1,JobGroupName1,JobGroupCode2,JobGroupName2,CreateTime,Creator,ModifyTime,Modifier) VALUES ('05040030','1','A-航空站：服務臺人員','','','','',getdate(),'Alvin',getdate(),'Alvin')</v>
      </c>
    </row>
    <row r="213" spans="2:13" ht="13.8">
      <c r="B213" s="15" t="s">
        <v>1188</v>
      </c>
      <c r="C213" s="15">
        <v>1</v>
      </c>
      <c r="D213" s="15" t="s">
        <v>1189</v>
      </c>
      <c r="E213" s="15" t="s">
        <v>758</v>
      </c>
      <c r="F213" s="15" t="s">
        <v>758</v>
      </c>
      <c r="G213" s="15" t="s">
        <v>758</v>
      </c>
      <c r="H213" s="15" t="s">
        <v>758</v>
      </c>
      <c r="I213" s="15" t="s">
        <v>2895</v>
      </c>
      <c r="J213" s="15" t="s">
        <v>755</v>
      </c>
      <c r="K213" s="15" t="s">
        <v>2895</v>
      </c>
      <c r="L213" s="15" t="s">
        <v>755</v>
      </c>
      <c r="M213" s="15" t="str">
        <f t="shared" si="3"/>
        <v>insert into dbo.LifeInsJobCode (JobCode,JobGrade,JobDescription,JobGroupCode1,JobGroupName1,JobGroupCode2,JobGroupName2,CreateTime,Creator,ModifyTime,Modifier) VALUES ('05040040','1','A-航空站：一般內勤人員','','','','',getdate(),'Alvin',getdate(),'Alvin')</v>
      </c>
    </row>
    <row r="214" spans="2:13" ht="13.8">
      <c r="B214" s="15" t="s">
        <v>1190</v>
      </c>
      <c r="C214" s="15">
        <v>1</v>
      </c>
      <c r="D214" s="15" t="s">
        <v>1191</v>
      </c>
      <c r="E214" s="15" t="s">
        <v>758</v>
      </c>
      <c r="F214" s="15" t="s">
        <v>758</v>
      </c>
      <c r="G214" s="15" t="s">
        <v>758</v>
      </c>
      <c r="H214" s="15" t="s">
        <v>758</v>
      </c>
      <c r="I214" s="15" t="s">
        <v>2895</v>
      </c>
      <c r="J214" s="15" t="s">
        <v>755</v>
      </c>
      <c r="K214" s="15" t="s">
        <v>2895</v>
      </c>
      <c r="L214" s="15" t="s">
        <v>755</v>
      </c>
      <c r="M214" s="15" t="str">
        <f t="shared" si="3"/>
        <v>insert into dbo.LifeInsJobCode (JobCode,JobGrade,JobDescription,JobGroupCode1,JobGroupName1,JobGroupCode2,JobGroupName2,CreateTime,Creator,ModifyTime,Modifier) VALUES ('05040050','1','A-航空站：塔臺工作人員','','','','',getdate(),'Alvin',getdate(),'Alvin')</v>
      </c>
    </row>
    <row r="215" spans="2:13" ht="13.8">
      <c r="B215" s="15" t="s">
        <v>1192</v>
      </c>
      <c r="C215" s="15">
        <v>1</v>
      </c>
      <c r="D215" s="15" t="s">
        <v>1193</v>
      </c>
      <c r="E215" s="15" t="s">
        <v>758</v>
      </c>
      <c r="F215" s="15" t="s">
        <v>758</v>
      </c>
      <c r="G215" s="15" t="s">
        <v>758</v>
      </c>
      <c r="H215" s="15" t="s">
        <v>758</v>
      </c>
      <c r="I215" s="15" t="s">
        <v>2895</v>
      </c>
      <c r="J215" s="15" t="s">
        <v>755</v>
      </c>
      <c r="K215" s="15" t="s">
        <v>2895</v>
      </c>
      <c r="L215" s="15" t="s">
        <v>755</v>
      </c>
      <c r="M215" s="15" t="str">
        <f t="shared" si="3"/>
        <v>insert into dbo.LifeInsJobCode (JobCode,JobGrade,JobDescription,JobGroupCode1,JobGroupName1,JobGroupCode2,JobGroupName2,CreateTime,Creator,ModifyTime,Modifier) VALUES ('05040060','1','A-航空站：關務人員','','','','',getdate(),'Alvin',getdate(),'Alvin')</v>
      </c>
    </row>
    <row r="216" spans="2:13" ht="13.8">
      <c r="B216" s="15" t="s">
        <v>1194</v>
      </c>
      <c r="C216" s="15">
        <v>1</v>
      </c>
      <c r="D216" s="15" t="s">
        <v>1195</v>
      </c>
      <c r="E216" s="15" t="s">
        <v>758</v>
      </c>
      <c r="F216" s="15" t="s">
        <v>758</v>
      </c>
      <c r="G216" s="15" t="s">
        <v>758</v>
      </c>
      <c r="H216" s="15" t="s">
        <v>758</v>
      </c>
      <c r="I216" s="15" t="s">
        <v>2895</v>
      </c>
      <c r="J216" s="15" t="s">
        <v>755</v>
      </c>
      <c r="K216" s="15" t="s">
        <v>2895</v>
      </c>
      <c r="L216" s="15" t="s">
        <v>755</v>
      </c>
      <c r="M216" s="15" t="str">
        <f t="shared" si="3"/>
        <v>insert into dbo.LifeInsJobCode (JobCode,JobGrade,JobDescription,JobGroupCode1,JobGroupName1,JobGroupCode2,JobGroupName2,CreateTime,Creator,ModifyTime,Modifier) VALUES ('05040070','1','A-航空站：檢查人員','','','','',getdate(),'Alvin',getdate(),'Alvin')</v>
      </c>
    </row>
    <row r="217" spans="2:13" ht="13.8">
      <c r="B217" s="15" t="s">
        <v>1196</v>
      </c>
      <c r="C217" s="15">
        <v>1</v>
      </c>
      <c r="D217" s="15" t="s">
        <v>1197</v>
      </c>
      <c r="E217" s="15" t="s">
        <v>758</v>
      </c>
      <c r="F217" s="15" t="s">
        <v>758</v>
      </c>
      <c r="G217" s="15" t="s">
        <v>758</v>
      </c>
      <c r="H217" s="15" t="s">
        <v>758</v>
      </c>
      <c r="I217" s="15" t="s">
        <v>2895</v>
      </c>
      <c r="J217" s="15" t="s">
        <v>755</v>
      </c>
      <c r="K217" s="15" t="s">
        <v>2895</v>
      </c>
      <c r="L217" s="15" t="s">
        <v>755</v>
      </c>
      <c r="M217" s="15" t="str">
        <f t="shared" si="3"/>
        <v>insert into dbo.LifeInsJobCode (JobCode,JobGrade,JobDescription,JobGroupCode1,JobGroupName1,JobGroupCode2,JobGroupName2,CreateTime,Creator,ModifyTime,Modifier) VALUES ('05040080','1','A-航空站：運務人員','','','','',getdate(),'Alvin',getdate(),'Alvin')</v>
      </c>
    </row>
    <row r="218" spans="2:13" ht="13.8">
      <c r="B218" s="15" t="s">
        <v>1198</v>
      </c>
      <c r="C218" s="15">
        <v>2</v>
      </c>
      <c r="D218" s="15" t="s">
        <v>1199</v>
      </c>
      <c r="E218" s="15" t="s">
        <v>758</v>
      </c>
      <c r="F218" s="15" t="s">
        <v>758</v>
      </c>
      <c r="G218" s="15" t="s">
        <v>758</v>
      </c>
      <c r="H218" s="15" t="s">
        <v>758</v>
      </c>
      <c r="I218" s="15" t="s">
        <v>2895</v>
      </c>
      <c r="J218" s="15" t="s">
        <v>755</v>
      </c>
      <c r="K218" s="15" t="s">
        <v>2895</v>
      </c>
      <c r="L218" s="15" t="s">
        <v>755</v>
      </c>
      <c r="M218" s="15" t="str">
        <f t="shared" si="3"/>
        <v>insert into dbo.LifeInsJobCode (JobCode,JobGrade,JobDescription,JobGroupCode1,JobGroupName1,JobGroupCode2,JobGroupName2,CreateTime,Creator,ModifyTime,Modifier) VALUES ('05040090','2','A-航空站：緝私人員','','','','',getdate(),'Alvin',getdate(),'Alvin')</v>
      </c>
    </row>
    <row r="219" spans="2:13" ht="13.8">
      <c r="B219" s="15" t="s">
        <v>1200</v>
      </c>
      <c r="C219" s="15">
        <v>2</v>
      </c>
      <c r="D219" s="15" t="s">
        <v>1201</v>
      </c>
      <c r="E219" s="15" t="s">
        <v>758</v>
      </c>
      <c r="F219" s="15" t="s">
        <v>758</v>
      </c>
      <c r="G219" s="15" t="s">
        <v>758</v>
      </c>
      <c r="H219" s="15" t="s">
        <v>758</v>
      </c>
      <c r="I219" s="15" t="s">
        <v>2895</v>
      </c>
      <c r="J219" s="15" t="s">
        <v>755</v>
      </c>
      <c r="K219" s="15" t="s">
        <v>2895</v>
      </c>
      <c r="L219" s="15" t="s">
        <v>755</v>
      </c>
      <c r="M219" s="15" t="str">
        <f t="shared" si="3"/>
        <v>insert into dbo.LifeInsJobCode (JobCode,JobGrade,JobDescription,JobGroupCode1,JobGroupName1,JobGroupCode2,JobGroupName2,CreateTime,Creator,ModifyTime,Modifier) VALUES ('05040100','2','A-航空站：站內清潔人員','','','','',getdate(),'Alvin',getdate(),'Alvin')</v>
      </c>
    </row>
    <row r="220" spans="2:13" ht="13.8">
      <c r="B220" s="15" t="s">
        <v>1202</v>
      </c>
      <c r="C220" s="15">
        <v>3</v>
      </c>
      <c r="D220" s="15" t="s">
        <v>1203</v>
      </c>
      <c r="E220" s="15" t="s">
        <v>758</v>
      </c>
      <c r="F220" s="15" t="s">
        <v>758</v>
      </c>
      <c r="G220" s="15" t="s">
        <v>758</v>
      </c>
      <c r="H220" s="15" t="s">
        <v>758</v>
      </c>
      <c r="I220" s="15" t="s">
        <v>2895</v>
      </c>
      <c r="J220" s="15" t="s">
        <v>755</v>
      </c>
      <c r="K220" s="15" t="s">
        <v>2895</v>
      </c>
      <c r="L220" s="15" t="s">
        <v>755</v>
      </c>
      <c r="M220" s="15" t="str">
        <f t="shared" si="3"/>
        <v>insert into dbo.LifeInsJobCode (JobCode,JobGrade,JobDescription,JobGroupCode1,JobGroupName1,JobGroupCode2,JobGroupName2,CreateTime,Creator,ModifyTime,Modifier) VALUES ('05040110','3','A-航空站：機場內交通車司機、空橋車駕駛','','','','',getdate(),'Alvin',getdate(),'Alvin')</v>
      </c>
    </row>
    <row r="221" spans="2:13" ht="13.8">
      <c r="B221" s="15" t="s">
        <v>1204</v>
      </c>
      <c r="C221" s="15">
        <v>3</v>
      </c>
      <c r="D221" s="15" t="s">
        <v>1205</v>
      </c>
      <c r="E221" s="15" t="s">
        <v>758</v>
      </c>
      <c r="F221" s="15" t="s">
        <v>758</v>
      </c>
      <c r="G221" s="15" t="s">
        <v>758</v>
      </c>
      <c r="H221" s="15" t="s">
        <v>758</v>
      </c>
      <c r="I221" s="15" t="s">
        <v>2895</v>
      </c>
      <c r="J221" s="15" t="s">
        <v>755</v>
      </c>
      <c r="K221" s="15" t="s">
        <v>2895</v>
      </c>
      <c r="L221" s="15" t="s">
        <v>755</v>
      </c>
      <c r="M221" s="15" t="str">
        <f t="shared" si="3"/>
        <v>insert into dbo.LifeInsJobCode (JobCode,JobGrade,JobDescription,JobGroupCode1,JobGroupName1,JobGroupCode2,JobGroupName2,CreateTime,Creator,ModifyTime,Modifier) VALUES ('05040120','3','A-航空站：行李貨運搬運工人','','','','',getdate(),'Alvin',getdate(),'Alvin')</v>
      </c>
    </row>
    <row r="222" spans="2:13" ht="13.8">
      <c r="B222" s="15" t="s">
        <v>1206</v>
      </c>
      <c r="C222" s="15">
        <v>4</v>
      </c>
      <c r="D222" s="15" t="s">
        <v>1207</v>
      </c>
      <c r="E222" s="15" t="s">
        <v>758</v>
      </c>
      <c r="F222" s="15" t="s">
        <v>758</v>
      </c>
      <c r="G222" s="15" t="s">
        <v>758</v>
      </c>
      <c r="H222" s="15" t="s">
        <v>758</v>
      </c>
      <c r="I222" s="15" t="s">
        <v>2895</v>
      </c>
      <c r="J222" s="15" t="s">
        <v>755</v>
      </c>
      <c r="K222" s="15" t="s">
        <v>2895</v>
      </c>
      <c r="L222" s="15" t="s">
        <v>755</v>
      </c>
      <c r="M222" s="15" t="str">
        <f t="shared" si="3"/>
        <v>insert into dbo.LifeInsJobCode (JobCode,JobGrade,JobDescription,JobGroupCode1,JobGroupName1,JobGroupCode2,JobGroupName2,CreateTime,Creator,ModifyTime,Modifier) VALUES ('05040130','4','A-航空站：加添燃料員','','','','',getdate(),'Alvin',getdate(),'Alvin')</v>
      </c>
    </row>
    <row r="223" spans="2:13" ht="13.8">
      <c r="B223" s="15" t="s">
        <v>1208</v>
      </c>
      <c r="C223" s="15">
        <v>4</v>
      </c>
      <c r="D223" s="15" t="s">
        <v>1209</v>
      </c>
      <c r="E223" s="15" t="s">
        <v>758</v>
      </c>
      <c r="F223" s="15" t="s">
        <v>758</v>
      </c>
      <c r="G223" s="15" t="s">
        <v>758</v>
      </c>
      <c r="H223" s="15" t="s">
        <v>758</v>
      </c>
      <c r="I223" s="15" t="s">
        <v>2895</v>
      </c>
      <c r="J223" s="15" t="s">
        <v>755</v>
      </c>
      <c r="K223" s="15" t="s">
        <v>2895</v>
      </c>
      <c r="L223" s="15" t="s">
        <v>755</v>
      </c>
      <c r="M223" s="15" t="str">
        <f t="shared" si="3"/>
        <v>insert into dbo.LifeInsJobCode (JobCode,JobGrade,JobDescription,JobGroupCode1,JobGroupName1,JobGroupCode2,JobGroupName2,CreateTime,Creator,ModifyTime,Modifier) VALUES ('05040140','4','A-航空站：飛機洗刷人員','','','','',getdate(),'Alvin',getdate(),'Alvin')</v>
      </c>
    </row>
    <row r="224" spans="2:13" ht="13.8">
      <c r="B224" s="15" t="s">
        <v>1210</v>
      </c>
      <c r="C224" s="15">
        <v>4</v>
      </c>
      <c r="D224" s="15" t="s">
        <v>3277</v>
      </c>
      <c r="E224" s="15" t="s">
        <v>758</v>
      </c>
      <c r="F224" s="15" t="s">
        <v>758</v>
      </c>
      <c r="G224" s="15" t="s">
        <v>758</v>
      </c>
      <c r="H224" s="15" t="s">
        <v>758</v>
      </c>
      <c r="I224" s="15" t="s">
        <v>2895</v>
      </c>
      <c r="J224" s="15" t="s">
        <v>755</v>
      </c>
      <c r="K224" s="15" t="s">
        <v>2895</v>
      </c>
      <c r="L224" s="15" t="s">
        <v>755</v>
      </c>
      <c r="M224" s="15" t="str">
        <f t="shared" si="3"/>
        <v>insert into dbo.LifeInsJobCode (JobCode,JobGrade,JobDescription,JobGroupCode1,JobGroupName1,JobGroupCode2,JobGroupName2,CreateTime,Creator,ModifyTime,Modifier) VALUES ('05040150','4','A-航空站：清潔工(高牆或天花板)','','','','',getdate(),'Alvin',getdate(),'Alvin')</v>
      </c>
    </row>
    <row r="225" spans="2:13" ht="13.8">
      <c r="B225" s="15" t="s">
        <v>1211</v>
      </c>
      <c r="C225" s="15">
        <v>4</v>
      </c>
      <c r="D225" s="15" t="s">
        <v>1212</v>
      </c>
      <c r="E225" s="15" t="s">
        <v>758</v>
      </c>
      <c r="F225" s="15" t="s">
        <v>758</v>
      </c>
      <c r="G225" s="15" t="s">
        <v>758</v>
      </c>
      <c r="H225" s="15" t="s">
        <v>758</v>
      </c>
      <c r="I225" s="15" t="s">
        <v>2895</v>
      </c>
      <c r="J225" s="15" t="s">
        <v>755</v>
      </c>
      <c r="K225" s="15" t="s">
        <v>2895</v>
      </c>
      <c r="L225" s="15" t="s">
        <v>755</v>
      </c>
      <c r="M225" s="15" t="str">
        <f t="shared" si="3"/>
        <v>insert into dbo.LifeInsJobCode (JobCode,JobGrade,JobDescription,JobGroupCode1,JobGroupName1,JobGroupCode2,JobGroupName2,CreateTime,Creator,ModifyTime,Modifier) VALUES ('05040160','4','A-航空站：跑道維護工','','','','',getdate(),'Alvin',getdate(),'Alvin')</v>
      </c>
    </row>
    <row r="226" spans="2:13" ht="13.8">
      <c r="B226" s="15" t="s">
        <v>1213</v>
      </c>
      <c r="C226" s="15">
        <v>4</v>
      </c>
      <c r="D226" s="15" t="s">
        <v>1214</v>
      </c>
      <c r="E226" s="15" t="s">
        <v>758</v>
      </c>
      <c r="F226" s="15" t="s">
        <v>758</v>
      </c>
      <c r="G226" s="15" t="s">
        <v>758</v>
      </c>
      <c r="H226" s="15" t="s">
        <v>758</v>
      </c>
      <c r="I226" s="15" t="s">
        <v>2895</v>
      </c>
      <c r="J226" s="15" t="s">
        <v>755</v>
      </c>
      <c r="K226" s="15" t="s">
        <v>2895</v>
      </c>
      <c r="L226" s="15" t="s">
        <v>755</v>
      </c>
      <c r="M226" s="15" t="str">
        <f t="shared" si="3"/>
        <v>insert into dbo.LifeInsJobCode (JobCode,JobGrade,JobDescription,JobGroupCode1,JobGroupName1,JobGroupCode2,JobGroupName2,CreateTime,Creator,ModifyTime,Modifier) VALUES ('05040170','4','A-航空站：機械員','','','','',getdate(),'Alvin',getdate(),'Alvin')</v>
      </c>
    </row>
    <row r="227" spans="2:13" ht="13.8">
      <c r="B227" s="15" t="s">
        <v>1215</v>
      </c>
      <c r="C227" s="15">
        <v>4</v>
      </c>
      <c r="D227" s="15" t="s">
        <v>1216</v>
      </c>
      <c r="E227" s="15" t="s">
        <v>758</v>
      </c>
      <c r="F227" s="15" t="s">
        <v>758</v>
      </c>
      <c r="G227" s="15" t="s">
        <v>758</v>
      </c>
      <c r="H227" s="15" t="s">
        <v>758</v>
      </c>
      <c r="I227" s="15" t="s">
        <v>2895</v>
      </c>
      <c r="J227" s="15" t="s">
        <v>755</v>
      </c>
      <c r="K227" s="15" t="s">
        <v>2895</v>
      </c>
      <c r="L227" s="15" t="s">
        <v>755</v>
      </c>
      <c r="M227" s="15" t="str">
        <f t="shared" si="3"/>
        <v>insert into dbo.LifeInsJobCode (JobCode,JobGrade,JobDescription,JobGroupCode1,JobGroupName1,JobGroupCode2,JobGroupName2,CreateTime,Creator,ModifyTime,Modifier) VALUES ('05040180','4','A-航空站：飛機修護人員','','','','',getdate(),'Alvin',getdate(),'Alvin')</v>
      </c>
    </row>
    <row r="228" spans="2:13" ht="13.8">
      <c r="B228" s="15" t="s">
        <v>1217</v>
      </c>
      <c r="C228" s="15">
        <v>3</v>
      </c>
      <c r="D228" s="15" t="s">
        <v>1218</v>
      </c>
      <c r="E228" s="15" t="s">
        <v>758</v>
      </c>
      <c r="F228" s="15" t="s">
        <v>758</v>
      </c>
      <c r="G228" s="15" t="s">
        <v>758</v>
      </c>
      <c r="H228" s="15" t="s">
        <v>758</v>
      </c>
      <c r="I228" s="15" t="s">
        <v>2895</v>
      </c>
      <c r="J228" s="15" t="s">
        <v>755</v>
      </c>
      <c r="K228" s="15" t="s">
        <v>2895</v>
      </c>
      <c r="L228" s="15" t="s">
        <v>755</v>
      </c>
      <c r="M228" s="15" t="str">
        <f t="shared" si="3"/>
        <v>insert into dbo.LifeInsJobCode (JobCode,JobGrade,JobDescription,JobGroupCode1,JobGroupName1,JobGroupCode2,JobGroupName2,CreateTime,Creator,ModifyTime,Modifier) VALUES ('05040181','3','A-航空站：地面導航人員','','','','',getdate(),'Alvin',getdate(),'Alvin')</v>
      </c>
    </row>
    <row r="229" spans="2:13" ht="13.8">
      <c r="B229" s="15" t="s">
        <v>1219</v>
      </c>
      <c r="C229" s="15">
        <v>1</v>
      </c>
      <c r="D229" s="15" t="s">
        <v>1220</v>
      </c>
      <c r="E229" s="15" t="s">
        <v>758</v>
      </c>
      <c r="F229" s="15" t="s">
        <v>758</v>
      </c>
      <c r="G229" s="15" t="s">
        <v>758</v>
      </c>
      <c r="H229" s="15" t="s">
        <v>758</v>
      </c>
      <c r="I229" s="15" t="s">
        <v>2895</v>
      </c>
      <c r="J229" s="15" t="s">
        <v>755</v>
      </c>
      <c r="K229" s="15" t="s">
        <v>2895</v>
      </c>
      <c r="L229" s="15" t="s">
        <v>755</v>
      </c>
      <c r="M229" s="15" t="str">
        <f t="shared" si="3"/>
        <v>insert into dbo.LifeInsJobCode (JobCode,JobGrade,JobDescription,JobGroupCode1,JobGroupName1,JobGroupCode2,JobGroupName2,CreateTime,Creator,ModifyTime,Modifier) VALUES ('05040190','1','B-航空公司：辦事處人員','','','','',getdate(),'Alvin',getdate(),'Alvin')</v>
      </c>
    </row>
    <row r="230" spans="2:13" ht="13.8">
      <c r="B230" s="15" t="s">
        <v>1221</v>
      </c>
      <c r="C230" s="15">
        <v>1</v>
      </c>
      <c r="D230" s="15" t="s">
        <v>1222</v>
      </c>
      <c r="E230" s="15" t="s">
        <v>758</v>
      </c>
      <c r="F230" s="15" t="s">
        <v>758</v>
      </c>
      <c r="G230" s="15" t="s">
        <v>758</v>
      </c>
      <c r="H230" s="15" t="s">
        <v>758</v>
      </c>
      <c r="I230" s="15" t="s">
        <v>2895</v>
      </c>
      <c r="J230" s="15" t="s">
        <v>755</v>
      </c>
      <c r="K230" s="15" t="s">
        <v>2895</v>
      </c>
      <c r="L230" s="15" t="s">
        <v>755</v>
      </c>
      <c r="M230" s="15" t="str">
        <f t="shared" si="3"/>
        <v>insert into dbo.LifeInsJobCode (JobCode,JobGrade,JobDescription,JobGroupCode1,JobGroupName1,JobGroupCode2,JobGroupName2,CreateTime,Creator,ModifyTime,Modifier) VALUES ('05040200','1','B-航空公司：票務人員','','','','',getdate(),'Alvin',getdate(),'Alvin')</v>
      </c>
    </row>
    <row r="231" spans="2:13" ht="13.8">
      <c r="B231" s="15" t="s">
        <v>1223</v>
      </c>
      <c r="C231" s="15">
        <v>1</v>
      </c>
      <c r="D231" s="15" t="s">
        <v>1224</v>
      </c>
      <c r="E231" s="15" t="s">
        <v>758</v>
      </c>
      <c r="F231" s="15" t="s">
        <v>758</v>
      </c>
      <c r="G231" s="15" t="s">
        <v>758</v>
      </c>
      <c r="H231" s="15" t="s">
        <v>758</v>
      </c>
      <c r="I231" s="15" t="s">
        <v>2895</v>
      </c>
      <c r="J231" s="15" t="s">
        <v>755</v>
      </c>
      <c r="K231" s="15" t="s">
        <v>2895</v>
      </c>
      <c r="L231" s="15" t="s">
        <v>755</v>
      </c>
      <c r="M231" s="15" t="str">
        <f t="shared" si="3"/>
        <v>insert into dbo.LifeInsJobCode (JobCode,JobGrade,JobDescription,JobGroupCode1,JobGroupName1,JobGroupCode2,JobGroupName2,CreateTime,Creator,ModifyTime,Modifier) VALUES ('05040210','1','B-航空公司：機場櫃臺人員','','','','',getdate(),'Alvin',getdate(),'Alvin')</v>
      </c>
    </row>
    <row r="232" spans="2:13" ht="13.8">
      <c r="B232" s="15" t="s">
        <v>1225</v>
      </c>
      <c r="C232" s="15">
        <v>2</v>
      </c>
      <c r="D232" s="15" t="s">
        <v>1226</v>
      </c>
      <c r="E232" s="15" t="s">
        <v>758</v>
      </c>
      <c r="F232" s="15" t="s">
        <v>758</v>
      </c>
      <c r="G232" s="15" t="s">
        <v>758</v>
      </c>
      <c r="H232" s="15" t="s">
        <v>758</v>
      </c>
      <c r="I232" s="15" t="s">
        <v>2895</v>
      </c>
      <c r="J232" s="15" t="s">
        <v>755</v>
      </c>
      <c r="K232" s="15" t="s">
        <v>2895</v>
      </c>
      <c r="L232" s="15" t="s">
        <v>755</v>
      </c>
      <c r="M232" s="15" t="str">
        <f t="shared" si="3"/>
        <v>insert into dbo.LifeInsJobCode (JobCode,JobGrade,JobDescription,JobGroupCode1,JobGroupName1,JobGroupCode2,JobGroupName2,CreateTime,Creator,ModifyTime,Modifier) VALUES ('05040220','2','B-航空公司：清艙員','','','','',getdate(),'Alvin',getdate(),'Alvin')</v>
      </c>
    </row>
    <row r="233" spans="2:13" ht="13.8">
      <c r="B233" s="15" t="s">
        <v>1227</v>
      </c>
      <c r="C233" s="15">
        <v>2</v>
      </c>
      <c r="D233" s="15" t="s">
        <v>1228</v>
      </c>
      <c r="E233" s="15" t="s">
        <v>758</v>
      </c>
      <c r="F233" s="15" t="s">
        <v>758</v>
      </c>
      <c r="G233" s="15" t="s">
        <v>758</v>
      </c>
      <c r="H233" s="15" t="s">
        <v>758</v>
      </c>
      <c r="I233" s="15" t="s">
        <v>2895</v>
      </c>
      <c r="J233" s="15" t="s">
        <v>755</v>
      </c>
      <c r="K233" s="15" t="s">
        <v>2895</v>
      </c>
      <c r="L233" s="15" t="s">
        <v>755</v>
      </c>
      <c r="M233" s="15" t="str">
        <f t="shared" si="3"/>
        <v>insert into dbo.LifeInsJobCode (JobCode,JobGrade,JobDescription,JobGroupCode1,JobGroupName1,JobGroupCode2,JobGroupName2,CreateTime,Creator,ModifyTime,Modifier) VALUES ('05040221','2','B-航空公司：櫃檯行李員','','','','',getdate(),'Alvin',getdate(),'Alvin')</v>
      </c>
    </row>
    <row r="234" spans="2:13" ht="13.8">
      <c r="B234" s="15" t="s">
        <v>1229</v>
      </c>
      <c r="C234" s="15">
        <v>1</v>
      </c>
      <c r="D234" s="15" t="s">
        <v>1230</v>
      </c>
      <c r="E234" s="15" t="s">
        <v>758</v>
      </c>
      <c r="F234" s="15" t="s">
        <v>758</v>
      </c>
      <c r="G234" s="15" t="s">
        <v>758</v>
      </c>
      <c r="H234" s="15" t="s">
        <v>758</v>
      </c>
      <c r="I234" s="15" t="s">
        <v>2895</v>
      </c>
      <c r="J234" s="15" t="s">
        <v>755</v>
      </c>
      <c r="K234" s="15" t="s">
        <v>2895</v>
      </c>
      <c r="L234" s="15" t="s">
        <v>755</v>
      </c>
      <c r="M234" s="15" t="str">
        <f t="shared" si="3"/>
        <v>insert into dbo.LifeInsJobCode (JobCode,JobGrade,JobDescription,JobGroupCode1,JobGroupName1,JobGroupCode2,JobGroupName2,CreateTime,Creator,ModifyTime,Modifier) VALUES ('05040230','1','C-航空貨運：一般內勤人員','','','','',getdate(),'Alvin',getdate(),'Alvin')</v>
      </c>
    </row>
    <row r="235" spans="2:13" ht="13.8">
      <c r="B235" s="15" t="s">
        <v>1231</v>
      </c>
      <c r="C235" s="15">
        <v>2</v>
      </c>
      <c r="D235" s="15" t="s">
        <v>1232</v>
      </c>
      <c r="E235" s="15" t="s">
        <v>758</v>
      </c>
      <c r="F235" s="15" t="s">
        <v>758</v>
      </c>
      <c r="G235" s="15" t="s">
        <v>758</v>
      </c>
      <c r="H235" s="15" t="s">
        <v>758</v>
      </c>
      <c r="I235" s="15" t="s">
        <v>2895</v>
      </c>
      <c r="J235" s="15" t="s">
        <v>755</v>
      </c>
      <c r="K235" s="15" t="s">
        <v>2895</v>
      </c>
      <c r="L235" s="15" t="s">
        <v>755</v>
      </c>
      <c r="M235" s="15" t="str">
        <f t="shared" si="3"/>
        <v>insert into dbo.LifeInsJobCode (JobCode,JobGrade,JobDescription,JobGroupCode1,JobGroupName1,JobGroupCode2,JobGroupName2,CreateTime,Creator,ModifyTime,Modifier) VALUES ('05040240','2','C-航空貨運：外務員','','','','',getdate(),'Alvin',getdate(),'Alvin')</v>
      </c>
    </row>
    <row r="236" spans="2:13" ht="13.8">
      <c r="B236" s="15" t="s">
        <v>1233</v>
      </c>
      <c r="C236" s="15">
        <v>2</v>
      </c>
      <c r="D236" s="15" t="s">
        <v>1234</v>
      </c>
      <c r="E236" s="15" t="s">
        <v>758</v>
      </c>
      <c r="F236" s="15" t="s">
        <v>758</v>
      </c>
      <c r="G236" s="15" t="s">
        <v>758</v>
      </c>
      <c r="H236" s="15" t="s">
        <v>758</v>
      </c>
      <c r="I236" s="15" t="s">
        <v>2895</v>
      </c>
      <c r="J236" s="15" t="s">
        <v>755</v>
      </c>
      <c r="K236" s="15" t="s">
        <v>2895</v>
      </c>
      <c r="L236" s="15" t="s">
        <v>755</v>
      </c>
      <c r="M236" s="15" t="str">
        <f t="shared" si="3"/>
        <v>insert into dbo.LifeInsJobCode (JobCode,JobGrade,JobDescription,JobGroupCode1,JobGroupName1,JobGroupCode2,JobGroupName2,CreateTime,Creator,ModifyTime,Modifier) VALUES ('05040250','2','C-航空貨運：報關人員','','','','',getdate(),'Alvin',getdate(),'Alvin')</v>
      </c>
    </row>
    <row r="237" spans="2:13" ht="13.8">
      <c r="B237" s="15" t="s">
        <v>1235</v>
      </c>
      <c r="C237" s="15">
        <v>3</v>
      </c>
      <c r="D237" s="15" t="s">
        <v>1236</v>
      </c>
      <c r="E237" s="15" t="s">
        <v>758</v>
      </c>
      <c r="F237" s="15" t="s">
        <v>758</v>
      </c>
      <c r="G237" s="15" t="s">
        <v>758</v>
      </c>
      <c r="H237" s="15" t="s">
        <v>758</v>
      </c>
      <c r="I237" s="15" t="s">
        <v>2895</v>
      </c>
      <c r="J237" s="15" t="s">
        <v>755</v>
      </c>
      <c r="K237" s="15" t="s">
        <v>2895</v>
      </c>
      <c r="L237" s="15" t="s">
        <v>755</v>
      </c>
      <c r="M237" s="15" t="str">
        <f t="shared" si="3"/>
        <v>insert into dbo.LifeInsJobCode (JobCode,JobGrade,JobDescription,JobGroupCode1,JobGroupName1,JobGroupCode2,JobGroupName2,CreateTime,Creator,ModifyTime,Modifier) VALUES ('05040260','3','C-航空貨運：理貨員','','','','',getdate(),'Alvin',getdate(),'Alvin')</v>
      </c>
    </row>
    <row r="238" spans="2:13" ht="13.8">
      <c r="B238" s="15" t="s">
        <v>1237</v>
      </c>
      <c r="C238" s="15">
        <v>6</v>
      </c>
      <c r="D238" s="15" t="s">
        <v>1238</v>
      </c>
      <c r="E238" s="15" t="s">
        <v>758</v>
      </c>
      <c r="F238" s="15" t="s">
        <v>758</v>
      </c>
      <c r="G238" s="15" t="s">
        <v>758</v>
      </c>
      <c r="H238" s="15" t="s">
        <v>758</v>
      </c>
      <c r="I238" s="15" t="s">
        <v>2895</v>
      </c>
      <c r="J238" s="15" t="s">
        <v>755</v>
      </c>
      <c r="K238" s="15" t="s">
        <v>2895</v>
      </c>
      <c r="L238" s="15" t="s">
        <v>755</v>
      </c>
      <c r="M238" s="15" t="str">
        <f t="shared" si="3"/>
        <v>insert into dbo.LifeInsJobCode (JobCode,JobGrade,JobDescription,JobGroupCode1,JobGroupName1,JobGroupCode2,JobGroupName2,CreateTime,Creator,ModifyTime,Modifier) VALUES ('05040270','6','D-空勤人員：民航機飛行人員','','','','',getdate(),'Alvin',getdate(),'Alvin')</v>
      </c>
    </row>
    <row r="239" spans="2:13" ht="13.8">
      <c r="B239" s="15" t="s">
        <v>1239</v>
      </c>
      <c r="C239" s="15">
        <v>6</v>
      </c>
      <c r="D239" s="15" t="s">
        <v>1240</v>
      </c>
      <c r="E239" s="15" t="s">
        <v>758</v>
      </c>
      <c r="F239" s="15" t="s">
        <v>758</v>
      </c>
      <c r="G239" s="15" t="s">
        <v>758</v>
      </c>
      <c r="H239" s="15" t="s">
        <v>758</v>
      </c>
      <c r="I239" s="15" t="s">
        <v>2895</v>
      </c>
      <c r="J239" s="15" t="s">
        <v>755</v>
      </c>
      <c r="K239" s="15" t="s">
        <v>2895</v>
      </c>
      <c r="L239" s="15" t="s">
        <v>755</v>
      </c>
      <c r="M239" s="15" t="str">
        <f t="shared" si="3"/>
        <v>insert into dbo.LifeInsJobCode (JobCode,JobGrade,JobDescription,JobGroupCode1,JobGroupName1,JobGroupCode2,JobGroupName2,CreateTime,Creator,ModifyTime,Modifier) VALUES ('05040280','6','D-空勤人員：機上服務員','','','','',getdate(),'Alvin',getdate(),'Alvin')</v>
      </c>
    </row>
    <row r="240" spans="2:13" ht="13.8">
      <c r="B240" s="15" t="s">
        <v>1241</v>
      </c>
      <c r="C240" s="15">
        <v>6</v>
      </c>
      <c r="D240" s="15" t="s">
        <v>1242</v>
      </c>
      <c r="E240" s="15" t="s">
        <v>758</v>
      </c>
      <c r="F240" s="15" t="s">
        <v>758</v>
      </c>
      <c r="G240" s="15" t="s">
        <v>758</v>
      </c>
      <c r="H240" s="15" t="s">
        <v>758</v>
      </c>
      <c r="I240" s="15" t="s">
        <v>2895</v>
      </c>
      <c r="J240" s="15" t="s">
        <v>755</v>
      </c>
      <c r="K240" s="15" t="s">
        <v>2895</v>
      </c>
      <c r="L240" s="15" t="s">
        <v>755</v>
      </c>
      <c r="M240" s="15" t="str">
        <f t="shared" si="3"/>
        <v>insert into dbo.LifeInsJobCode (JobCode,JobGrade,JobDescription,JobGroupCode1,JobGroupName1,JobGroupCode2,JobGroupName2,CreateTime,Creator,ModifyTime,Modifier) VALUES ('05040290','6','D-空勤人員：直昇機飛行人員(含輕型航空器駕駛人員)','','','','',getdate(),'Alvin',getdate(),'Alvin')</v>
      </c>
    </row>
    <row r="241" spans="2:13" ht="13.8">
      <c r="B241" s="15" t="s">
        <v>1243</v>
      </c>
      <c r="C241" s="15">
        <v>6</v>
      </c>
      <c r="D241" s="15" t="s">
        <v>1244</v>
      </c>
      <c r="E241" s="15" t="s">
        <v>758</v>
      </c>
      <c r="F241" s="15" t="s">
        <v>758</v>
      </c>
      <c r="G241" s="15" t="s">
        <v>758</v>
      </c>
      <c r="H241" s="15" t="s">
        <v>758</v>
      </c>
      <c r="I241" s="15" t="s">
        <v>2895</v>
      </c>
      <c r="J241" s="15" t="s">
        <v>755</v>
      </c>
      <c r="K241" s="15" t="s">
        <v>2895</v>
      </c>
      <c r="L241" s="15" t="s">
        <v>755</v>
      </c>
      <c r="M241" s="15" t="str">
        <f t="shared" si="3"/>
        <v>insert into dbo.LifeInsJobCode (JobCode,JobGrade,JobDescription,JobGroupCode1,JobGroupName1,JobGroupCode2,JobGroupName2,CreateTime,Creator,ModifyTime,Modifier) VALUES ('05040291','6','D-空勤人員：民航機培訓人員(航空公司飛行訓練學員)','','','','',getdate(),'Alvin',getdate(),'Alvin')</v>
      </c>
    </row>
    <row r="242" spans="2:13" ht="13.8">
      <c r="B242" s="15" t="s">
        <v>1245</v>
      </c>
      <c r="C242" s="15">
        <v>6</v>
      </c>
      <c r="D242" s="15" t="s">
        <v>1246</v>
      </c>
      <c r="E242" s="15" t="s">
        <v>758</v>
      </c>
      <c r="F242" s="15" t="s">
        <v>758</v>
      </c>
      <c r="G242" s="15" t="s">
        <v>758</v>
      </c>
      <c r="H242" s="15" t="s">
        <v>758</v>
      </c>
      <c r="I242" s="15" t="s">
        <v>2895</v>
      </c>
      <c r="J242" s="15" t="s">
        <v>755</v>
      </c>
      <c r="K242" s="15" t="s">
        <v>2895</v>
      </c>
      <c r="L242" s="15" t="s">
        <v>755</v>
      </c>
      <c r="M242" s="15" t="str">
        <f t="shared" si="3"/>
        <v>insert into dbo.LifeInsJobCode (JobCode,JobGrade,JobDescription,JobGroupCode1,JobGroupName1,JobGroupCode2,JobGroupName2,CreateTime,Creator,ModifyTime,Modifier) VALUES ('05040292','6','D-空勤人員：民航機飛行空安官','','','','',getdate(),'Alvin',getdate(),'Alvin')</v>
      </c>
    </row>
    <row r="243" spans="2:13" ht="13.8">
      <c r="B243" s="15" t="s">
        <v>1247</v>
      </c>
      <c r="C243" s="15">
        <v>7</v>
      </c>
      <c r="D243" s="15" t="s">
        <v>1248</v>
      </c>
      <c r="E243" s="15" t="s">
        <v>758</v>
      </c>
      <c r="F243" s="15" t="s">
        <v>758</v>
      </c>
      <c r="G243" s="15" t="s">
        <v>758</v>
      </c>
      <c r="H243" s="15" t="s">
        <v>758</v>
      </c>
      <c r="I243" s="15" t="s">
        <v>2895</v>
      </c>
      <c r="J243" s="15" t="s">
        <v>755</v>
      </c>
      <c r="K243" s="15" t="s">
        <v>2895</v>
      </c>
      <c r="L243" s="15" t="s">
        <v>755</v>
      </c>
      <c r="M243" s="15" t="str">
        <f t="shared" si="3"/>
        <v>insert into dbo.LifeInsJobCode (JobCode,JobGrade,JobDescription,JobGroupCode1,JobGroupName1,JobGroupCode2,JobGroupName2,CreateTime,Creator,ModifyTime,Modifier) VALUES ('05040293','7','D-空勤人員：民航機試飛員','','','','',getdate(),'Alvin',getdate(),'Alvin')</v>
      </c>
    </row>
    <row r="244" spans="2:13" ht="13.8">
      <c r="B244" s="15" t="s">
        <v>1249</v>
      </c>
      <c r="C244" s="15">
        <v>1</v>
      </c>
      <c r="D244" s="15" t="s">
        <v>1067</v>
      </c>
      <c r="E244" s="15" t="s">
        <v>1250</v>
      </c>
      <c r="F244" s="15" t="s">
        <v>1251</v>
      </c>
      <c r="G244" s="15" t="s">
        <v>1252</v>
      </c>
      <c r="H244" s="15" t="s">
        <v>1253</v>
      </c>
      <c r="I244" s="15" t="s">
        <v>2895</v>
      </c>
      <c r="J244" s="15" t="s">
        <v>755</v>
      </c>
      <c r="K244" s="15" t="s">
        <v>2895</v>
      </c>
      <c r="L244" s="15" t="s">
        <v>755</v>
      </c>
      <c r="M244" s="15" t="str">
        <f t="shared" si="3"/>
        <v>insert into dbo.LifeInsJobCode (JobCode,JobGrade,JobDescription,JobGroupCode1,JobGroupName1,JobGroupCode2,JobGroupName2,CreateTime,Creator,ModifyTime,Modifier) VALUES ('06010010','1','一般內勤人員','06','餐旅業','0601','旅遊業',getdate(),'Alvin',getdate(),'Alvin')</v>
      </c>
    </row>
    <row r="245" spans="2:13" ht="13.8">
      <c r="B245" s="15" t="s">
        <v>1254</v>
      </c>
      <c r="C245" s="15">
        <v>2</v>
      </c>
      <c r="D245" s="15" t="s">
        <v>971</v>
      </c>
      <c r="E245" s="15" t="s">
        <v>758</v>
      </c>
      <c r="F245" s="15" t="s">
        <v>758</v>
      </c>
      <c r="G245" s="15" t="s">
        <v>758</v>
      </c>
      <c r="H245" s="15" t="s">
        <v>758</v>
      </c>
      <c r="I245" s="15" t="s">
        <v>2895</v>
      </c>
      <c r="J245" s="15" t="s">
        <v>755</v>
      </c>
      <c r="K245" s="15" t="s">
        <v>2895</v>
      </c>
      <c r="L245" s="15" t="s">
        <v>755</v>
      </c>
      <c r="M245" s="15" t="str">
        <f t="shared" si="3"/>
        <v>insert into dbo.LifeInsJobCode (JobCode,JobGrade,JobDescription,JobGroupCode1,JobGroupName1,JobGroupCode2,JobGroupName2,CreateTime,Creator,ModifyTime,Modifier) VALUES ('06010020','2','外務員','','','','',getdate(),'Alvin',getdate(),'Alvin')</v>
      </c>
    </row>
    <row r="246" spans="2:13" ht="13.8">
      <c r="B246" s="15" t="s">
        <v>1255</v>
      </c>
      <c r="C246" s="15">
        <v>2</v>
      </c>
      <c r="D246" s="15" t="s">
        <v>1256</v>
      </c>
      <c r="E246" s="15" t="s">
        <v>758</v>
      </c>
      <c r="F246" s="15" t="s">
        <v>758</v>
      </c>
      <c r="G246" s="15" t="s">
        <v>758</v>
      </c>
      <c r="H246" s="15" t="s">
        <v>758</v>
      </c>
      <c r="I246" s="15" t="s">
        <v>2895</v>
      </c>
      <c r="J246" s="15" t="s">
        <v>755</v>
      </c>
      <c r="K246" s="15" t="s">
        <v>2895</v>
      </c>
      <c r="L246" s="15" t="s">
        <v>755</v>
      </c>
      <c r="M246" s="15" t="str">
        <f t="shared" si="3"/>
        <v>insert into dbo.LifeInsJobCode (JobCode,JobGrade,JobDescription,JobGroupCode1,JobGroupName1,JobGroupCode2,JobGroupName2,CreateTime,Creator,ModifyTime,Modifier) VALUES ('06010030','2','導遊、領隊','','','','',getdate(),'Alvin',getdate(),'Alvin')</v>
      </c>
    </row>
    <row r="247" spans="2:13" ht="13.8">
      <c r="B247" s="15" t="s">
        <v>1257</v>
      </c>
      <c r="C247" s="15">
        <v>2</v>
      </c>
      <c r="D247" s="15" t="s">
        <v>1258</v>
      </c>
      <c r="E247" s="15" t="s">
        <v>758</v>
      </c>
      <c r="F247" s="15" t="s">
        <v>758</v>
      </c>
      <c r="G247" s="15" t="s">
        <v>758</v>
      </c>
      <c r="H247" s="15" t="s">
        <v>758</v>
      </c>
      <c r="I247" s="15" t="s">
        <v>2895</v>
      </c>
      <c r="J247" s="15" t="s">
        <v>755</v>
      </c>
      <c r="K247" s="15" t="s">
        <v>2895</v>
      </c>
      <c r="L247" s="15" t="s">
        <v>755</v>
      </c>
      <c r="M247" s="15" t="str">
        <f t="shared" si="3"/>
        <v>insert into dbo.LifeInsJobCode (JobCode,JobGrade,JobDescription,JobGroupCode1,JobGroupName1,JobGroupCode2,JobGroupName2,CreateTime,Creator,ModifyTime,Modifier) VALUES ('06010040','2','送機人員','','','','',getdate(),'Alvin',getdate(),'Alvin')</v>
      </c>
    </row>
    <row r="248" spans="2:13" ht="13.8">
      <c r="B248" s="15" t="s">
        <v>1259</v>
      </c>
      <c r="C248" s="15">
        <v>2</v>
      </c>
      <c r="D248" s="15" t="s">
        <v>1260</v>
      </c>
      <c r="E248" s="15" t="s">
        <v>758</v>
      </c>
      <c r="F248" s="15" t="s">
        <v>758</v>
      </c>
      <c r="G248" s="15" t="s">
        <v>758</v>
      </c>
      <c r="H248" s="15" t="s">
        <v>758</v>
      </c>
      <c r="I248" s="15" t="s">
        <v>2895</v>
      </c>
      <c r="J248" s="15" t="s">
        <v>755</v>
      </c>
      <c r="K248" s="15" t="s">
        <v>2895</v>
      </c>
      <c r="L248" s="15" t="s">
        <v>755</v>
      </c>
      <c r="M248" s="15" t="str">
        <f t="shared" si="3"/>
        <v>insert into dbo.LifeInsJobCode (JobCode,JobGrade,JobDescription,JobGroupCode1,JobGroupName1,JobGroupCode2,JobGroupName2,CreateTime,Creator,ModifyTime,Modifier) VALUES ('06010050','2','機場接送人員、泊車人員','','','','',getdate(),'Alvin',getdate(),'Alvin')</v>
      </c>
    </row>
    <row r="249" spans="2:13" ht="13.8">
      <c r="B249" s="15" t="s">
        <v>1261</v>
      </c>
      <c r="C249" s="15">
        <v>4</v>
      </c>
      <c r="D249" s="15" t="s">
        <v>1262</v>
      </c>
      <c r="E249" s="15" t="s">
        <v>758</v>
      </c>
      <c r="F249" s="15" t="s">
        <v>758</v>
      </c>
      <c r="G249" s="15" t="s">
        <v>758</v>
      </c>
      <c r="H249" s="15" t="s">
        <v>758</v>
      </c>
      <c r="I249" s="15" t="s">
        <v>2895</v>
      </c>
      <c r="J249" s="15" t="s">
        <v>755</v>
      </c>
      <c r="K249" s="15" t="s">
        <v>2895</v>
      </c>
      <c r="L249" s="15" t="s">
        <v>755</v>
      </c>
      <c r="M249" s="15" t="str">
        <f t="shared" si="3"/>
        <v>insert into dbo.LifeInsJobCode (JobCode,JobGrade,JobDescription,JobGroupCode1,JobGroupName1,JobGroupCode2,JobGroupName2,CreateTime,Creator,ModifyTime,Modifier) VALUES ('06010060','4','登山嚮導','','','','',getdate(),'Alvin',getdate(),'Alvin')</v>
      </c>
    </row>
    <row r="250" spans="2:13" ht="13.8">
      <c r="B250" s="15" t="s">
        <v>1263</v>
      </c>
      <c r="C250" s="15">
        <v>4</v>
      </c>
      <c r="D250" s="15" t="s">
        <v>1264</v>
      </c>
      <c r="E250" s="15" t="s">
        <v>758</v>
      </c>
      <c r="F250" s="15" t="s">
        <v>758</v>
      </c>
      <c r="G250" s="15" t="s">
        <v>758</v>
      </c>
      <c r="H250" s="15" t="s">
        <v>758</v>
      </c>
      <c r="I250" s="15" t="s">
        <v>2895</v>
      </c>
      <c r="J250" s="15" t="s">
        <v>755</v>
      </c>
      <c r="K250" s="15" t="s">
        <v>2895</v>
      </c>
      <c r="L250" s="15" t="s">
        <v>755</v>
      </c>
      <c r="M250" s="15" t="str">
        <f t="shared" si="3"/>
        <v>insert into dbo.LifeInsJobCode (JobCode,JobGrade,JobDescription,JobGroupCode1,JobGroupName1,JobGroupCode2,JobGroupName2,CreateTime,Creator,ModifyTime,Modifier) VALUES ('06010070','4','國內泛舟安全人員','','','','',getdate(),'Alvin',getdate(),'Alvin')</v>
      </c>
    </row>
    <row r="251" spans="2:13" ht="13.8">
      <c r="B251" s="15" t="s">
        <v>1265</v>
      </c>
      <c r="C251" s="15">
        <v>2</v>
      </c>
      <c r="D251" s="15" t="s">
        <v>896</v>
      </c>
      <c r="E251" s="15" t="s">
        <v>758</v>
      </c>
      <c r="F251" s="15" t="s">
        <v>758</v>
      </c>
      <c r="G251" s="15" t="s">
        <v>758</v>
      </c>
      <c r="H251" s="15" t="s">
        <v>758</v>
      </c>
      <c r="I251" s="15" t="s">
        <v>2895</v>
      </c>
      <c r="J251" s="15" t="s">
        <v>755</v>
      </c>
      <c r="K251" s="15" t="s">
        <v>2895</v>
      </c>
      <c r="L251" s="15" t="s">
        <v>755</v>
      </c>
      <c r="M251" s="15" t="str">
        <f t="shared" si="3"/>
        <v>insert into dbo.LifeInsJobCode (JobCode,JobGrade,JobDescription,JobGroupCode1,JobGroupName1,JobGroupCode2,JobGroupName2,CreateTime,Creator,ModifyTime,Modifier) VALUES ('06010080','2','導覽解說員','','','','',getdate(),'Alvin',getdate(),'Alvin')</v>
      </c>
    </row>
    <row r="252" spans="2:13" ht="13.8">
      <c r="B252" s="15" t="s">
        <v>1266</v>
      </c>
      <c r="C252" s="15">
        <v>1</v>
      </c>
      <c r="D252" s="15" t="s">
        <v>1267</v>
      </c>
      <c r="E252" s="15" t="s">
        <v>758</v>
      </c>
      <c r="F252" s="15" t="s">
        <v>758</v>
      </c>
      <c r="G252" s="15" t="s">
        <v>1268</v>
      </c>
      <c r="H252" s="15" t="s">
        <v>1269</v>
      </c>
      <c r="I252" s="15" t="s">
        <v>2895</v>
      </c>
      <c r="J252" s="15" t="s">
        <v>755</v>
      </c>
      <c r="K252" s="15" t="s">
        <v>2895</v>
      </c>
      <c r="L252" s="15" t="s">
        <v>755</v>
      </c>
      <c r="M252" s="15" t="str">
        <f t="shared" si="3"/>
        <v>insert into dbo.LifeInsJobCode (JobCode,JobGrade,JobDescription,JobGroupCode1,JobGroupName1,JobGroupCode2,JobGroupName2,CreateTime,Creator,ModifyTime,Modifier) VALUES ('06020010','1','負責人','','','0602','旅館業',getdate(),'Alvin',getdate(),'Alvin')</v>
      </c>
    </row>
    <row r="253" spans="2:13" ht="13.8">
      <c r="B253" s="15" t="s">
        <v>1270</v>
      </c>
      <c r="C253" s="15">
        <v>1</v>
      </c>
      <c r="D253" s="15" t="s">
        <v>3278</v>
      </c>
      <c r="E253" s="15" t="s">
        <v>758</v>
      </c>
      <c r="F253" s="15" t="s">
        <v>758</v>
      </c>
      <c r="G253" s="15" t="s">
        <v>758</v>
      </c>
      <c r="H253" s="15" t="s">
        <v>758</v>
      </c>
      <c r="I253" s="15" t="s">
        <v>2895</v>
      </c>
      <c r="J253" s="15" t="s">
        <v>755</v>
      </c>
      <c r="K253" s="15" t="s">
        <v>2895</v>
      </c>
      <c r="L253" s="15" t="s">
        <v>755</v>
      </c>
      <c r="M253" s="15" t="str">
        <f t="shared" si="3"/>
        <v>insert into dbo.LifeInsJobCode (JobCode,JobGrade,JobDescription,JobGroupCode1,JobGroupName1,JobGroupCode2,JobGroupName2,CreateTime,Creator,ModifyTime,Modifier) VALUES ('06020020','1','一般內勤服務人員(辦公室職員、櫃檯、服務檯)','','','','',getdate(),'Alvin',getdate(),'Alvin')</v>
      </c>
    </row>
    <row r="254" spans="2:13" ht="13.8">
      <c r="B254" s="15" t="s">
        <v>1271</v>
      </c>
      <c r="C254" s="15">
        <v>2</v>
      </c>
      <c r="D254" s="15" t="s">
        <v>971</v>
      </c>
      <c r="E254" s="15" t="s">
        <v>758</v>
      </c>
      <c r="F254" s="15" t="s">
        <v>758</v>
      </c>
      <c r="G254" s="15" t="s">
        <v>758</v>
      </c>
      <c r="H254" s="15" t="s">
        <v>758</v>
      </c>
      <c r="I254" s="15" t="s">
        <v>2895</v>
      </c>
      <c r="J254" s="15" t="s">
        <v>755</v>
      </c>
      <c r="K254" s="15" t="s">
        <v>2895</v>
      </c>
      <c r="L254" s="15" t="s">
        <v>755</v>
      </c>
      <c r="M254" s="15" t="str">
        <f t="shared" si="3"/>
        <v>insert into dbo.LifeInsJobCode (JobCode,JobGrade,JobDescription,JobGroupCode1,JobGroupName1,JobGroupCode2,JobGroupName2,CreateTime,Creator,ModifyTime,Modifier) VALUES ('06020030','2','外務員','','','','',getdate(),'Alvin',getdate(),'Alvin')</v>
      </c>
    </row>
    <row r="255" spans="2:13" ht="13.8">
      <c r="B255" s="15" t="s">
        <v>1272</v>
      </c>
      <c r="C255" s="15">
        <v>2</v>
      </c>
      <c r="D255" s="15" t="s">
        <v>1273</v>
      </c>
      <c r="E255" s="15" t="s">
        <v>758</v>
      </c>
      <c r="F255" s="15" t="s">
        <v>758</v>
      </c>
      <c r="G255" s="15" t="s">
        <v>758</v>
      </c>
      <c r="H255" s="15" t="s">
        <v>758</v>
      </c>
      <c r="I255" s="15" t="s">
        <v>2895</v>
      </c>
      <c r="J255" s="15" t="s">
        <v>755</v>
      </c>
      <c r="K255" s="15" t="s">
        <v>2895</v>
      </c>
      <c r="L255" s="15" t="s">
        <v>755</v>
      </c>
      <c r="M255" s="15" t="str">
        <f t="shared" si="3"/>
        <v>insert into dbo.LifeInsJobCode (JobCode,JobGrade,JobDescription,JobGroupCode1,JobGroupName1,JobGroupCode2,JobGroupName2,CreateTime,Creator,ModifyTime,Modifier) VALUES ('06020040','2','收帳員','','','','',getdate(),'Alvin',getdate(),'Alvin')</v>
      </c>
    </row>
    <row r="256" spans="2:13" ht="13.8">
      <c r="B256" s="15" t="s">
        <v>1274</v>
      </c>
      <c r="C256" s="15">
        <v>3</v>
      </c>
      <c r="D256" s="15" t="s">
        <v>3279</v>
      </c>
      <c r="E256" s="15" t="s">
        <v>758</v>
      </c>
      <c r="F256" s="15" t="s">
        <v>758</v>
      </c>
      <c r="G256" s="15" t="s">
        <v>758</v>
      </c>
      <c r="H256" s="15" t="s">
        <v>758</v>
      </c>
      <c r="I256" s="15" t="s">
        <v>2895</v>
      </c>
      <c r="J256" s="15" t="s">
        <v>755</v>
      </c>
      <c r="K256" s="15" t="s">
        <v>2895</v>
      </c>
      <c r="L256" s="15" t="s">
        <v>755</v>
      </c>
      <c r="M256" s="15" t="str">
        <f t="shared" si="3"/>
        <v>insert into dbo.LifeInsJobCode (JobCode,JobGrade,JobDescription,JobGroupCode1,JobGroupName1,JobGroupCode2,JobGroupName2,CreateTime,Creator,ModifyTime,Modifier) VALUES ('06020050','3','技工(註：餐飲部工作人員比照餐飲業)','','','','',getdate(),'Alvin',getdate(),'Alvin')</v>
      </c>
    </row>
    <row r="257" spans="2:13" ht="13.8">
      <c r="B257" s="15" t="s">
        <v>1275</v>
      </c>
      <c r="C257" s="15">
        <v>2</v>
      </c>
      <c r="D257" s="15" t="s">
        <v>1276</v>
      </c>
      <c r="E257" s="15" t="s">
        <v>758</v>
      </c>
      <c r="F257" s="15" t="s">
        <v>758</v>
      </c>
      <c r="G257" s="15" t="s">
        <v>758</v>
      </c>
      <c r="H257" s="15" t="s">
        <v>758</v>
      </c>
      <c r="I257" s="15" t="s">
        <v>2895</v>
      </c>
      <c r="J257" s="15" t="s">
        <v>755</v>
      </c>
      <c r="K257" s="15" t="s">
        <v>2895</v>
      </c>
      <c r="L257" s="15" t="s">
        <v>755</v>
      </c>
      <c r="M257" s="15" t="str">
        <f t="shared" si="3"/>
        <v>insert into dbo.LifeInsJobCode (JobCode,JobGrade,JobDescription,JobGroupCode1,JobGroupName1,JobGroupCode2,JobGroupName2,CreateTime,Creator,ModifyTime,Modifier) VALUES ('06020060','2','搬運行李服務人員','','','','',getdate(),'Alvin',getdate(),'Alvin')</v>
      </c>
    </row>
    <row r="258" spans="2:13" ht="13.8">
      <c r="B258" s="15" t="s">
        <v>1277</v>
      </c>
      <c r="C258" s="15">
        <v>2</v>
      </c>
      <c r="D258" s="15" t="s">
        <v>1278</v>
      </c>
      <c r="E258" s="15" t="s">
        <v>758</v>
      </c>
      <c r="F258" s="15" t="s">
        <v>758</v>
      </c>
      <c r="G258" s="15" t="s">
        <v>758</v>
      </c>
      <c r="H258" s="15" t="s">
        <v>758</v>
      </c>
      <c r="I258" s="15" t="s">
        <v>2895</v>
      </c>
      <c r="J258" s="15" t="s">
        <v>755</v>
      </c>
      <c r="K258" s="15" t="s">
        <v>2895</v>
      </c>
      <c r="L258" s="15" t="s">
        <v>755</v>
      </c>
      <c r="M258" s="15" t="str">
        <f t="shared" ref="M258:M321" si="4">$M$1 &amp; " VALUES ('"&amp;B258&amp;"','"&amp;C258&amp;"','"&amp;D258&amp;"','"&amp;E258&amp;"','"&amp;F258&amp;"','"&amp;G258&amp;"','"&amp;H258&amp;"',"&amp;I258&amp;",'"&amp;J258&amp;"',"&amp;K258&amp;",'"&amp;L258&amp;"')"</f>
        <v>insert into dbo.LifeInsJobCode (JobCode,JobGrade,JobDescription,JobGroupCode1,JobGroupName1,JobGroupCode2,JobGroupName2,CreateTime,Creator,ModifyTime,Modifier) VALUES ('06020070','2','客房服務人員','','','','',getdate(),'Alvin',getdate(),'Alvin')</v>
      </c>
    </row>
    <row r="259" spans="2:13" ht="13.8">
      <c r="B259" s="15" t="s">
        <v>1279</v>
      </c>
      <c r="C259" s="15">
        <v>2</v>
      </c>
      <c r="D259" s="15" t="s">
        <v>1280</v>
      </c>
      <c r="E259" s="15" t="s">
        <v>758</v>
      </c>
      <c r="F259" s="15" t="s">
        <v>758</v>
      </c>
      <c r="G259" s="15" t="s">
        <v>758</v>
      </c>
      <c r="H259" s="15" t="s">
        <v>758</v>
      </c>
      <c r="I259" s="15" t="s">
        <v>2895</v>
      </c>
      <c r="J259" s="15" t="s">
        <v>755</v>
      </c>
      <c r="K259" s="15" t="s">
        <v>2895</v>
      </c>
      <c r="L259" s="15" t="s">
        <v>755</v>
      </c>
      <c r="M259" s="15" t="str">
        <f t="shared" si="4"/>
        <v>insert into dbo.LifeInsJobCode (JobCode,JobGrade,JobDescription,JobGroupCode1,JobGroupName1,JobGroupCode2,JobGroupName2,CreateTime,Creator,ModifyTime,Modifier) VALUES ('06020080','2','清潔工','','','','',getdate(),'Alvin',getdate(),'Alvin')</v>
      </c>
    </row>
    <row r="260" spans="2:13" ht="13.8">
      <c r="B260" s="15" t="s">
        <v>1281</v>
      </c>
      <c r="C260" s="15">
        <v>2</v>
      </c>
      <c r="D260" s="15" t="s">
        <v>1282</v>
      </c>
      <c r="E260" s="15" t="s">
        <v>758</v>
      </c>
      <c r="F260" s="15" t="s">
        <v>758</v>
      </c>
      <c r="G260" s="15" t="s">
        <v>758</v>
      </c>
      <c r="H260" s="15" t="s">
        <v>758</v>
      </c>
      <c r="I260" s="15" t="s">
        <v>2895</v>
      </c>
      <c r="J260" s="15" t="s">
        <v>755</v>
      </c>
      <c r="K260" s="15" t="s">
        <v>2895</v>
      </c>
      <c r="L260" s="15" t="s">
        <v>755</v>
      </c>
      <c r="M260" s="15" t="str">
        <f t="shared" si="4"/>
        <v>insert into dbo.LifeInsJobCode (JobCode,JobGrade,JobDescription,JobGroupCode1,JobGroupName1,JobGroupCode2,JobGroupName2,CreateTime,Creator,ModifyTime,Modifier) VALUES ('06020090','2','洗衣人員','','','','',getdate(),'Alvin',getdate(),'Alvin')</v>
      </c>
    </row>
    <row r="261" spans="2:13" ht="13.8">
      <c r="B261" s="15" t="s">
        <v>1283</v>
      </c>
      <c r="C261" s="15">
        <v>4</v>
      </c>
      <c r="D261" s="15" t="s">
        <v>1284</v>
      </c>
      <c r="E261" s="15" t="s">
        <v>758</v>
      </c>
      <c r="F261" s="15" t="s">
        <v>758</v>
      </c>
      <c r="G261" s="15" t="s">
        <v>758</v>
      </c>
      <c r="H261" s="15" t="s">
        <v>758</v>
      </c>
      <c r="I261" s="15" t="s">
        <v>2895</v>
      </c>
      <c r="J261" s="15" t="s">
        <v>755</v>
      </c>
      <c r="K261" s="15" t="s">
        <v>2895</v>
      </c>
      <c r="L261" s="15" t="s">
        <v>755</v>
      </c>
      <c r="M261" s="15" t="str">
        <f t="shared" si="4"/>
        <v>insert into dbo.LifeInsJobCode (JobCode,JobGrade,JobDescription,JobGroupCode1,JobGroupName1,JobGroupCode2,JobGroupName2,CreateTime,Creator,ModifyTime,Modifier) VALUES ('06020100','4','水電、機電工','','','','',getdate(),'Alvin',getdate(),'Alvin')</v>
      </c>
    </row>
    <row r="262" spans="2:13" ht="13.8">
      <c r="B262" s="15" t="s">
        <v>1285</v>
      </c>
      <c r="C262" s="15">
        <v>2</v>
      </c>
      <c r="D262" s="15" t="s">
        <v>1286</v>
      </c>
      <c r="E262" s="15" t="s">
        <v>758</v>
      </c>
      <c r="F262" s="15" t="s">
        <v>758</v>
      </c>
      <c r="G262" s="15" t="s">
        <v>758</v>
      </c>
      <c r="H262" s="15" t="s">
        <v>758</v>
      </c>
      <c r="I262" s="15" t="s">
        <v>2895</v>
      </c>
      <c r="J262" s="15" t="s">
        <v>755</v>
      </c>
      <c r="K262" s="15" t="s">
        <v>2895</v>
      </c>
      <c r="L262" s="15" t="s">
        <v>755</v>
      </c>
      <c r="M262" s="15" t="str">
        <f t="shared" si="4"/>
        <v>insert into dbo.LifeInsJobCode (JobCode,JobGrade,JobDescription,JobGroupCode1,JobGroupName1,JobGroupCode2,JobGroupName2,CreateTime,Creator,ModifyTime,Modifier) VALUES ('06020110','2','飯店保全人員','','','','',getdate(),'Alvin',getdate(),'Alvin')</v>
      </c>
    </row>
    <row r="263" spans="2:13" ht="13.8">
      <c r="B263" s="15" t="s">
        <v>1287</v>
      </c>
      <c r="C263" s="15">
        <v>2</v>
      </c>
      <c r="D263" s="15" t="s">
        <v>1288</v>
      </c>
      <c r="E263" s="15" t="s">
        <v>758</v>
      </c>
      <c r="F263" s="15" t="s">
        <v>758</v>
      </c>
      <c r="G263" s="15" t="s">
        <v>758</v>
      </c>
      <c r="H263" s="15" t="s">
        <v>758</v>
      </c>
      <c r="I263" s="15" t="s">
        <v>2895</v>
      </c>
      <c r="J263" s="15" t="s">
        <v>755</v>
      </c>
      <c r="K263" s="15" t="s">
        <v>2895</v>
      </c>
      <c r="L263" s="15" t="s">
        <v>755</v>
      </c>
      <c r="M263" s="15" t="str">
        <f t="shared" si="4"/>
        <v>insert into dbo.LifeInsJobCode (JobCode,JobGrade,JobDescription,JobGroupCode1,JobGroupName1,JobGroupCode2,JobGroupName2,CreateTime,Creator,ModifyTime,Modifier) VALUES ('06020120','2','泊車人員','','','','',getdate(),'Alvin',getdate(),'Alvin')</v>
      </c>
    </row>
    <row r="264" spans="2:13" ht="13.8">
      <c r="B264" s="15" t="s">
        <v>1289</v>
      </c>
      <c r="C264" s="15">
        <v>1</v>
      </c>
      <c r="D264" s="15" t="s">
        <v>1290</v>
      </c>
      <c r="E264" s="15" t="s">
        <v>758</v>
      </c>
      <c r="F264" s="15" t="s">
        <v>758</v>
      </c>
      <c r="G264" s="15" t="s">
        <v>1291</v>
      </c>
      <c r="H264" s="15" t="s">
        <v>1292</v>
      </c>
      <c r="I264" s="15" t="s">
        <v>2895</v>
      </c>
      <c r="J264" s="15" t="s">
        <v>755</v>
      </c>
      <c r="K264" s="15" t="s">
        <v>2895</v>
      </c>
      <c r="L264" s="15" t="s">
        <v>755</v>
      </c>
      <c r="M264" s="15" t="str">
        <f t="shared" si="4"/>
        <v>insert into dbo.LifeInsJobCode (JobCode,JobGrade,JobDescription,JobGroupCode1,JobGroupName1,JobGroupCode2,JobGroupName2,CreateTime,Creator,ModifyTime,Modifier) VALUES ('06030010','1','經理人員','','','0603','餐飲業',getdate(),'Alvin',getdate(),'Alvin')</v>
      </c>
    </row>
    <row r="265" spans="2:13" ht="13.8">
      <c r="B265" s="15" t="s">
        <v>1293</v>
      </c>
      <c r="C265" s="15">
        <v>1</v>
      </c>
      <c r="D265" s="15" t="s">
        <v>1294</v>
      </c>
      <c r="E265" s="15" t="s">
        <v>758</v>
      </c>
      <c r="F265" s="15" t="s">
        <v>758</v>
      </c>
      <c r="G265" s="15" t="s">
        <v>758</v>
      </c>
      <c r="H265" s="15" t="s">
        <v>758</v>
      </c>
      <c r="I265" s="15" t="s">
        <v>2895</v>
      </c>
      <c r="J265" s="15" t="s">
        <v>755</v>
      </c>
      <c r="K265" s="15" t="s">
        <v>2895</v>
      </c>
      <c r="L265" s="15" t="s">
        <v>755</v>
      </c>
      <c r="M265" s="15" t="str">
        <f t="shared" si="4"/>
        <v>insert into dbo.LifeInsJobCode (JobCode,JobGrade,JobDescription,JobGroupCode1,JobGroupName1,JobGroupCode2,JobGroupName2,CreateTime,Creator,ModifyTime,Modifier) VALUES ('06030020','1','一般內勤工作人員','','','','',getdate(),'Alvin',getdate(),'Alvin')</v>
      </c>
    </row>
    <row r="266" spans="2:13" ht="13.8">
      <c r="B266" s="15" t="s">
        <v>1295</v>
      </c>
      <c r="C266" s="15">
        <v>1</v>
      </c>
      <c r="D266" s="15" t="s">
        <v>1296</v>
      </c>
      <c r="E266" s="15" t="s">
        <v>758</v>
      </c>
      <c r="F266" s="15" t="s">
        <v>758</v>
      </c>
      <c r="G266" s="15" t="s">
        <v>758</v>
      </c>
      <c r="H266" s="15" t="s">
        <v>758</v>
      </c>
      <c r="I266" s="15" t="s">
        <v>2895</v>
      </c>
      <c r="J266" s="15" t="s">
        <v>755</v>
      </c>
      <c r="K266" s="15" t="s">
        <v>2895</v>
      </c>
      <c r="L266" s="15" t="s">
        <v>755</v>
      </c>
      <c r="M266" s="15" t="str">
        <f t="shared" si="4"/>
        <v>insert into dbo.LifeInsJobCode (JobCode,JobGrade,JobDescription,JobGroupCode1,JobGroupName1,JobGroupCode2,JobGroupName2,CreateTime,Creator,ModifyTime,Modifier) VALUES ('06030030','1','櫃臺人員','','','','',getdate(),'Alvin',getdate(),'Alvin')</v>
      </c>
    </row>
    <row r="267" spans="2:13" ht="13.8">
      <c r="B267" s="15" t="s">
        <v>1297</v>
      </c>
      <c r="C267" s="15">
        <v>2</v>
      </c>
      <c r="D267" s="15" t="s">
        <v>1273</v>
      </c>
      <c r="E267" s="15" t="s">
        <v>758</v>
      </c>
      <c r="F267" s="15" t="s">
        <v>758</v>
      </c>
      <c r="G267" s="15" t="s">
        <v>758</v>
      </c>
      <c r="H267" s="15" t="s">
        <v>758</v>
      </c>
      <c r="I267" s="15" t="s">
        <v>2895</v>
      </c>
      <c r="J267" s="15" t="s">
        <v>755</v>
      </c>
      <c r="K267" s="15" t="s">
        <v>2895</v>
      </c>
      <c r="L267" s="15" t="s">
        <v>755</v>
      </c>
      <c r="M267" s="15" t="str">
        <f t="shared" si="4"/>
        <v>insert into dbo.LifeInsJobCode (JobCode,JobGrade,JobDescription,JobGroupCode1,JobGroupName1,JobGroupCode2,JobGroupName2,CreateTime,Creator,ModifyTime,Modifier) VALUES ('06030040','2','收帳員','','','','',getdate(),'Alvin',getdate(),'Alvin')</v>
      </c>
    </row>
    <row r="268" spans="2:13" ht="13.8">
      <c r="B268" s="15" t="s">
        <v>1298</v>
      </c>
      <c r="C268" s="15">
        <v>2</v>
      </c>
      <c r="D268" s="15" t="s">
        <v>1299</v>
      </c>
      <c r="E268" s="15" t="s">
        <v>758</v>
      </c>
      <c r="F268" s="15" t="s">
        <v>758</v>
      </c>
      <c r="G268" s="15" t="s">
        <v>758</v>
      </c>
      <c r="H268" s="15" t="s">
        <v>758</v>
      </c>
      <c r="I268" s="15" t="s">
        <v>2895</v>
      </c>
      <c r="J268" s="15" t="s">
        <v>755</v>
      </c>
      <c r="K268" s="15" t="s">
        <v>2895</v>
      </c>
      <c r="L268" s="15" t="s">
        <v>755</v>
      </c>
      <c r="M268" s="15" t="str">
        <f t="shared" si="4"/>
        <v>insert into dbo.LifeInsJobCode (JobCode,JobGrade,JobDescription,JobGroupCode1,JobGroupName1,JobGroupCode2,JobGroupName2,CreateTime,Creator,ModifyTime,Modifier) VALUES ('06030050','2','採購人員','','','','',getdate(),'Alvin',getdate(),'Alvin')</v>
      </c>
    </row>
    <row r="269" spans="2:13" ht="13.8">
      <c r="B269" s="15" t="s">
        <v>1300</v>
      </c>
      <c r="C269" s="15">
        <v>2</v>
      </c>
      <c r="D269" s="15" t="s">
        <v>1301</v>
      </c>
      <c r="E269" s="15" t="s">
        <v>758</v>
      </c>
      <c r="F269" s="15" t="s">
        <v>758</v>
      </c>
      <c r="G269" s="15" t="s">
        <v>758</v>
      </c>
      <c r="H269" s="15" t="s">
        <v>758</v>
      </c>
      <c r="I269" s="15" t="s">
        <v>2895</v>
      </c>
      <c r="J269" s="15" t="s">
        <v>755</v>
      </c>
      <c r="K269" s="15" t="s">
        <v>2895</v>
      </c>
      <c r="L269" s="15" t="s">
        <v>755</v>
      </c>
      <c r="M269" s="15" t="str">
        <f t="shared" si="4"/>
        <v>insert into dbo.LifeInsJobCode (JobCode,JobGrade,JobDescription,JobGroupCode1,JobGroupName1,JobGroupCode2,JobGroupName2,CreateTime,Creator,ModifyTime,Modifier) VALUES ('06030060','2','廚師','','','','',getdate(),'Alvin',getdate(),'Alvin')</v>
      </c>
    </row>
    <row r="270" spans="2:13" ht="13.8">
      <c r="B270" s="15" t="s">
        <v>1302</v>
      </c>
      <c r="C270" s="15">
        <v>2</v>
      </c>
      <c r="D270" s="15" t="s">
        <v>1303</v>
      </c>
      <c r="E270" s="15" t="s">
        <v>758</v>
      </c>
      <c r="F270" s="15" t="s">
        <v>758</v>
      </c>
      <c r="G270" s="15" t="s">
        <v>758</v>
      </c>
      <c r="H270" s="15" t="s">
        <v>758</v>
      </c>
      <c r="I270" s="15" t="s">
        <v>2895</v>
      </c>
      <c r="J270" s="15" t="s">
        <v>755</v>
      </c>
      <c r="K270" s="15" t="s">
        <v>2895</v>
      </c>
      <c r="L270" s="15" t="s">
        <v>755</v>
      </c>
      <c r="M270" s="15" t="str">
        <f t="shared" si="4"/>
        <v>insert into dbo.LifeInsJobCode (JobCode,JobGrade,JobDescription,JobGroupCode1,JobGroupName1,JobGroupCode2,JobGroupName2,CreateTime,Creator,ModifyTime,Modifier) VALUES ('06030070','2','服務人員','','','','',getdate(),'Alvin',getdate(),'Alvin')</v>
      </c>
    </row>
    <row r="271" spans="2:13" ht="13.8">
      <c r="B271" s="15" t="s">
        <v>1304</v>
      </c>
      <c r="C271" s="15">
        <v>2</v>
      </c>
      <c r="D271" s="15" t="s">
        <v>1305</v>
      </c>
      <c r="E271" s="15" t="s">
        <v>758</v>
      </c>
      <c r="F271" s="15" t="s">
        <v>758</v>
      </c>
      <c r="G271" s="15" t="s">
        <v>758</v>
      </c>
      <c r="H271" s="15" t="s">
        <v>758</v>
      </c>
      <c r="I271" s="15" t="s">
        <v>2895</v>
      </c>
      <c r="J271" s="15" t="s">
        <v>755</v>
      </c>
      <c r="K271" s="15" t="s">
        <v>2895</v>
      </c>
      <c r="L271" s="15" t="s">
        <v>755</v>
      </c>
      <c r="M271" s="15" t="str">
        <f t="shared" si="4"/>
        <v>insert into dbo.LifeInsJobCode (JobCode,JobGrade,JobDescription,JobGroupCode1,JobGroupName1,JobGroupCode2,JobGroupName2,CreateTime,Creator,ModifyTime,Modifier) VALUES ('06030080','2','洗碗工','','','','',getdate(),'Alvin',getdate(),'Alvin')</v>
      </c>
    </row>
    <row r="272" spans="2:13" ht="13.8">
      <c r="B272" s="15" t="s">
        <v>1306</v>
      </c>
      <c r="C272" s="15">
        <v>2</v>
      </c>
      <c r="D272" s="15" t="s">
        <v>1280</v>
      </c>
      <c r="E272" s="15" t="s">
        <v>758</v>
      </c>
      <c r="F272" s="15" t="s">
        <v>758</v>
      </c>
      <c r="G272" s="15" t="s">
        <v>758</v>
      </c>
      <c r="H272" s="15" t="s">
        <v>758</v>
      </c>
      <c r="I272" s="15" t="s">
        <v>2895</v>
      </c>
      <c r="J272" s="15" t="s">
        <v>755</v>
      </c>
      <c r="K272" s="15" t="s">
        <v>2895</v>
      </c>
      <c r="L272" s="15" t="s">
        <v>755</v>
      </c>
      <c r="M272" s="15" t="str">
        <f t="shared" si="4"/>
        <v>insert into dbo.LifeInsJobCode (JobCode,JobGrade,JobDescription,JobGroupCode1,JobGroupName1,JobGroupCode2,JobGroupName2,CreateTime,Creator,ModifyTime,Modifier) VALUES ('06030090','2','清潔工','','','','',getdate(),'Alvin',getdate(),'Alvin')</v>
      </c>
    </row>
    <row r="273" spans="2:13" ht="13.8">
      <c r="B273" s="15" t="s">
        <v>1307</v>
      </c>
      <c r="C273" s="15">
        <v>2</v>
      </c>
      <c r="D273" s="15" t="s">
        <v>1308</v>
      </c>
      <c r="E273" s="15" t="s">
        <v>758</v>
      </c>
      <c r="F273" s="15" t="s">
        <v>758</v>
      </c>
      <c r="G273" s="15" t="s">
        <v>758</v>
      </c>
      <c r="H273" s="15" t="s">
        <v>758</v>
      </c>
      <c r="I273" s="15" t="s">
        <v>2895</v>
      </c>
      <c r="J273" s="15" t="s">
        <v>755</v>
      </c>
      <c r="K273" s="15" t="s">
        <v>2895</v>
      </c>
      <c r="L273" s="15" t="s">
        <v>755</v>
      </c>
      <c r="M273" s="15" t="str">
        <f t="shared" si="4"/>
        <v>insert into dbo.LifeInsJobCode (JobCode,JobGrade,JobDescription,JobGroupCode1,JobGroupName1,JobGroupCode2,JobGroupName2,CreateTime,Creator,ModifyTime,Modifier) VALUES ('06030100','2','調酒師','','','','',getdate(),'Alvin',getdate(),'Alvin')</v>
      </c>
    </row>
    <row r="274" spans="2:13" ht="13.8">
      <c r="B274" s="15" t="s">
        <v>1309</v>
      </c>
      <c r="C274" s="15">
        <v>2</v>
      </c>
      <c r="D274" s="15" t="s">
        <v>971</v>
      </c>
      <c r="E274" s="15" t="s">
        <v>758</v>
      </c>
      <c r="F274" s="15" t="s">
        <v>758</v>
      </c>
      <c r="G274" s="15" t="s">
        <v>758</v>
      </c>
      <c r="H274" s="15" t="s">
        <v>758</v>
      </c>
      <c r="I274" s="15" t="s">
        <v>2895</v>
      </c>
      <c r="J274" s="15" t="s">
        <v>755</v>
      </c>
      <c r="K274" s="15" t="s">
        <v>2895</v>
      </c>
      <c r="L274" s="15" t="s">
        <v>755</v>
      </c>
      <c r="M274" s="15" t="str">
        <f t="shared" si="4"/>
        <v>insert into dbo.LifeInsJobCode (JobCode,JobGrade,JobDescription,JobGroupCode1,JobGroupName1,JobGroupCode2,JobGroupName2,CreateTime,Creator,ModifyTime,Modifier) VALUES ('06030110','2','外務員','','','','',getdate(),'Alvin',getdate(),'Alvin')</v>
      </c>
    </row>
    <row r="275" spans="2:13" ht="13.8">
      <c r="B275" s="15" t="s">
        <v>1310</v>
      </c>
      <c r="C275" s="15">
        <v>2</v>
      </c>
      <c r="D275" s="15" t="s">
        <v>3331</v>
      </c>
      <c r="E275" s="15" t="s">
        <v>758</v>
      </c>
      <c r="F275" s="15" t="s">
        <v>758</v>
      </c>
      <c r="G275" s="15" t="s">
        <v>758</v>
      </c>
      <c r="H275" s="15" t="s">
        <v>758</v>
      </c>
      <c r="I275" s="15" t="s">
        <v>2895</v>
      </c>
      <c r="J275" s="15" t="s">
        <v>755</v>
      </c>
      <c r="K275" s="15" t="s">
        <v>2895</v>
      </c>
      <c r="L275" s="15" t="s">
        <v>755</v>
      </c>
      <c r="M275" s="15" t="str">
        <f t="shared" si="4"/>
        <v>insert into dbo.LifeInsJobCode (JobCode,JobGrade,JobDescription,JobGroupCode1,JobGroupName1,JobGroupCode2,JobGroupName2,CreateTime,Creator,ModifyTime,Modifier) VALUES ('06030120','2','早餐店工作人員','','','','',getdate(),'Alvin',getdate(),'Alvin')</v>
      </c>
    </row>
    <row r="276" spans="2:13" ht="13.8">
      <c r="B276" s="15" t="s">
        <v>1311</v>
      </c>
      <c r="C276" s="15">
        <v>2</v>
      </c>
      <c r="D276" s="15" t="s">
        <v>1312</v>
      </c>
      <c r="E276" s="15" t="s">
        <v>758</v>
      </c>
      <c r="F276" s="15" t="s">
        <v>758</v>
      </c>
      <c r="G276" s="15" t="s">
        <v>758</v>
      </c>
      <c r="H276" s="15" t="s">
        <v>758</v>
      </c>
      <c r="I276" s="15" t="s">
        <v>2895</v>
      </c>
      <c r="J276" s="15" t="s">
        <v>755</v>
      </c>
      <c r="K276" s="15" t="s">
        <v>2895</v>
      </c>
      <c r="L276" s="15" t="s">
        <v>755</v>
      </c>
      <c r="M276" s="15" t="str">
        <f t="shared" si="4"/>
        <v>insert into dbo.LifeInsJobCode (JobCode,JobGrade,JobDescription,JobGroupCode1,JobGroupName1,JobGroupCode2,JobGroupName2,CreateTime,Creator,ModifyTime,Modifier) VALUES ('06030130','2','自助餐工作人員','','','','',getdate(),'Alvin',getdate(),'Alvin')</v>
      </c>
    </row>
    <row r="277" spans="2:13" ht="13.8">
      <c r="B277" s="15" t="s">
        <v>1313</v>
      </c>
      <c r="C277" s="15">
        <v>1</v>
      </c>
      <c r="D277" s="15" t="s">
        <v>1314</v>
      </c>
      <c r="E277" s="15" t="s">
        <v>758</v>
      </c>
      <c r="F277" s="15" t="s">
        <v>758</v>
      </c>
      <c r="G277" s="15" t="s">
        <v>758</v>
      </c>
      <c r="H277" s="15" t="s">
        <v>758</v>
      </c>
      <c r="I277" s="15" t="s">
        <v>2895</v>
      </c>
      <c r="J277" s="15" t="s">
        <v>755</v>
      </c>
      <c r="K277" s="15" t="s">
        <v>2895</v>
      </c>
      <c r="L277" s="15" t="s">
        <v>755</v>
      </c>
      <c r="M277" s="15" t="str">
        <f t="shared" si="4"/>
        <v>insert into dbo.LifeInsJobCode (JobCode,JobGrade,JobDescription,JobGroupCode1,JobGroupName1,JobGroupCode2,JobGroupName2,CreateTime,Creator,ModifyTime,Modifier) VALUES ('06030140','1','領檯帶位人員','','','','',getdate(),'Alvin',getdate(),'Alvin')</v>
      </c>
    </row>
    <row r="278" spans="2:13" ht="13.8">
      <c r="B278" s="15" t="s">
        <v>1315</v>
      </c>
      <c r="C278" s="15">
        <v>2</v>
      </c>
      <c r="D278" s="15" t="s">
        <v>1316</v>
      </c>
      <c r="E278" s="15" t="s">
        <v>758</v>
      </c>
      <c r="F278" s="15" t="s">
        <v>758</v>
      </c>
      <c r="G278" s="15" t="s">
        <v>758</v>
      </c>
      <c r="H278" s="15" t="s">
        <v>758</v>
      </c>
      <c r="I278" s="15" t="s">
        <v>2895</v>
      </c>
      <c r="J278" s="15" t="s">
        <v>755</v>
      </c>
      <c r="K278" s="15" t="s">
        <v>2895</v>
      </c>
      <c r="L278" s="15" t="s">
        <v>755</v>
      </c>
      <c r="M278" s="15" t="str">
        <f t="shared" si="4"/>
        <v>insert into dbo.LifeInsJobCode (JobCode,JobGrade,JobDescription,JobGroupCode1,JobGroupName1,JobGroupCode2,JobGroupName2,CreateTime,Creator,ModifyTime,Modifier) VALUES ('06030150','2','速食店工作人員','','','','',getdate(),'Alvin',getdate(),'Alvin')</v>
      </c>
    </row>
    <row r="279" spans="2:13" ht="13.8">
      <c r="B279" s="15" t="s">
        <v>1317</v>
      </c>
      <c r="C279" s="15">
        <v>2</v>
      </c>
      <c r="D279" s="15" t="s">
        <v>1318</v>
      </c>
      <c r="E279" s="15" t="s">
        <v>758</v>
      </c>
      <c r="F279" s="15" t="s">
        <v>758</v>
      </c>
      <c r="G279" s="15" t="s">
        <v>758</v>
      </c>
      <c r="H279" s="15" t="s">
        <v>758</v>
      </c>
      <c r="I279" s="15" t="s">
        <v>2895</v>
      </c>
      <c r="J279" s="15" t="s">
        <v>755</v>
      </c>
      <c r="K279" s="15" t="s">
        <v>2895</v>
      </c>
      <c r="L279" s="15" t="s">
        <v>755</v>
      </c>
      <c r="M279" s="15" t="str">
        <f t="shared" si="4"/>
        <v>insert into dbo.LifeInsJobCode (JobCode,JobGrade,JobDescription,JobGroupCode1,JobGroupName1,JobGroupCode2,JobGroupName2,CreateTime,Creator,ModifyTime,Modifier) VALUES ('06030160','2','小吃店人員','','','','',getdate(),'Alvin',getdate(),'Alvin')</v>
      </c>
    </row>
    <row r="280" spans="2:13" ht="13.8">
      <c r="B280" s="15" t="s">
        <v>1319</v>
      </c>
      <c r="C280" s="15">
        <v>2</v>
      </c>
      <c r="D280" s="15" t="s">
        <v>1320</v>
      </c>
      <c r="E280" s="15" t="s">
        <v>758</v>
      </c>
      <c r="F280" s="15" t="s">
        <v>758</v>
      </c>
      <c r="G280" s="15" t="s">
        <v>758</v>
      </c>
      <c r="H280" s="15" t="s">
        <v>758</v>
      </c>
      <c r="I280" s="15" t="s">
        <v>2895</v>
      </c>
      <c r="J280" s="15" t="s">
        <v>755</v>
      </c>
      <c r="K280" s="15" t="s">
        <v>2895</v>
      </c>
      <c r="L280" s="15" t="s">
        <v>755</v>
      </c>
      <c r="M280" s="15" t="str">
        <f t="shared" si="4"/>
        <v>insert into dbo.LifeInsJobCode (JobCode,JobGrade,JobDescription,JobGroupCode1,JobGroupName1,JobGroupCode2,JobGroupName2,CreateTime,Creator,ModifyTime,Modifier) VALUES ('06030170','2','外燴辦桌人員','','','','',getdate(),'Alvin',getdate(),'Alvin')</v>
      </c>
    </row>
    <row r="281" spans="2:13" ht="13.8">
      <c r="B281" s="15" t="s">
        <v>1321</v>
      </c>
      <c r="C281" s="15">
        <v>2</v>
      </c>
      <c r="D281" s="15" t="s">
        <v>1322</v>
      </c>
      <c r="E281" s="15" t="s">
        <v>758</v>
      </c>
      <c r="F281" s="15" t="s">
        <v>758</v>
      </c>
      <c r="G281" s="15" t="s">
        <v>758</v>
      </c>
      <c r="H281" s="15" t="s">
        <v>758</v>
      </c>
      <c r="I281" s="15" t="s">
        <v>2895</v>
      </c>
      <c r="J281" s="15" t="s">
        <v>755</v>
      </c>
      <c r="K281" s="15" t="s">
        <v>2895</v>
      </c>
      <c r="L281" s="15" t="s">
        <v>755</v>
      </c>
      <c r="M281" s="15" t="str">
        <f t="shared" si="4"/>
        <v>insert into dbo.LifeInsJobCode (JobCode,JobGrade,JobDescription,JobGroupCode1,JobGroupName1,JobGroupCode2,JobGroupName2,CreateTime,Creator,ModifyTime,Modifier) VALUES ('06030180','2','咖啡店人員','','','','',getdate(),'Alvin',getdate(),'Alvin')</v>
      </c>
    </row>
    <row r="282" spans="2:13" ht="13.8">
      <c r="B282" s="15" t="s">
        <v>1323</v>
      </c>
      <c r="C282" s="15">
        <v>2</v>
      </c>
      <c r="D282" s="15" t="s">
        <v>1324</v>
      </c>
      <c r="E282" s="15" t="s">
        <v>758</v>
      </c>
      <c r="F282" s="15" t="s">
        <v>758</v>
      </c>
      <c r="G282" s="15" t="s">
        <v>758</v>
      </c>
      <c r="H282" s="15" t="s">
        <v>758</v>
      </c>
      <c r="I282" s="15" t="s">
        <v>2895</v>
      </c>
      <c r="J282" s="15" t="s">
        <v>755</v>
      </c>
      <c r="K282" s="15" t="s">
        <v>2895</v>
      </c>
      <c r="L282" s="15" t="s">
        <v>755</v>
      </c>
      <c r="M282" s="15" t="str">
        <f t="shared" si="4"/>
        <v>insert into dbo.LifeInsJobCode (JobCode,JobGrade,JobDescription,JobGroupCode1,JobGroupName1,JobGroupCode2,JobGroupName2,CreateTime,Creator,ModifyTime,Modifier) VALUES ('06030190','2','泡沫茶店人員','','','','',getdate(),'Alvin',getdate(),'Alvin')</v>
      </c>
    </row>
    <row r="283" spans="2:13" ht="13.8">
      <c r="B283" s="15" t="s">
        <v>1325</v>
      </c>
      <c r="C283" s="15">
        <v>2</v>
      </c>
      <c r="D283" s="15" t="s">
        <v>1326</v>
      </c>
      <c r="E283" s="15" t="s">
        <v>758</v>
      </c>
      <c r="F283" s="15" t="s">
        <v>758</v>
      </c>
      <c r="G283" s="15" t="s">
        <v>758</v>
      </c>
      <c r="H283" s="15" t="s">
        <v>758</v>
      </c>
      <c r="I283" s="15" t="s">
        <v>2895</v>
      </c>
      <c r="J283" s="15" t="s">
        <v>755</v>
      </c>
      <c r="K283" s="15" t="s">
        <v>2895</v>
      </c>
      <c r="L283" s="15" t="s">
        <v>755</v>
      </c>
      <c r="M283" s="15" t="str">
        <f t="shared" si="4"/>
        <v>insert into dbo.LifeInsJobCode (JobCode,JobGrade,JobDescription,JobGroupCode1,JobGroupName1,JobGroupCode2,JobGroupName2,CreateTime,Creator,ModifyTime,Modifier) VALUES ('06030200','2','行動咖啡車工作人員','','','','',getdate(),'Alvin',getdate(),'Alvin')</v>
      </c>
    </row>
    <row r="284" spans="2:13" ht="13.8">
      <c r="B284" s="15" t="s">
        <v>1327</v>
      </c>
      <c r="C284" s="15">
        <v>2</v>
      </c>
      <c r="D284" s="15" t="s">
        <v>1328</v>
      </c>
      <c r="E284" s="15" t="s">
        <v>758</v>
      </c>
      <c r="F284" s="15" t="s">
        <v>758</v>
      </c>
      <c r="G284" s="15" t="s">
        <v>758</v>
      </c>
      <c r="H284" s="15" t="s">
        <v>758</v>
      </c>
      <c r="I284" s="15" t="s">
        <v>2895</v>
      </c>
      <c r="J284" s="15" t="s">
        <v>755</v>
      </c>
      <c r="K284" s="15" t="s">
        <v>2895</v>
      </c>
      <c r="L284" s="15" t="s">
        <v>755</v>
      </c>
      <c r="M284" s="15" t="str">
        <f t="shared" si="4"/>
        <v>insert into dbo.LifeInsJobCode (JobCode,JobGrade,JobDescription,JobGroupCode1,JobGroupName1,JobGroupCode2,JobGroupName2,CreateTime,Creator,ModifyTime,Modifier) VALUES ('06030210','2','飲食攤販','','','','',getdate(),'Alvin',getdate(),'Alvin')</v>
      </c>
    </row>
    <row r="285" spans="2:13" ht="13.8">
      <c r="B285" s="15" t="s">
        <v>1329</v>
      </c>
      <c r="C285" s="15">
        <v>1</v>
      </c>
      <c r="D285" s="15" t="s">
        <v>1330</v>
      </c>
      <c r="E285" s="15" t="s">
        <v>1331</v>
      </c>
      <c r="F285" s="15" t="s">
        <v>1332</v>
      </c>
      <c r="G285" s="15" t="s">
        <v>1333</v>
      </c>
      <c r="H285" s="15" t="s">
        <v>1334</v>
      </c>
      <c r="I285" s="15" t="s">
        <v>2895</v>
      </c>
      <c r="J285" s="15" t="s">
        <v>755</v>
      </c>
      <c r="K285" s="15" t="s">
        <v>2895</v>
      </c>
      <c r="L285" s="15" t="s">
        <v>755</v>
      </c>
      <c r="M285" s="15" t="str">
        <f t="shared" si="4"/>
        <v>insert into dbo.LifeInsJobCode (JobCode,JobGrade,JobDescription,JobGroupCode1,JobGroupName1,JobGroupCode2,JobGroupName2,CreateTime,Creator,ModifyTime,Modifier) VALUES ('07010010','1','建築師','07','建築工程業','0701','建築公司、土木工程',getdate(),'Alvin',getdate(),'Alvin')</v>
      </c>
    </row>
    <row r="286" spans="2:13" ht="13.8">
      <c r="B286" s="15" t="s">
        <v>1335</v>
      </c>
      <c r="C286" s="15">
        <v>1</v>
      </c>
      <c r="D286" s="15" t="s">
        <v>1336</v>
      </c>
      <c r="E286" s="15" t="s">
        <v>758</v>
      </c>
      <c r="F286" s="15" t="s">
        <v>758</v>
      </c>
      <c r="G286" s="15" t="s">
        <v>758</v>
      </c>
      <c r="H286" s="15" t="s">
        <v>758</v>
      </c>
      <c r="I286" s="15" t="s">
        <v>2895</v>
      </c>
      <c r="J286" s="15" t="s">
        <v>755</v>
      </c>
      <c r="K286" s="15" t="s">
        <v>2895</v>
      </c>
      <c r="L286" s="15" t="s">
        <v>755</v>
      </c>
      <c r="M286" s="15" t="str">
        <f t="shared" si="4"/>
        <v>insert into dbo.LifeInsJobCode (JobCode,JobGrade,JobDescription,JobGroupCode1,JobGroupName1,JobGroupCode2,JobGroupName2,CreateTime,Creator,ModifyTime,Modifier) VALUES ('07010020','1','製圖員','','','','',getdate(),'Alvin',getdate(),'Alvin')</v>
      </c>
    </row>
    <row r="287" spans="2:13" ht="13.8">
      <c r="B287" s="15" t="s">
        <v>1337</v>
      </c>
      <c r="C287" s="15">
        <v>1</v>
      </c>
      <c r="D287" s="15" t="s">
        <v>973</v>
      </c>
      <c r="E287" s="15" t="s">
        <v>758</v>
      </c>
      <c r="F287" s="15" t="s">
        <v>758</v>
      </c>
      <c r="G287" s="15" t="s">
        <v>758</v>
      </c>
      <c r="H287" s="15" t="s">
        <v>758</v>
      </c>
      <c r="I287" s="15" t="s">
        <v>2895</v>
      </c>
      <c r="J287" s="15" t="s">
        <v>755</v>
      </c>
      <c r="K287" s="15" t="s">
        <v>2895</v>
      </c>
      <c r="L287" s="15" t="s">
        <v>755</v>
      </c>
      <c r="M287" s="15" t="str">
        <f t="shared" si="4"/>
        <v>insert into dbo.LifeInsJobCode (JobCode,JobGrade,JobDescription,JobGroupCode1,JobGroupName1,JobGroupCode2,JobGroupName2,CreateTime,Creator,ModifyTime,Modifier) VALUES ('07010030','1','內勤工作人員','','','','',getdate(),'Alvin',getdate(),'Alvin')</v>
      </c>
    </row>
    <row r="288" spans="2:13" ht="13.8">
      <c r="B288" s="15" t="s">
        <v>1338</v>
      </c>
      <c r="C288" s="15">
        <v>3</v>
      </c>
      <c r="D288" s="15" t="s">
        <v>1339</v>
      </c>
      <c r="E288" s="15" t="s">
        <v>758</v>
      </c>
      <c r="F288" s="15" t="s">
        <v>758</v>
      </c>
      <c r="G288" s="15" t="s">
        <v>758</v>
      </c>
      <c r="H288" s="15" t="s">
        <v>758</v>
      </c>
      <c r="I288" s="15" t="s">
        <v>2895</v>
      </c>
      <c r="J288" s="15" t="s">
        <v>755</v>
      </c>
      <c r="K288" s="15" t="s">
        <v>2895</v>
      </c>
      <c r="L288" s="15" t="s">
        <v>755</v>
      </c>
      <c r="M288" s="15" t="str">
        <f t="shared" si="4"/>
        <v>insert into dbo.LifeInsJobCode (JobCode,JobGrade,JobDescription,JobGroupCode1,JobGroupName1,JobGroupCode2,JobGroupName2,CreateTime,Creator,ModifyTime,Modifier) VALUES ('07010040','3','測量員','','','','',getdate(),'Alvin',getdate(),'Alvin')</v>
      </c>
    </row>
    <row r="289" spans="2:13" ht="13.8">
      <c r="B289" s="15" t="s">
        <v>1340</v>
      </c>
      <c r="C289" s="15">
        <v>3</v>
      </c>
      <c r="D289" s="15" t="s">
        <v>958</v>
      </c>
      <c r="E289" s="15" t="s">
        <v>758</v>
      </c>
      <c r="F289" s="15" t="s">
        <v>758</v>
      </c>
      <c r="G289" s="15" t="s">
        <v>758</v>
      </c>
      <c r="H289" s="15" t="s">
        <v>758</v>
      </c>
      <c r="I289" s="15" t="s">
        <v>2895</v>
      </c>
      <c r="J289" s="15" t="s">
        <v>755</v>
      </c>
      <c r="K289" s="15" t="s">
        <v>2895</v>
      </c>
      <c r="L289" s="15" t="s">
        <v>755</v>
      </c>
      <c r="M289" s="15" t="str">
        <f t="shared" si="4"/>
        <v>insert into dbo.LifeInsJobCode (JobCode,JobGrade,JobDescription,JobGroupCode1,JobGroupName1,JobGroupCode2,JobGroupName2,CreateTime,Creator,ModifyTime,Modifier) VALUES ('07010050','3','工程師','','','','',getdate(),'Alvin',getdate(),'Alvin')</v>
      </c>
    </row>
    <row r="290" spans="2:13" ht="13.8">
      <c r="B290" s="15" t="s">
        <v>1341</v>
      </c>
      <c r="C290" s="15">
        <v>3</v>
      </c>
      <c r="D290" s="15" t="s">
        <v>841</v>
      </c>
      <c r="E290" s="15" t="s">
        <v>758</v>
      </c>
      <c r="F290" s="15" t="s">
        <v>758</v>
      </c>
      <c r="G290" s="15" t="s">
        <v>758</v>
      </c>
      <c r="H290" s="15" t="s">
        <v>758</v>
      </c>
      <c r="I290" s="15" t="s">
        <v>2895</v>
      </c>
      <c r="J290" s="15" t="s">
        <v>755</v>
      </c>
      <c r="K290" s="15" t="s">
        <v>2895</v>
      </c>
      <c r="L290" s="15" t="s">
        <v>755</v>
      </c>
      <c r="M290" s="15" t="str">
        <f t="shared" si="4"/>
        <v>insert into dbo.LifeInsJobCode (JobCode,JobGrade,JobDescription,JobGroupCode1,JobGroupName1,JobGroupCode2,JobGroupName2,CreateTime,Creator,ModifyTime,Modifier) VALUES ('07010060','3','監工','','','','',getdate(),'Alvin',getdate(),'Alvin')</v>
      </c>
    </row>
    <row r="291" spans="2:13" ht="13.8">
      <c r="B291" s="15" t="s">
        <v>1342</v>
      </c>
      <c r="C291" s="15">
        <v>2</v>
      </c>
      <c r="D291" s="15" t="s">
        <v>1343</v>
      </c>
      <c r="E291" s="15" t="s">
        <v>758</v>
      </c>
      <c r="F291" s="15" t="s">
        <v>758</v>
      </c>
      <c r="G291" s="15" t="s">
        <v>758</v>
      </c>
      <c r="H291" s="15" t="s">
        <v>758</v>
      </c>
      <c r="I291" s="15" t="s">
        <v>2895</v>
      </c>
      <c r="J291" s="15" t="s">
        <v>755</v>
      </c>
      <c r="K291" s="15" t="s">
        <v>2895</v>
      </c>
      <c r="L291" s="15" t="s">
        <v>755</v>
      </c>
      <c r="M291" s="15" t="str">
        <f t="shared" si="4"/>
        <v>insert into dbo.LifeInsJobCode (JobCode,JobGrade,JobDescription,JobGroupCode1,JobGroupName1,JobGroupCode2,JobGroupName2,CreateTime,Creator,ModifyTime,Modifier) VALUES ('07010070','2','業務員','','','','',getdate(),'Alvin',getdate(),'Alvin')</v>
      </c>
    </row>
    <row r="292" spans="2:13" ht="13.8">
      <c r="B292" s="15" t="s">
        <v>1344</v>
      </c>
      <c r="C292" s="15">
        <v>2</v>
      </c>
      <c r="D292" s="15" t="s">
        <v>1345</v>
      </c>
      <c r="E292" s="15" t="s">
        <v>758</v>
      </c>
      <c r="F292" s="15" t="s">
        <v>758</v>
      </c>
      <c r="G292" s="15" t="s">
        <v>758</v>
      </c>
      <c r="H292" s="15" t="s">
        <v>758</v>
      </c>
      <c r="I292" s="15" t="s">
        <v>2895</v>
      </c>
      <c r="J292" s="15" t="s">
        <v>755</v>
      </c>
      <c r="K292" s="15" t="s">
        <v>2895</v>
      </c>
      <c r="L292" s="15" t="s">
        <v>755</v>
      </c>
      <c r="M292" s="15" t="str">
        <f t="shared" si="4"/>
        <v>insert into dbo.LifeInsJobCode (JobCode,JobGrade,JobDescription,JobGroupCode1,JobGroupName1,JobGroupCode2,JobGroupName2,CreateTime,Creator,ModifyTime,Modifier) VALUES ('07010080','2','引導參觀工地之服務人員','','','','',getdate(),'Alvin',getdate(),'Alvin')</v>
      </c>
    </row>
    <row r="293" spans="2:13" ht="13.8">
      <c r="B293" s="15" t="s">
        <v>1346</v>
      </c>
      <c r="C293" s="15">
        <v>3</v>
      </c>
      <c r="D293" s="15" t="s">
        <v>835</v>
      </c>
      <c r="E293" s="15" t="s">
        <v>758</v>
      </c>
      <c r="F293" s="15" t="s">
        <v>758</v>
      </c>
      <c r="G293" s="15" t="s">
        <v>758</v>
      </c>
      <c r="H293" s="15" t="s">
        <v>758</v>
      </c>
      <c r="I293" s="15" t="s">
        <v>2895</v>
      </c>
      <c r="J293" s="15" t="s">
        <v>755</v>
      </c>
      <c r="K293" s="15" t="s">
        <v>2895</v>
      </c>
      <c r="L293" s="15" t="s">
        <v>755</v>
      </c>
      <c r="M293" s="15" t="str">
        <f t="shared" si="4"/>
        <v>insert into dbo.LifeInsJobCode (JobCode,JobGrade,JobDescription,JobGroupCode1,JobGroupName1,JobGroupCode2,JobGroupName2,CreateTime,Creator,ModifyTime,Modifier) VALUES ('07010090','3','領班','','','','',getdate(),'Alvin',getdate(),'Alvin')</v>
      </c>
    </row>
    <row r="294" spans="2:13" ht="13.8">
      <c r="B294" s="15" t="s">
        <v>1347</v>
      </c>
      <c r="C294" s="15">
        <v>4</v>
      </c>
      <c r="D294" s="15" t="s">
        <v>1348</v>
      </c>
      <c r="E294" s="15" t="s">
        <v>758</v>
      </c>
      <c r="F294" s="15" t="s">
        <v>758</v>
      </c>
      <c r="G294" s="15" t="s">
        <v>758</v>
      </c>
      <c r="H294" s="15" t="s">
        <v>758</v>
      </c>
      <c r="I294" s="15" t="s">
        <v>2895</v>
      </c>
      <c r="J294" s="15" t="s">
        <v>755</v>
      </c>
      <c r="K294" s="15" t="s">
        <v>2895</v>
      </c>
      <c r="L294" s="15" t="s">
        <v>755</v>
      </c>
      <c r="M294" s="15" t="str">
        <f t="shared" si="4"/>
        <v>insert into dbo.LifeInsJobCode (JobCode,JobGrade,JobDescription,JobGroupCode1,JobGroupName1,JobGroupCode2,JobGroupName2,CreateTime,Creator,ModifyTime,Modifier) VALUES ('07010100','4','模板工','','','','',getdate(),'Alvin',getdate(),'Alvin')</v>
      </c>
    </row>
    <row r="295" spans="2:13" ht="13.8">
      <c r="B295" s="15" t="s">
        <v>1349</v>
      </c>
      <c r="C295" s="15">
        <v>3</v>
      </c>
      <c r="D295" s="15" t="s">
        <v>1350</v>
      </c>
      <c r="E295" s="15" t="s">
        <v>758</v>
      </c>
      <c r="F295" s="15" t="s">
        <v>758</v>
      </c>
      <c r="G295" s="15" t="s">
        <v>758</v>
      </c>
      <c r="H295" s="15" t="s">
        <v>758</v>
      </c>
      <c r="I295" s="15" t="s">
        <v>2895</v>
      </c>
      <c r="J295" s="15" t="s">
        <v>755</v>
      </c>
      <c r="K295" s="15" t="s">
        <v>2895</v>
      </c>
      <c r="L295" s="15" t="s">
        <v>755</v>
      </c>
      <c r="M295" s="15" t="str">
        <f t="shared" si="4"/>
        <v>insert into dbo.LifeInsJobCode (JobCode,JobGrade,JobDescription,JobGroupCode1,JobGroupName1,JobGroupCode2,JobGroupName2,CreateTime,Creator,ModifyTime,Modifier) VALUES ('07010110','3','木匠','','','','',getdate(),'Alvin',getdate(),'Alvin')</v>
      </c>
    </row>
    <row r="296" spans="2:13" ht="13.8">
      <c r="B296" s="15" t="s">
        <v>1351</v>
      </c>
      <c r="C296" s="15">
        <v>4</v>
      </c>
      <c r="D296" s="15" t="s">
        <v>1352</v>
      </c>
      <c r="E296" s="15" t="s">
        <v>758</v>
      </c>
      <c r="F296" s="15" t="s">
        <v>758</v>
      </c>
      <c r="G296" s="15" t="s">
        <v>758</v>
      </c>
      <c r="H296" s="15" t="s">
        <v>758</v>
      </c>
      <c r="I296" s="15" t="s">
        <v>2895</v>
      </c>
      <c r="J296" s="15" t="s">
        <v>755</v>
      </c>
      <c r="K296" s="15" t="s">
        <v>2895</v>
      </c>
      <c r="L296" s="15" t="s">
        <v>755</v>
      </c>
      <c r="M296" s="15" t="str">
        <f t="shared" si="4"/>
        <v>insert into dbo.LifeInsJobCode (JobCode,JobGrade,JobDescription,JobGroupCode1,JobGroupName1,JobGroupCode2,JobGroupName2,CreateTime,Creator,ModifyTime,Modifier) VALUES ('07010120','4','泥水匠','','','','',getdate(),'Alvin',getdate(),'Alvin')</v>
      </c>
    </row>
    <row r="297" spans="2:13" ht="13.8">
      <c r="B297" s="15" t="s">
        <v>1353</v>
      </c>
      <c r="C297" s="15">
        <v>4</v>
      </c>
      <c r="D297" s="15" t="s">
        <v>1354</v>
      </c>
      <c r="E297" s="15" t="s">
        <v>758</v>
      </c>
      <c r="F297" s="15" t="s">
        <v>758</v>
      </c>
      <c r="G297" s="15" t="s">
        <v>758</v>
      </c>
      <c r="H297" s="15" t="s">
        <v>758</v>
      </c>
      <c r="I297" s="15" t="s">
        <v>2895</v>
      </c>
      <c r="J297" s="15" t="s">
        <v>755</v>
      </c>
      <c r="K297" s="15" t="s">
        <v>2895</v>
      </c>
      <c r="L297" s="15" t="s">
        <v>755</v>
      </c>
      <c r="M297" s="15" t="str">
        <f t="shared" si="4"/>
        <v>insert into dbo.LifeInsJobCode (JobCode,JobGrade,JobDescription,JobGroupCode1,JobGroupName1,JobGroupCode2,JobGroupName2,CreateTime,Creator,ModifyTime,Modifier) VALUES ('07010140','4','油漆工','','','','',getdate(),'Alvin',getdate(),'Alvin')</v>
      </c>
    </row>
    <row r="298" spans="2:13" ht="13.8">
      <c r="B298" s="15" t="s">
        <v>1355</v>
      </c>
      <c r="C298" s="15">
        <v>4</v>
      </c>
      <c r="D298" s="15" t="s">
        <v>1356</v>
      </c>
      <c r="E298" s="15" t="s">
        <v>758</v>
      </c>
      <c r="F298" s="15" t="s">
        <v>758</v>
      </c>
      <c r="G298" s="15" t="s">
        <v>758</v>
      </c>
      <c r="H298" s="15" t="s">
        <v>758</v>
      </c>
      <c r="I298" s="15" t="s">
        <v>2895</v>
      </c>
      <c r="J298" s="15" t="s">
        <v>755</v>
      </c>
      <c r="K298" s="15" t="s">
        <v>2895</v>
      </c>
      <c r="L298" s="15" t="s">
        <v>755</v>
      </c>
      <c r="M298" s="15" t="str">
        <f t="shared" si="4"/>
        <v>insert into dbo.LifeInsJobCode (JobCode,JobGrade,JobDescription,JobGroupCode1,JobGroupName1,JobGroupCode2,JobGroupName2,CreateTime,Creator,ModifyTime,Modifier) VALUES ('07010150','4','水電工','','','','',getdate(),'Alvin',getdate(),'Alvin')</v>
      </c>
    </row>
    <row r="299" spans="2:13" ht="13.8">
      <c r="B299" s="15" t="s">
        <v>1357</v>
      </c>
      <c r="C299" s="15">
        <v>5</v>
      </c>
      <c r="D299" s="15" t="s">
        <v>1358</v>
      </c>
      <c r="E299" s="15" t="s">
        <v>758</v>
      </c>
      <c r="F299" s="15" t="s">
        <v>758</v>
      </c>
      <c r="G299" s="15" t="s">
        <v>758</v>
      </c>
      <c r="H299" s="15" t="s">
        <v>758</v>
      </c>
      <c r="I299" s="15" t="s">
        <v>2895</v>
      </c>
      <c r="J299" s="15" t="s">
        <v>755</v>
      </c>
      <c r="K299" s="15" t="s">
        <v>2895</v>
      </c>
      <c r="L299" s="15" t="s">
        <v>755</v>
      </c>
      <c r="M299" s="15" t="str">
        <f t="shared" si="4"/>
        <v>insert into dbo.LifeInsJobCode (JobCode,JobGrade,JobDescription,JobGroupCode1,JobGroupName1,JobGroupCode2,JobGroupName2,CreateTime,Creator,ModifyTime,Modifier) VALUES ('07010170','5','鋼骨結構架設工人','','','','',getdate(),'Alvin',getdate(),'Alvin')</v>
      </c>
    </row>
    <row r="300" spans="2:13" ht="13.8">
      <c r="B300" s="15" t="s">
        <v>1359</v>
      </c>
      <c r="C300" s="15">
        <v>5</v>
      </c>
      <c r="D300" s="15" t="s">
        <v>1360</v>
      </c>
      <c r="E300" s="15" t="s">
        <v>758</v>
      </c>
      <c r="F300" s="15" t="s">
        <v>758</v>
      </c>
      <c r="G300" s="15" t="s">
        <v>758</v>
      </c>
      <c r="H300" s="15" t="s">
        <v>758</v>
      </c>
      <c r="I300" s="15" t="s">
        <v>2895</v>
      </c>
      <c r="J300" s="15" t="s">
        <v>755</v>
      </c>
      <c r="K300" s="15" t="s">
        <v>2895</v>
      </c>
      <c r="L300" s="15" t="s">
        <v>755</v>
      </c>
      <c r="M300" s="15" t="str">
        <f t="shared" si="4"/>
        <v>insert into dbo.LifeInsJobCode (JobCode,JobGrade,JobDescription,JobGroupCode1,JobGroupName1,JobGroupCode2,JobGroupName2,CreateTime,Creator,ModifyTime,Modifier) VALUES ('07010180','5','鷹架架設工人','','','','',getdate(),'Alvin',getdate(),'Alvin')</v>
      </c>
    </row>
    <row r="301" spans="2:13" ht="13.8">
      <c r="B301" s="15" t="s">
        <v>1361</v>
      </c>
      <c r="C301" s="15">
        <v>5</v>
      </c>
      <c r="D301" s="15" t="s">
        <v>1362</v>
      </c>
      <c r="E301" s="15" t="s">
        <v>758</v>
      </c>
      <c r="F301" s="15" t="s">
        <v>758</v>
      </c>
      <c r="G301" s="15" t="s">
        <v>758</v>
      </c>
      <c r="H301" s="15" t="s">
        <v>758</v>
      </c>
      <c r="I301" s="15" t="s">
        <v>2895</v>
      </c>
      <c r="J301" s="15" t="s">
        <v>755</v>
      </c>
      <c r="K301" s="15" t="s">
        <v>2895</v>
      </c>
      <c r="L301" s="15" t="s">
        <v>755</v>
      </c>
      <c r="M301" s="15" t="str">
        <f t="shared" si="4"/>
        <v>insert into dbo.LifeInsJobCode (JobCode,JobGrade,JobDescription,JobGroupCode1,JobGroupName1,JobGroupCode2,JobGroupName2,CreateTime,Creator,ModifyTime,Modifier) VALUES ('07010190','5','焊工','','','','',getdate(),'Alvin',getdate(),'Alvin')</v>
      </c>
    </row>
    <row r="302" spans="2:13" ht="13.8">
      <c r="B302" s="15" t="s">
        <v>1363</v>
      </c>
      <c r="C302" s="15">
        <v>5</v>
      </c>
      <c r="D302" s="15" t="s">
        <v>1364</v>
      </c>
      <c r="E302" s="15" t="s">
        <v>758</v>
      </c>
      <c r="F302" s="15" t="s">
        <v>758</v>
      </c>
      <c r="G302" s="15" t="s">
        <v>758</v>
      </c>
      <c r="H302" s="15" t="s">
        <v>758</v>
      </c>
      <c r="I302" s="15" t="s">
        <v>2895</v>
      </c>
      <c r="J302" s="15" t="s">
        <v>755</v>
      </c>
      <c r="K302" s="15" t="s">
        <v>2895</v>
      </c>
      <c r="L302" s="15" t="s">
        <v>755</v>
      </c>
      <c r="M302" s="15" t="str">
        <f t="shared" si="4"/>
        <v>insert into dbo.LifeInsJobCode (JobCode,JobGrade,JobDescription,JobGroupCode1,JobGroupName1,JobGroupCode2,JobGroupName2,CreateTime,Creator,ModifyTime,Modifier) VALUES ('07010200','5','建築工程車輛駕駛員','','','','',getdate(),'Alvin',getdate(),'Alvin')</v>
      </c>
    </row>
    <row r="303" spans="2:13" ht="13.8">
      <c r="B303" s="15" t="s">
        <v>1365</v>
      </c>
      <c r="C303" s="15">
        <v>5</v>
      </c>
      <c r="D303" s="15" t="s">
        <v>1366</v>
      </c>
      <c r="E303" s="15" t="s">
        <v>758</v>
      </c>
      <c r="F303" s="15" t="s">
        <v>758</v>
      </c>
      <c r="G303" s="15" t="s">
        <v>758</v>
      </c>
      <c r="H303" s="15" t="s">
        <v>758</v>
      </c>
      <c r="I303" s="15" t="s">
        <v>2895</v>
      </c>
      <c r="J303" s="15" t="s">
        <v>755</v>
      </c>
      <c r="K303" s="15" t="s">
        <v>2895</v>
      </c>
      <c r="L303" s="15" t="s">
        <v>755</v>
      </c>
      <c r="M303" s="15" t="str">
        <f t="shared" si="4"/>
        <v>insert into dbo.LifeInsJobCode (JobCode,JobGrade,JobDescription,JobGroupCode1,JobGroupName1,JobGroupCode2,JobGroupName2,CreateTime,Creator,ModifyTime,Modifier) VALUES ('07010210','5','建築工程車輛機械操作員','','','','',getdate(),'Alvin',getdate(),'Alvin')</v>
      </c>
    </row>
    <row r="304" spans="2:13" ht="13.8">
      <c r="B304" s="15" t="s">
        <v>1367</v>
      </c>
      <c r="C304" s="15">
        <v>3</v>
      </c>
      <c r="D304" s="15" t="s">
        <v>3280</v>
      </c>
      <c r="E304" s="15" t="s">
        <v>758</v>
      </c>
      <c r="F304" s="15" t="s">
        <v>758</v>
      </c>
      <c r="G304" s="15" t="s">
        <v>758</v>
      </c>
      <c r="H304" s="15" t="s">
        <v>758</v>
      </c>
      <c r="I304" s="15" t="s">
        <v>2895</v>
      </c>
      <c r="J304" s="15" t="s">
        <v>755</v>
      </c>
      <c r="K304" s="15" t="s">
        <v>2895</v>
      </c>
      <c r="L304" s="15" t="s">
        <v>755</v>
      </c>
      <c r="M304" s="15" t="str">
        <f t="shared" si="4"/>
        <v>insert into dbo.LifeInsJobCode (JobCode,JobGrade,JobDescription,JobGroupCode1,JobGroupName1,JobGroupCode2,JobGroupName2,CreateTime,Creator,ModifyTime,Modifier) VALUES ('07010220','3','承包商(土木建築)','','','','',getdate(),'Alvin',getdate(),'Alvin')</v>
      </c>
    </row>
    <row r="305" spans="2:13" ht="13.8">
      <c r="B305" s="15" t="s">
        <v>1368</v>
      </c>
      <c r="C305" s="15">
        <v>3</v>
      </c>
      <c r="D305" s="15" t="s">
        <v>1369</v>
      </c>
      <c r="E305" s="15" t="s">
        <v>758</v>
      </c>
      <c r="F305" s="15" t="s">
        <v>758</v>
      </c>
      <c r="G305" s="15" t="s">
        <v>758</v>
      </c>
      <c r="H305" s="15" t="s">
        <v>758</v>
      </c>
      <c r="I305" s="15" t="s">
        <v>2895</v>
      </c>
      <c r="J305" s="15" t="s">
        <v>755</v>
      </c>
      <c r="K305" s="15" t="s">
        <v>2895</v>
      </c>
      <c r="L305" s="15" t="s">
        <v>755</v>
      </c>
      <c r="M305" s="15" t="str">
        <f t="shared" si="4"/>
        <v>insert into dbo.LifeInsJobCode (JobCode,JobGrade,JobDescription,JobGroupCode1,JobGroupName1,JobGroupCode2,JobGroupName2,CreateTime,Creator,ModifyTime,Modifier) VALUES ('07010230','3','磨石工人','','','','',getdate(),'Alvin',getdate(),'Alvin')</v>
      </c>
    </row>
    <row r="306" spans="2:13" ht="13.8">
      <c r="B306" s="15" t="s">
        <v>1370</v>
      </c>
      <c r="C306" s="15">
        <v>4</v>
      </c>
      <c r="D306" s="15" t="s">
        <v>1371</v>
      </c>
      <c r="E306" s="15" t="s">
        <v>758</v>
      </c>
      <c r="F306" s="15" t="s">
        <v>758</v>
      </c>
      <c r="G306" s="15" t="s">
        <v>758</v>
      </c>
      <c r="H306" s="15" t="s">
        <v>758</v>
      </c>
      <c r="I306" s="15" t="s">
        <v>2895</v>
      </c>
      <c r="J306" s="15" t="s">
        <v>755</v>
      </c>
      <c r="K306" s="15" t="s">
        <v>2895</v>
      </c>
      <c r="L306" s="15" t="s">
        <v>755</v>
      </c>
      <c r="M306" s="15" t="str">
        <f t="shared" si="4"/>
        <v>insert into dbo.LifeInsJobCode (JobCode,JobGrade,JobDescription,JobGroupCode1,JobGroupName1,JobGroupCode2,JobGroupName2,CreateTime,Creator,ModifyTime,Modifier) VALUES ('07010240','4','洗石工人','','','','',getdate(),'Alvin',getdate(),'Alvin')</v>
      </c>
    </row>
    <row r="307" spans="2:13" ht="13.8">
      <c r="B307" s="15" t="s">
        <v>1372</v>
      </c>
      <c r="C307" s="15">
        <v>4</v>
      </c>
      <c r="D307" s="15" t="s">
        <v>1373</v>
      </c>
      <c r="E307" s="15" t="s">
        <v>758</v>
      </c>
      <c r="F307" s="15" t="s">
        <v>758</v>
      </c>
      <c r="G307" s="15" t="s">
        <v>758</v>
      </c>
      <c r="H307" s="15" t="s">
        <v>758</v>
      </c>
      <c r="I307" s="15" t="s">
        <v>2895</v>
      </c>
      <c r="J307" s="15" t="s">
        <v>755</v>
      </c>
      <c r="K307" s="15" t="s">
        <v>2895</v>
      </c>
      <c r="L307" s="15" t="s">
        <v>755</v>
      </c>
      <c r="M307" s="15" t="str">
        <f t="shared" si="4"/>
        <v>insert into dbo.LifeInsJobCode (JobCode,JobGrade,JobDescription,JobGroupCode1,JobGroupName1,JobGroupCode2,JobGroupName2,CreateTime,Creator,ModifyTime,Modifier) VALUES ('07010250','4','石棉瓦或浪板安裝工人','','','','',getdate(),'Alvin',getdate(),'Alvin')</v>
      </c>
    </row>
    <row r="308" spans="2:13" ht="13.8">
      <c r="B308" s="15" t="s">
        <v>1374</v>
      </c>
      <c r="C308" s="15">
        <v>4</v>
      </c>
      <c r="D308" s="15" t="s">
        <v>1375</v>
      </c>
      <c r="E308" s="15" t="s">
        <v>758</v>
      </c>
      <c r="F308" s="15" t="s">
        <v>758</v>
      </c>
      <c r="G308" s="15" t="s">
        <v>758</v>
      </c>
      <c r="H308" s="15" t="s">
        <v>758</v>
      </c>
      <c r="I308" s="15" t="s">
        <v>2895</v>
      </c>
      <c r="J308" s="15" t="s">
        <v>755</v>
      </c>
      <c r="K308" s="15" t="s">
        <v>2895</v>
      </c>
      <c r="L308" s="15" t="s">
        <v>755</v>
      </c>
      <c r="M308" s="15" t="str">
        <f t="shared" si="4"/>
        <v>insert into dbo.LifeInsJobCode (JobCode,JobGrade,JobDescription,JobGroupCode1,JobGroupName1,JobGroupCode2,JobGroupName2,CreateTime,Creator,ModifyTime,Modifier) VALUES ('07010260','4','鋁門窗裝修人員','','','','',getdate(),'Alvin',getdate(),'Alvin')</v>
      </c>
    </row>
    <row r="309" spans="2:13" ht="13.8">
      <c r="B309" s="15" t="s">
        <v>1376</v>
      </c>
      <c r="C309" s="15">
        <v>4</v>
      </c>
      <c r="D309" s="15" t="s">
        <v>1377</v>
      </c>
      <c r="E309" s="15" t="s">
        <v>758</v>
      </c>
      <c r="F309" s="15" t="s">
        <v>758</v>
      </c>
      <c r="G309" s="15" t="s">
        <v>758</v>
      </c>
      <c r="H309" s="15" t="s">
        <v>758</v>
      </c>
      <c r="I309" s="15" t="s">
        <v>2895</v>
      </c>
      <c r="J309" s="15" t="s">
        <v>755</v>
      </c>
      <c r="K309" s="15" t="s">
        <v>2895</v>
      </c>
      <c r="L309" s="15" t="s">
        <v>755</v>
      </c>
      <c r="M309" s="15" t="str">
        <f t="shared" si="4"/>
        <v>insert into dbo.LifeInsJobCode (JobCode,JobGrade,JobDescription,JobGroupCode1,JobGroupName1,JobGroupCode2,JobGroupName2,CreateTime,Creator,ModifyTime,Modifier) VALUES ('07010270','4','排水工程人員','','','','',getdate(),'Alvin',getdate(),'Alvin')</v>
      </c>
    </row>
    <row r="310" spans="2:13" ht="13.8">
      <c r="B310" s="15" t="s">
        <v>1378</v>
      </c>
      <c r="C310" s="15">
        <v>4</v>
      </c>
      <c r="D310" s="15" t="s">
        <v>1379</v>
      </c>
      <c r="E310" s="15" t="s">
        <v>758</v>
      </c>
      <c r="F310" s="15" t="s">
        <v>758</v>
      </c>
      <c r="G310" s="15" t="s">
        <v>758</v>
      </c>
      <c r="H310" s="15" t="s">
        <v>758</v>
      </c>
      <c r="I310" s="15" t="s">
        <v>2895</v>
      </c>
      <c r="J310" s="15" t="s">
        <v>755</v>
      </c>
      <c r="K310" s="15" t="s">
        <v>2895</v>
      </c>
      <c r="L310" s="15" t="s">
        <v>755</v>
      </c>
      <c r="M310" s="15" t="str">
        <f t="shared" si="4"/>
        <v>insert into dbo.LifeInsJobCode (JobCode,JobGrade,JobDescription,JobGroupCode1,JobGroupName1,JobGroupCode2,JobGroupName2,CreateTime,Creator,ModifyTime,Modifier) VALUES ('07010280','4','防水工程人員','','','','',getdate(),'Alvin',getdate(),'Alvin')</v>
      </c>
    </row>
    <row r="311" spans="2:13" ht="13.8">
      <c r="B311" s="15" t="s">
        <v>1380</v>
      </c>
      <c r="C311" s="15">
        <v>4</v>
      </c>
      <c r="D311" s="15" t="s">
        <v>1381</v>
      </c>
      <c r="E311" s="15" t="s">
        <v>758</v>
      </c>
      <c r="F311" s="15" t="s">
        <v>758</v>
      </c>
      <c r="G311" s="15" t="s">
        <v>758</v>
      </c>
      <c r="H311" s="15" t="s">
        <v>758</v>
      </c>
      <c r="I311" s="15" t="s">
        <v>2895</v>
      </c>
      <c r="J311" s="15" t="s">
        <v>755</v>
      </c>
      <c r="K311" s="15" t="s">
        <v>2895</v>
      </c>
      <c r="L311" s="15" t="s">
        <v>755</v>
      </c>
      <c r="M311" s="15" t="str">
        <f t="shared" si="4"/>
        <v>insert into dbo.LifeInsJobCode (JobCode,JobGrade,JobDescription,JobGroupCode1,JobGroupName1,JobGroupCode2,JobGroupName2,CreateTime,Creator,ModifyTime,Modifier) VALUES ('07010290','4','防熱工程人員','','','','',getdate(),'Alvin',getdate(),'Alvin')</v>
      </c>
    </row>
    <row r="312" spans="2:13" ht="13.8">
      <c r="B312" s="15" t="s">
        <v>1382</v>
      </c>
      <c r="C312" s="15">
        <v>2</v>
      </c>
      <c r="D312" s="15" t="s">
        <v>1383</v>
      </c>
      <c r="E312" s="15" t="s">
        <v>758</v>
      </c>
      <c r="F312" s="15" t="s">
        <v>758</v>
      </c>
      <c r="G312" s="15" t="s">
        <v>758</v>
      </c>
      <c r="H312" s="15" t="s">
        <v>758</v>
      </c>
      <c r="I312" s="15" t="s">
        <v>2895</v>
      </c>
      <c r="J312" s="15" t="s">
        <v>755</v>
      </c>
      <c r="K312" s="15" t="s">
        <v>2895</v>
      </c>
      <c r="L312" s="15" t="s">
        <v>755</v>
      </c>
      <c r="M312" s="15" t="str">
        <f t="shared" si="4"/>
        <v>insert into dbo.LifeInsJobCode (JobCode,JobGrade,JobDescription,JobGroupCode1,JobGroupName1,JobGroupCode2,JobGroupName2,CreateTime,Creator,ModifyTime,Modifier) VALUES ('07010300','2','營造廠負責人','','','','',getdate(),'Alvin',getdate(),'Alvin')</v>
      </c>
    </row>
    <row r="313" spans="2:13" ht="13.8">
      <c r="B313" s="15" t="s">
        <v>1384</v>
      </c>
      <c r="C313" s="15">
        <v>4</v>
      </c>
      <c r="D313" s="15" t="s">
        <v>1385</v>
      </c>
      <c r="E313" s="15" t="s">
        <v>758</v>
      </c>
      <c r="F313" s="15" t="s">
        <v>758</v>
      </c>
      <c r="G313" s="15" t="s">
        <v>758</v>
      </c>
      <c r="H313" s="15" t="s">
        <v>758</v>
      </c>
      <c r="I313" s="15" t="s">
        <v>2895</v>
      </c>
      <c r="J313" s="15" t="s">
        <v>755</v>
      </c>
      <c r="K313" s="15" t="s">
        <v>2895</v>
      </c>
      <c r="L313" s="15" t="s">
        <v>755</v>
      </c>
      <c r="M313" s="15" t="str">
        <f t="shared" si="4"/>
        <v>insert into dbo.LifeInsJobCode (JobCode,JobGrade,JobDescription,JobGroupCode1,JobGroupName1,JobGroupCode2,JobGroupName2,CreateTime,Creator,ModifyTime,Modifier) VALUES ('07010310','4','挑磚工人','','','','',getdate(),'Alvin',getdate(),'Alvin')</v>
      </c>
    </row>
    <row r="314" spans="2:13" ht="13.8">
      <c r="B314" s="15" t="s">
        <v>1386</v>
      </c>
      <c r="C314" s="15">
        <v>3</v>
      </c>
      <c r="D314" s="15" t="s">
        <v>3281</v>
      </c>
      <c r="E314" s="15" t="s">
        <v>758</v>
      </c>
      <c r="F314" s="15" t="s">
        <v>758</v>
      </c>
      <c r="G314" s="15" t="s">
        <v>758</v>
      </c>
      <c r="H314" s="15" t="s">
        <v>758</v>
      </c>
      <c r="I314" s="15" t="s">
        <v>2895</v>
      </c>
      <c r="J314" s="15" t="s">
        <v>755</v>
      </c>
      <c r="K314" s="15" t="s">
        <v>2895</v>
      </c>
      <c r="L314" s="15" t="s">
        <v>755</v>
      </c>
      <c r="M314" s="15" t="str">
        <f t="shared" si="4"/>
        <v>insert into dbo.LifeInsJobCode (JobCode,JobGrade,JobDescription,JobGroupCode1,JobGroupName1,JobGroupCode2,JobGroupName2,CreateTime,Creator,ModifyTime,Modifier) VALUES ('07010320','3','貼瓷磚(室內)','','','','',getdate(),'Alvin',getdate(),'Alvin')</v>
      </c>
    </row>
    <row r="315" spans="2:13" ht="13.8">
      <c r="B315" s="15" t="s">
        <v>1387</v>
      </c>
      <c r="C315" s="15">
        <v>5</v>
      </c>
      <c r="D315" s="15" t="s">
        <v>3282</v>
      </c>
      <c r="E315" s="15" t="s">
        <v>758</v>
      </c>
      <c r="F315" s="15" t="s">
        <v>758</v>
      </c>
      <c r="G315" s="15" t="s">
        <v>758</v>
      </c>
      <c r="H315" s="15" t="s">
        <v>758</v>
      </c>
      <c r="I315" s="15" t="s">
        <v>2895</v>
      </c>
      <c r="J315" s="15" t="s">
        <v>755</v>
      </c>
      <c r="K315" s="15" t="s">
        <v>2895</v>
      </c>
      <c r="L315" s="15" t="s">
        <v>755</v>
      </c>
      <c r="M315" s="15" t="str">
        <f t="shared" si="4"/>
        <v>insert into dbo.LifeInsJobCode (JobCode,JobGrade,JobDescription,JobGroupCode1,JobGroupName1,JobGroupCode2,JobGroupName2,CreateTime,Creator,ModifyTime,Modifier) VALUES ('07010321','5','貼瓷磚(外牆)','','','','',getdate(),'Alvin',getdate(),'Alvin')</v>
      </c>
    </row>
    <row r="316" spans="2:13" ht="13.8">
      <c r="B316" s="15" t="s">
        <v>1388</v>
      </c>
      <c r="C316" s="15">
        <v>4</v>
      </c>
      <c r="D316" s="15" t="s">
        <v>1389</v>
      </c>
      <c r="E316" s="15" t="s">
        <v>758</v>
      </c>
      <c r="F316" s="15" t="s">
        <v>758</v>
      </c>
      <c r="G316" s="15" t="s">
        <v>758</v>
      </c>
      <c r="H316" s="15" t="s">
        <v>758</v>
      </c>
      <c r="I316" s="15" t="s">
        <v>2895</v>
      </c>
      <c r="J316" s="15" t="s">
        <v>755</v>
      </c>
      <c r="K316" s="15" t="s">
        <v>2895</v>
      </c>
      <c r="L316" s="15" t="s">
        <v>755</v>
      </c>
      <c r="M316" s="15" t="str">
        <f t="shared" si="4"/>
        <v>insert into dbo.LifeInsJobCode (JobCode,JobGrade,JobDescription,JobGroupCode1,JobGroupName1,JobGroupCode2,JobGroupName2,CreateTime,Creator,ModifyTime,Modifier) VALUES ('07010330','4','帆布鐵架架設','','','','',getdate(),'Alvin',getdate(),'Alvin')</v>
      </c>
    </row>
    <row r="317" spans="2:13" ht="13.8">
      <c r="B317" s="15" t="s">
        <v>1390</v>
      </c>
      <c r="C317" s="15">
        <v>4</v>
      </c>
      <c r="D317" s="15" t="s">
        <v>1391</v>
      </c>
      <c r="E317" s="15" t="s">
        <v>758</v>
      </c>
      <c r="F317" s="15" t="s">
        <v>758</v>
      </c>
      <c r="G317" s="15" t="s">
        <v>758</v>
      </c>
      <c r="H317" s="15" t="s">
        <v>758</v>
      </c>
      <c r="I317" s="15" t="s">
        <v>2895</v>
      </c>
      <c r="J317" s="15" t="s">
        <v>755</v>
      </c>
      <c r="K317" s="15" t="s">
        <v>2895</v>
      </c>
      <c r="L317" s="15" t="s">
        <v>755</v>
      </c>
      <c r="M317" s="15" t="str">
        <f t="shared" si="4"/>
        <v>insert into dbo.LifeInsJobCode (JobCode,JobGrade,JobDescription,JobGroupCode1,JobGroupName1,JobGroupCode2,JobGroupName2,CreateTime,Creator,ModifyTime,Modifier) VALUES ('07010340','4','空調風管架設人員','','','','',getdate(),'Alvin',getdate(),'Alvin')</v>
      </c>
    </row>
    <row r="318" spans="2:13" ht="13.8">
      <c r="B318" s="15" t="s">
        <v>1392</v>
      </c>
      <c r="C318" s="15">
        <v>4</v>
      </c>
      <c r="D318" s="15" t="s">
        <v>1393</v>
      </c>
      <c r="E318" s="15" t="s">
        <v>758</v>
      </c>
      <c r="F318" s="15" t="s">
        <v>758</v>
      </c>
      <c r="G318" s="15" t="s">
        <v>758</v>
      </c>
      <c r="H318" s="15" t="s">
        <v>758</v>
      </c>
      <c r="I318" s="15" t="s">
        <v>2895</v>
      </c>
      <c r="J318" s="15" t="s">
        <v>755</v>
      </c>
      <c r="K318" s="15" t="s">
        <v>2895</v>
      </c>
      <c r="L318" s="15" t="s">
        <v>755</v>
      </c>
      <c r="M318" s="15" t="str">
        <f t="shared" si="4"/>
        <v>insert into dbo.LifeInsJobCode (JobCode,JobGrade,JobDescription,JobGroupCode1,JobGroupName1,JobGroupCode2,JobGroupName2,CreateTime,Creator,ModifyTime,Modifier) VALUES ('07010350','4','拆屋、遷屋工人','','','','',getdate(),'Alvin',getdate(),'Alvin')</v>
      </c>
    </row>
    <row r="319" spans="2:13" ht="13.8">
      <c r="B319" s="15" t="s">
        <v>1394</v>
      </c>
      <c r="C319" s="15">
        <v>4</v>
      </c>
      <c r="D319" s="15" t="s">
        <v>1395</v>
      </c>
      <c r="E319" s="15" t="s">
        <v>758</v>
      </c>
      <c r="F319" s="15" t="s">
        <v>758</v>
      </c>
      <c r="G319" s="15" t="s">
        <v>758</v>
      </c>
      <c r="H319" s="15" t="s">
        <v>758</v>
      </c>
      <c r="I319" s="15" t="s">
        <v>2895</v>
      </c>
      <c r="J319" s="15" t="s">
        <v>755</v>
      </c>
      <c r="K319" s="15" t="s">
        <v>2895</v>
      </c>
      <c r="L319" s="15" t="s">
        <v>755</v>
      </c>
      <c r="M319" s="15" t="str">
        <f t="shared" si="4"/>
        <v>insert into dbo.LifeInsJobCode (JobCode,JobGrade,JobDescription,JobGroupCode1,JobGroupName1,JobGroupCode2,JobGroupName2,CreateTime,Creator,ModifyTime,Modifier) VALUES ('07010360','4','輕鋼架架設人員','','','','',getdate(),'Alvin',getdate(),'Alvin')</v>
      </c>
    </row>
    <row r="320" spans="2:13" ht="13.8">
      <c r="B320" s="15" t="s">
        <v>1396</v>
      </c>
      <c r="C320" s="15">
        <v>5</v>
      </c>
      <c r="D320" s="15" t="s">
        <v>3283</v>
      </c>
      <c r="E320" s="15" t="s">
        <v>758</v>
      </c>
      <c r="F320" s="15" t="s">
        <v>758</v>
      </c>
      <c r="G320" s="15" t="s">
        <v>758</v>
      </c>
      <c r="H320" s="15" t="s">
        <v>758</v>
      </c>
      <c r="I320" s="15" t="s">
        <v>2895</v>
      </c>
      <c r="J320" s="15" t="s">
        <v>755</v>
      </c>
      <c r="K320" s="15" t="s">
        <v>2895</v>
      </c>
      <c r="L320" s="15" t="s">
        <v>755</v>
      </c>
      <c r="M320" s="15" t="str">
        <f t="shared" si="4"/>
        <v>insert into dbo.LifeInsJobCode (JobCode,JobGrade,JobDescription,JobGroupCode1,JobGroupName1,JobGroupCode2,JobGroupName2,CreateTime,Creator,ModifyTime,Modifier) VALUES ('07010370','5','挖井工程人員(鑽井工人)','','','','',getdate(),'Alvin',getdate(),'Alvin')</v>
      </c>
    </row>
    <row r="321" spans="2:13" ht="13.8">
      <c r="B321" s="15" t="s">
        <v>1397</v>
      </c>
      <c r="C321" s="15">
        <v>5</v>
      </c>
      <c r="D321" s="15" t="s">
        <v>3332</v>
      </c>
      <c r="E321" s="15" t="s">
        <v>758</v>
      </c>
      <c r="F321" s="15" t="s">
        <v>758</v>
      </c>
      <c r="G321" s="15" t="s">
        <v>758</v>
      </c>
      <c r="H321" s="15" t="s">
        <v>758</v>
      </c>
      <c r="I321" s="15" t="s">
        <v>2895</v>
      </c>
      <c r="J321" s="15" t="s">
        <v>755</v>
      </c>
      <c r="K321" s="15" t="s">
        <v>2895</v>
      </c>
      <c r="L321" s="15" t="s">
        <v>755</v>
      </c>
      <c r="M321" s="15" t="str">
        <f t="shared" si="4"/>
        <v>insert into dbo.LifeInsJobCode (JobCode,JobGrade,JobDescription,JobGroupCode1,JobGroupName1,JobGroupCode2,JobGroupName2,CreateTime,Creator,ModifyTime,Modifier) VALUES ('07010380','5','鐵屋架設、施工(搭設鐵皮屋)','','','','',getdate(),'Alvin',getdate(),'Alvin')</v>
      </c>
    </row>
    <row r="322" spans="2:13" ht="13.8">
      <c r="B322" s="15" t="s">
        <v>1398</v>
      </c>
      <c r="C322" s="15">
        <v>4</v>
      </c>
      <c r="D322" s="15" t="s">
        <v>1399</v>
      </c>
      <c r="E322" s="15" t="s">
        <v>758</v>
      </c>
      <c r="F322" s="15" t="s">
        <v>758</v>
      </c>
      <c r="G322" s="15" t="s">
        <v>758</v>
      </c>
      <c r="H322" s="15" t="s">
        <v>758</v>
      </c>
      <c r="I322" s="15" t="s">
        <v>2895</v>
      </c>
      <c r="J322" s="15" t="s">
        <v>755</v>
      </c>
      <c r="K322" s="15" t="s">
        <v>2895</v>
      </c>
      <c r="L322" s="15" t="s">
        <v>755</v>
      </c>
      <c r="M322" s="15" t="str">
        <f t="shared" ref="M322:M385" si="5">$M$1 &amp; " VALUES ('"&amp;B322&amp;"','"&amp;C322&amp;"','"&amp;D322&amp;"','"&amp;E322&amp;"','"&amp;F322&amp;"','"&amp;G322&amp;"','"&amp;H322&amp;"',"&amp;I322&amp;",'"&amp;J322&amp;"',"&amp;K322&amp;",'"&amp;L322&amp;"')"</f>
        <v>insert into dbo.LifeInsJobCode (JobCode,JobGrade,JobDescription,JobGroupCode1,JobGroupName1,JobGroupCode2,JobGroupName2,CreateTime,Creator,ModifyTime,Modifier) VALUES ('07010390','4','寺廟彩繪人員','','','','',getdate(),'Alvin',getdate(),'Alvin')</v>
      </c>
    </row>
    <row r="323" spans="2:13" ht="13.8">
      <c r="B323" s="15" t="s">
        <v>1400</v>
      </c>
      <c r="C323" s="15">
        <v>5</v>
      </c>
      <c r="D323" s="15" t="s">
        <v>1401</v>
      </c>
      <c r="E323" s="15" t="s">
        <v>758</v>
      </c>
      <c r="F323" s="15" t="s">
        <v>758</v>
      </c>
      <c r="G323" s="15" t="s">
        <v>758</v>
      </c>
      <c r="H323" s="15" t="s">
        <v>758</v>
      </c>
      <c r="I323" s="15" t="s">
        <v>2895</v>
      </c>
      <c r="J323" s="15" t="s">
        <v>755</v>
      </c>
      <c r="K323" s="15" t="s">
        <v>2895</v>
      </c>
      <c r="L323" s="15" t="s">
        <v>755</v>
      </c>
      <c r="M323" s="15" t="str">
        <f t="shared" si="5"/>
        <v>insert into dbo.LifeInsJobCode (JobCode,JobGrade,JobDescription,JobGroupCode1,JobGroupName1,JobGroupCode2,JobGroupName2,CreateTime,Creator,ModifyTime,Modifier) VALUES ('07010400','5','大樓玻璃帷幕安裝','','','','',getdate(),'Alvin',getdate(),'Alvin')</v>
      </c>
    </row>
    <row r="324" spans="2:13" ht="13.8">
      <c r="B324" s="15" t="s">
        <v>1402</v>
      </c>
      <c r="C324" s="15">
        <v>4</v>
      </c>
      <c r="D324" s="15" t="s">
        <v>1403</v>
      </c>
      <c r="E324" s="15" t="s">
        <v>758</v>
      </c>
      <c r="F324" s="15" t="s">
        <v>758</v>
      </c>
      <c r="G324" s="15" t="s">
        <v>758</v>
      </c>
      <c r="H324" s="15" t="s">
        <v>758</v>
      </c>
      <c r="I324" s="15" t="s">
        <v>2895</v>
      </c>
      <c r="J324" s="15" t="s">
        <v>755</v>
      </c>
      <c r="K324" s="15" t="s">
        <v>2895</v>
      </c>
      <c r="L324" s="15" t="s">
        <v>755</v>
      </c>
      <c r="M324" s="15" t="str">
        <f t="shared" si="5"/>
        <v>insert into dbo.LifeInsJobCode (JobCode,JobGrade,JobDescription,JobGroupCode1,JobGroupName1,JobGroupCode2,JobGroupName2,CreateTime,Creator,ModifyTime,Modifier) VALUES ('07010410','4','雜工、臨時工','','','','',getdate(),'Alvin',getdate(),'Alvin')</v>
      </c>
    </row>
    <row r="325" spans="2:13" ht="13.8">
      <c r="B325" s="15" t="s">
        <v>1404</v>
      </c>
      <c r="C325" s="15">
        <v>4</v>
      </c>
      <c r="D325" s="15" t="s">
        <v>1405</v>
      </c>
      <c r="E325" s="15" t="s">
        <v>758</v>
      </c>
      <c r="F325" s="15" t="s">
        <v>758</v>
      </c>
      <c r="G325" s="15" t="s">
        <v>758</v>
      </c>
      <c r="H325" s="15" t="s">
        <v>758</v>
      </c>
      <c r="I325" s="15" t="s">
        <v>2895</v>
      </c>
      <c r="J325" s="15" t="s">
        <v>755</v>
      </c>
      <c r="K325" s="15" t="s">
        <v>2895</v>
      </c>
      <c r="L325" s="15" t="s">
        <v>755</v>
      </c>
      <c r="M325" s="15" t="str">
        <f t="shared" si="5"/>
        <v>insert into dbo.LifeInsJobCode (JobCode,JobGrade,JobDescription,JobGroupCode1,JobGroupName1,JobGroupCode2,JobGroupName2,CreateTime,Creator,ModifyTime,Modifier) VALUES ('07010420','4','綁鐵工、鐵工','','','','',getdate(),'Alvin',getdate(),'Alvin')</v>
      </c>
    </row>
    <row r="326" spans="2:13" ht="13.8">
      <c r="B326" s="15" t="s">
        <v>1406</v>
      </c>
      <c r="C326" s="15">
        <v>4</v>
      </c>
      <c r="D326" s="15" t="s">
        <v>1407</v>
      </c>
      <c r="E326" s="15" t="s">
        <v>758</v>
      </c>
      <c r="F326" s="15" t="s">
        <v>758</v>
      </c>
      <c r="G326" s="15" t="s">
        <v>758</v>
      </c>
      <c r="H326" s="15" t="s">
        <v>758</v>
      </c>
      <c r="I326" s="15" t="s">
        <v>2895</v>
      </c>
      <c r="J326" s="15" t="s">
        <v>755</v>
      </c>
      <c r="K326" s="15" t="s">
        <v>2895</v>
      </c>
      <c r="L326" s="15" t="s">
        <v>755</v>
      </c>
      <c r="M326" s="15" t="str">
        <f t="shared" si="5"/>
        <v>insert into dbo.LifeInsJobCode (JobCode,JobGrade,JobDescription,JobGroupCode1,JobGroupName1,JobGroupCode2,JobGroupName2,CreateTime,Creator,ModifyTime,Modifier) VALUES ('07010430','4','建築機具維修工','','','','',getdate(),'Alvin',getdate(),'Alvin')</v>
      </c>
    </row>
    <row r="327" spans="2:13" ht="13.8">
      <c r="B327" s="15" t="s">
        <v>1408</v>
      </c>
      <c r="C327" s="15">
        <v>4</v>
      </c>
      <c r="D327" s="15" t="s">
        <v>1409</v>
      </c>
      <c r="E327" s="15" t="s">
        <v>758</v>
      </c>
      <c r="F327" s="15" t="s">
        <v>758</v>
      </c>
      <c r="G327" s="15" t="s">
        <v>758</v>
      </c>
      <c r="H327" s="15" t="s">
        <v>758</v>
      </c>
      <c r="I327" s="15" t="s">
        <v>2895</v>
      </c>
      <c r="J327" s="15" t="s">
        <v>755</v>
      </c>
      <c r="K327" s="15" t="s">
        <v>2895</v>
      </c>
      <c r="L327" s="15" t="s">
        <v>755</v>
      </c>
      <c r="M327" s="15" t="str">
        <f t="shared" si="5"/>
        <v>insert into dbo.LifeInsJobCode (JobCode,JobGrade,JobDescription,JobGroupCode1,JobGroupName1,JobGroupCode2,JobGroupName2,CreateTime,Creator,ModifyTime,Modifier) VALUES ('07010440','4','工地清潔工','','','','',getdate(),'Alvin',getdate(),'Alvin')</v>
      </c>
    </row>
    <row r="328" spans="2:13" ht="13.8">
      <c r="B328" s="15" t="s">
        <v>1410</v>
      </c>
      <c r="C328" s="15">
        <v>5</v>
      </c>
      <c r="D328" s="15" t="s">
        <v>1411</v>
      </c>
      <c r="E328" s="15" t="s">
        <v>758</v>
      </c>
      <c r="F328" s="15" t="s">
        <v>758</v>
      </c>
      <c r="G328" s="15" t="s">
        <v>758</v>
      </c>
      <c r="H328" s="15" t="s">
        <v>758</v>
      </c>
      <c r="I328" s="15" t="s">
        <v>2895</v>
      </c>
      <c r="J328" s="15" t="s">
        <v>755</v>
      </c>
      <c r="K328" s="15" t="s">
        <v>2895</v>
      </c>
      <c r="L328" s="15" t="s">
        <v>755</v>
      </c>
      <c r="M328" s="15" t="str">
        <f t="shared" si="5"/>
        <v>insert into dbo.LifeInsJobCode (JobCode,JobGrade,JobDescription,JobGroupCode1,JobGroupName1,JobGroupCode2,JobGroupName2,CreateTime,Creator,ModifyTime,Modifier) VALUES ('07010450','5','鐵塔架設人員','','','','',getdate(),'Alvin',getdate(),'Alvin')</v>
      </c>
    </row>
    <row r="329" spans="2:13" ht="13.8">
      <c r="B329" s="15" t="s">
        <v>1412</v>
      </c>
      <c r="C329" s="15">
        <v>4</v>
      </c>
      <c r="D329" s="15" t="s">
        <v>1413</v>
      </c>
      <c r="E329" s="15" t="s">
        <v>758</v>
      </c>
      <c r="F329" s="15" t="s">
        <v>758</v>
      </c>
      <c r="G329" s="15" t="s">
        <v>758</v>
      </c>
      <c r="H329" s="15" t="s">
        <v>758</v>
      </c>
      <c r="I329" s="15" t="s">
        <v>2895</v>
      </c>
      <c r="J329" s="15" t="s">
        <v>755</v>
      </c>
      <c r="K329" s="15" t="s">
        <v>2895</v>
      </c>
      <c r="L329" s="15" t="s">
        <v>755</v>
      </c>
      <c r="M329" s="15" t="str">
        <f t="shared" si="5"/>
        <v>insert into dbo.LifeInsJobCode (JobCode,JobGrade,JobDescription,JobGroupCode1,JobGroupName1,JobGroupCode2,JobGroupName2,CreateTime,Creator,ModifyTime,Modifier) VALUES ('07010460','4','搭設舞台人員','','','','',getdate(),'Alvin',getdate(),'Alvin')</v>
      </c>
    </row>
    <row r="330" spans="2:13" ht="13.8">
      <c r="B330" s="15" t="s">
        <v>1414</v>
      </c>
      <c r="C330" s="15">
        <v>4</v>
      </c>
      <c r="D330" s="15" t="s">
        <v>1415</v>
      </c>
      <c r="E330" s="15" t="s">
        <v>758</v>
      </c>
      <c r="F330" s="15" t="s">
        <v>758</v>
      </c>
      <c r="G330" s="15" t="s">
        <v>758</v>
      </c>
      <c r="H330" s="15" t="s">
        <v>758</v>
      </c>
      <c r="I330" s="15" t="s">
        <v>2895</v>
      </c>
      <c r="J330" s="15" t="s">
        <v>755</v>
      </c>
      <c r="K330" s="15" t="s">
        <v>2895</v>
      </c>
      <c r="L330" s="15" t="s">
        <v>755</v>
      </c>
      <c r="M330" s="15" t="str">
        <f t="shared" si="5"/>
        <v>insert into dbo.LifeInsJobCode (JobCode,JobGrade,JobDescription,JobGroupCode1,JobGroupName1,JobGroupCode2,JobGroupName2,CreateTime,Creator,ModifyTime,Modifier) VALUES ('07010470','4','圍牆鐵網搭建','','','','',getdate(),'Alvin',getdate(),'Alvin')</v>
      </c>
    </row>
    <row r="331" spans="2:13" ht="13.8">
      <c r="B331" s="15" t="s">
        <v>1416</v>
      </c>
      <c r="C331" s="15">
        <v>4</v>
      </c>
      <c r="D331" s="15" t="s">
        <v>1417</v>
      </c>
      <c r="E331" s="15" t="s">
        <v>758</v>
      </c>
      <c r="F331" s="15" t="s">
        <v>758</v>
      </c>
      <c r="G331" s="15" t="s">
        <v>758</v>
      </c>
      <c r="H331" s="15" t="s">
        <v>758</v>
      </c>
      <c r="I331" s="15" t="s">
        <v>2895</v>
      </c>
      <c r="J331" s="15" t="s">
        <v>755</v>
      </c>
      <c r="K331" s="15" t="s">
        <v>2895</v>
      </c>
      <c r="L331" s="15" t="s">
        <v>755</v>
      </c>
      <c r="M331" s="15" t="str">
        <f t="shared" si="5"/>
        <v>insert into dbo.LifeInsJobCode (JobCode,JobGrade,JobDescription,JobGroupCode1,JobGroupName1,JobGroupCode2,JobGroupName2,CreateTime,Creator,ModifyTime,Modifier) VALUES ('07010480','4','擋土牆施工','','','','',getdate(),'Alvin',getdate(),'Alvin')</v>
      </c>
    </row>
    <row r="332" spans="2:13" ht="13.8">
      <c r="B332" s="15" t="s">
        <v>1418</v>
      </c>
      <c r="C332" s="15">
        <v>3</v>
      </c>
      <c r="D332" s="15" t="s">
        <v>1419</v>
      </c>
      <c r="E332" s="15" t="s">
        <v>758</v>
      </c>
      <c r="F332" s="15" t="s">
        <v>758</v>
      </c>
      <c r="G332" s="15" t="s">
        <v>758</v>
      </c>
      <c r="H332" s="15" t="s">
        <v>758</v>
      </c>
      <c r="I332" s="15" t="s">
        <v>2895</v>
      </c>
      <c r="J332" s="15" t="s">
        <v>755</v>
      </c>
      <c r="K332" s="15" t="s">
        <v>2895</v>
      </c>
      <c r="L332" s="15" t="s">
        <v>755</v>
      </c>
      <c r="M332" s="15" t="str">
        <f t="shared" si="5"/>
        <v>insert into dbo.LifeInsJobCode (JobCode,JobGrade,JobDescription,JobGroupCode1,JobGroupName1,JobGroupCode2,JobGroupName2,CreateTime,Creator,ModifyTime,Modifier) VALUES ('07010490','3','園藝造景人員','','','','',getdate(),'Alvin',getdate(),'Alvin')</v>
      </c>
    </row>
    <row r="333" spans="2:13" ht="13.8">
      <c r="B333" s="15" t="s">
        <v>1420</v>
      </c>
      <c r="C333" s="15">
        <v>3</v>
      </c>
      <c r="D333" s="15" t="s">
        <v>958</v>
      </c>
      <c r="E333" s="15" t="s">
        <v>1331</v>
      </c>
      <c r="F333" s="15" t="s">
        <v>1332</v>
      </c>
      <c r="G333" s="15" t="s">
        <v>1421</v>
      </c>
      <c r="H333" s="15" t="s">
        <v>1422</v>
      </c>
      <c r="I333" s="15" t="s">
        <v>2895</v>
      </c>
      <c r="J333" s="15" t="s">
        <v>755</v>
      </c>
      <c r="K333" s="15" t="s">
        <v>2895</v>
      </c>
      <c r="L333" s="15" t="s">
        <v>755</v>
      </c>
      <c r="M333" s="15" t="str">
        <f t="shared" si="5"/>
        <v>insert into dbo.LifeInsJobCode (JobCode,JobGrade,JobDescription,JobGroupCode1,JobGroupName1,JobGroupCode2,JobGroupName2,CreateTime,Creator,ModifyTime,Modifier) VALUES ('07020010','3','工程師','07','建築工程業','0702','道路鋪設',getdate(),'Alvin',getdate(),'Alvin')</v>
      </c>
    </row>
    <row r="334" spans="2:13" ht="13.8">
      <c r="B334" s="15" t="s">
        <v>1423</v>
      </c>
      <c r="C334" s="15">
        <v>3</v>
      </c>
      <c r="D334" s="15" t="s">
        <v>1424</v>
      </c>
      <c r="E334" s="15" t="s">
        <v>758</v>
      </c>
      <c r="F334" s="15" t="s">
        <v>758</v>
      </c>
      <c r="G334" s="15" t="s">
        <v>758</v>
      </c>
      <c r="H334" s="15" t="s">
        <v>758</v>
      </c>
      <c r="I334" s="15" t="s">
        <v>2895</v>
      </c>
      <c r="J334" s="15" t="s">
        <v>755</v>
      </c>
      <c r="K334" s="15" t="s">
        <v>2895</v>
      </c>
      <c r="L334" s="15" t="s">
        <v>755</v>
      </c>
      <c r="M334" s="15" t="str">
        <f t="shared" si="5"/>
        <v>insert into dbo.LifeInsJobCode (JobCode,JobGrade,JobDescription,JobGroupCode1,JobGroupName1,JobGroupCode2,JobGroupName2,CreateTime,Creator,ModifyTime,Modifier) VALUES ('07020020','3','領班、監工','','','','',getdate(),'Alvin',getdate(),'Alvin')</v>
      </c>
    </row>
    <row r="335" spans="2:13" ht="13.8">
      <c r="B335" s="15" t="s">
        <v>1425</v>
      </c>
      <c r="C335" s="15">
        <v>5</v>
      </c>
      <c r="D335" s="15" t="s">
        <v>1426</v>
      </c>
      <c r="E335" s="15" t="s">
        <v>758</v>
      </c>
      <c r="F335" s="15" t="s">
        <v>758</v>
      </c>
      <c r="G335" s="15" t="s">
        <v>758</v>
      </c>
      <c r="H335" s="15" t="s">
        <v>758</v>
      </c>
      <c r="I335" s="15" t="s">
        <v>2895</v>
      </c>
      <c r="J335" s="15" t="s">
        <v>755</v>
      </c>
      <c r="K335" s="15" t="s">
        <v>2895</v>
      </c>
      <c r="L335" s="15" t="s">
        <v>755</v>
      </c>
      <c r="M335" s="15" t="str">
        <f t="shared" si="5"/>
        <v>insert into dbo.LifeInsJobCode (JobCode,JobGrade,JobDescription,JobGroupCode1,JobGroupName1,JobGroupCode2,JobGroupName2,CreateTime,Creator,ModifyTime,Modifier) VALUES ('07020030','5','山地舖設工人','','','','',getdate(),'Alvin',getdate(),'Alvin')</v>
      </c>
    </row>
    <row r="336" spans="2:13" ht="13.8">
      <c r="B336" s="15" t="s">
        <v>1427</v>
      </c>
      <c r="C336" s="15">
        <v>4</v>
      </c>
      <c r="D336" s="15" t="s">
        <v>1428</v>
      </c>
      <c r="E336" s="15" t="s">
        <v>758</v>
      </c>
      <c r="F336" s="15" t="s">
        <v>758</v>
      </c>
      <c r="G336" s="15" t="s">
        <v>758</v>
      </c>
      <c r="H336" s="15" t="s">
        <v>758</v>
      </c>
      <c r="I336" s="15" t="s">
        <v>2895</v>
      </c>
      <c r="J336" s="15" t="s">
        <v>755</v>
      </c>
      <c r="K336" s="15" t="s">
        <v>2895</v>
      </c>
      <c r="L336" s="15" t="s">
        <v>755</v>
      </c>
      <c r="M336" s="15" t="str">
        <f t="shared" si="5"/>
        <v>insert into dbo.LifeInsJobCode (JobCode,JobGrade,JobDescription,JobGroupCode1,JobGroupName1,JobGroupCode2,JobGroupName2,CreateTime,Creator,ModifyTime,Modifier) VALUES ('07020031','4','平地舖設工人','','','','',getdate(),'Alvin',getdate(),'Alvin')</v>
      </c>
    </row>
    <row r="337" spans="2:13" ht="13.8">
      <c r="B337" s="15" t="s">
        <v>1429</v>
      </c>
      <c r="C337" s="15">
        <v>4</v>
      </c>
      <c r="D337" s="15" t="s">
        <v>1430</v>
      </c>
      <c r="E337" s="15" t="s">
        <v>758</v>
      </c>
      <c r="F337" s="15" t="s">
        <v>758</v>
      </c>
      <c r="G337" s="15" t="s">
        <v>758</v>
      </c>
      <c r="H337" s="15" t="s">
        <v>758</v>
      </c>
      <c r="I337" s="15" t="s">
        <v>2895</v>
      </c>
      <c r="J337" s="15" t="s">
        <v>755</v>
      </c>
      <c r="K337" s="15" t="s">
        <v>2895</v>
      </c>
      <c r="L337" s="15" t="s">
        <v>755</v>
      </c>
      <c r="M337" s="15" t="str">
        <f t="shared" si="5"/>
        <v>insert into dbo.LifeInsJobCode (JobCode,JobGrade,JobDescription,JobGroupCode1,JobGroupName1,JobGroupCode2,JobGroupName2,CreateTime,Creator,ModifyTime,Modifier) VALUES ('07020040','4','維護工人','','','','',getdate(),'Alvin',getdate(),'Alvin')</v>
      </c>
    </row>
    <row r="338" spans="2:13" ht="13.8">
      <c r="B338" s="15" t="s">
        <v>1431</v>
      </c>
      <c r="C338" s="15">
        <v>5</v>
      </c>
      <c r="D338" s="15" t="s">
        <v>1432</v>
      </c>
      <c r="E338" s="15" t="s">
        <v>758</v>
      </c>
      <c r="F338" s="15" t="s">
        <v>758</v>
      </c>
      <c r="G338" s="15" t="s">
        <v>758</v>
      </c>
      <c r="H338" s="15" t="s">
        <v>758</v>
      </c>
      <c r="I338" s="15" t="s">
        <v>2895</v>
      </c>
      <c r="J338" s="15" t="s">
        <v>755</v>
      </c>
      <c r="K338" s="15" t="s">
        <v>2895</v>
      </c>
      <c r="L338" s="15" t="s">
        <v>755</v>
      </c>
      <c r="M338" s="15" t="str">
        <f t="shared" si="5"/>
        <v>insert into dbo.LifeInsJobCode (JobCode,JobGrade,JobDescription,JobGroupCode1,JobGroupName1,JobGroupCode2,JobGroupName2,CreateTime,Creator,ModifyTime,Modifier) VALUES ('07020050','5','電線架設及維護工人','','','','',getdate(),'Alvin',getdate(),'Alvin')</v>
      </c>
    </row>
    <row r="339" spans="2:13" ht="13.8">
      <c r="B339" s="15" t="s">
        <v>1433</v>
      </c>
      <c r="C339" s="15">
        <v>4</v>
      </c>
      <c r="D339" s="15" t="s">
        <v>1434</v>
      </c>
      <c r="E339" s="15" t="s">
        <v>758</v>
      </c>
      <c r="F339" s="15" t="s">
        <v>758</v>
      </c>
      <c r="G339" s="15" t="s">
        <v>758</v>
      </c>
      <c r="H339" s="15" t="s">
        <v>758</v>
      </c>
      <c r="I339" s="15" t="s">
        <v>2895</v>
      </c>
      <c r="J339" s="15" t="s">
        <v>755</v>
      </c>
      <c r="K339" s="15" t="s">
        <v>2895</v>
      </c>
      <c r="L339" s="15" t="s">
        <v>755</v>
      </c>
      <c r="M339" s="15" t="str">
        <f t="shared" si="5"/>
        <v>insert into dbo.LifeInsJobCode (JobCode,JobGrade,JobDescription,JobGroupCode1,JobGroupName1,JobGroupCode2,JobGroupName2,CreateTime,Creator,ModifyTime,Modifier) VALUES ('07020060','4','管道舖設及維護工人','','','','',getdate(),'Alvin',getdate(),'Alvin')</v>
      </c>
    </row>
    <row r="340" spans="2:13" ht="13.8">
      <c r="B340" s="15" t="s">
        <v>1435</v>
      </c>
      <c r="C340" s="15">
        <v>5</v>
      </c>
      <c r="D340" s="15" t="s">
        <v>3284</v>
      </c>
      <c r="E340" s="15" t="s">
        <v>758</v>
      </c>
      <c r="F340" s="15" t="s">
        <v>758</v>
      </c>
      <c r="G340" s="15" t="s">
        <v>758</v>
      </c>
      <c r="H340" s="15" t="s">
        <v>758</v>
      </c>
      <c r="I340" s="15" t="s">
        <v>2895</v>
      </c>
      <c r="J340" s="15" t="s">
        <v>755</v>
      </c>
      <c r="K340" s="15" t="s">
        <v>2895</v>
      </c>
      <c r="L340" s="15" t="s">
        <v>755</v>
      </c>
      <c r="M340" s="15" t="str">
        <f t="shared" si="5"/>
        <v>insert into dbo.LifeInsJobCode (JobCode,JobGrade,JobDescription,JobGroupCode1,JobGroupName1,JobGroupCode2,JobGroupName2,CreateTime,Creator,ModifyTime,Modifier) VALUES ('07020070','5','高速公路工程人員(含美化工程)','','','','',getdate(),'Alvin',getdate(),'Alvin')</v>
      </c>
    </row>
    <row r="341" spans="2:13" ht="13.8">
      <c r="B341" s="15" t="s">
        <v>1436</v>
      </c>
      <c r="C341" s="15">
        <v>3</v>
      </c>
      <c r="D341" s="15" t="s">
        <v>1437</v>
      </c>
      <c r="E341" s="15" t="s">
        <v>758</v>
      </c>
      <c r="F341" s="15" t="s">
        <v>758</v>
      </c>
      <c r="G341" s="15" t="s">
        <v>758</v>
      </c>
      <c r="H341" s="15" t="s">
        <v>758</v>
      </c>
      <c r="I341" s="15" t="s">
        <v>2895</v>
      </c>
      <c r="J341" s="15" t="s">
        <v>755</v>
      </c>
      <c r="K341" s="15" t="s">
        <v>2895</v>
      </c>
      <c r="L341" s="15" t="s">
        <v>755</v>
      </c>
      <c r="M341" s="15" t="str">
        <f t="shared" si="5"/>
        <v>insert into dbo.LifeInsJobCode (JobCode,JobGrade,JobDescription,JobGroupCode1,JobGroupName1,JobGroupCode2,JobGroupName2,CreateTime,Creator,ModifyTime,Modifier) VALUES ('07020080','3','交通號誌裝設及標線人員','','','','',getdate(),'Alvin',getdate(),'Alvin')</v>
      </c>
    </row>
    <row r="342" spans="2:13" ht="13.8">
      <c r="B342" s="15" t="s">
        <v>1438</v>
      </c>
      <c r="C342" s="15">
        <v>3</v>
      </c>
      <c r="D342" s="15" t="s">
        <v>3333</v>
      </c>
      <c r="E342" s="15" t="s">
        <v>758</v>
      </c>
      <c r="F342" s="15" t="s">
        <v>758</v>
      </c>
      <c r="G342" s="15" t="s">
        <v>758</v>
      </c>
      <c r="H342" s="15" t="s">
        <v>758</v>
      </c>
      <c r="I342" s="15" t="s">
        <v>2895</v>
      </c>
      <c r="J342" s="15" t="s">
        <v>755</v>
      </c>
      <c r="K342" s="15" t="s">
        <v>2895</v>
      </c>
      <c r="L342" s="15" t="s">
        <v>755</v>
      </c>
      <c r="M342" s="15" t="str">
        <f t="shared" si="5"/>
        <v>insert into dbo.LifeInsJobCode (JobCode,JobGrade,JobDescription,JobGroupCode1,JobGroupName1,JobGroupCode2,JobGroupName2,CreateTime,Creator,ModifyTime,Modifier) VALUES ('07020090','3','公園、道路路燈裝修工','','','','',getdate(),'Alvin',getdate(),'Alvin')</v>
      </c>
    </row>
    <row r="343" spans="2:13" ht="13.8">
      <c r="B343" s="15" t="s">
        <v>1439</v>
      </c>
      <c r="C343" s="15">
        <v>5</v>
      </c>
      <c r="D343" s="15" t="s">
        <v>1440</v>
      </c>
      <c r="E343" s="15" t="s">
        <v>758</v>
      </c>
      <c r="F343" s="15" t="s">
        <v>758</v>
      </c>
      <c r="G343" s="15" t="s">
        <v>758</v>
      </c>
      <c r="H343" s="15" t="s">
        <v>758</v>
      </c>
      <c r="I343" s="15" t="s">
        <v>2895</v>
      </c>
      <c r="J343" s="15" t="s">
        <v>755</v>
      </c>
      <c r="K343" s="15" t="s">
        <v>2895</v>
      </c>
      <c r="L343" s="15" t="s">
        <v>755</v>
      </c>
      <c r="M343" s="15" t="str">
        <f t="shared" si="5"/>
        <v>insert into dbo.LifeInsJobCode (JobCode,JobGrade,JobDescription,JobGroupCode1,JobGroupName1,JobGroupCode2,JobGroupName2,CreateTime,Creator,ModifyTime,Modifier) VALUES ('07020100','5','高速公路工程監工','','','','',getdate(),'Alvin',getdate(),'Alvin')</v>
      </c>
    </row>
    <row r="344" spans="2:13" ht="13.8">
      <c r="B344" s="15" t="s">
        <v>1441</v>
      </c>
      <c r="C344" s="15">
        <v>3</v>
      </c>
      <c r="D344" s="15" t="s">
        <v>958</v>
      </c>
      <c r="E344" s="15" t="s">
        <v>758</v>
      </c>
      <c r="F344" s="15" t="s">
        <v>758</v>
      </c>
      <c r="G344" s="15" t="s">
        <v>1442</v>
      </c>
      <c r="H344" s="15" t="s">
        <v>1443</v>
      </c>
      <c r="I344" s="15" t="s">
        <v>2895</v>
      </c>
      <c r="J344" s="15" t="s">
        <v>755</v>
      </c>
      <c r="K344" s="15" t="s">
        <v>2895</v>
      </c>
      <c r="L344" s="15" t="s">
        <v>755</v>
      </c>
      <c r="M344" s="15" t="str">
        <f t="shared" si="5"/>
        <v>insert into dbo.LifeInsJobCode (JobCode,JobGrade,JobDescription,JobGroupCode1,JobGroupName1,JobGroupCode2,JobGroupName2,CreateTime,Creator,ModifyTime,Modifier) VALUES ('07030010','3','工程師','','','0703','造修船業',getdate(),'Alvin',getdate(),'Alvin')</v>
      </c>
    </row>
    <row r="345" spans="2:13" ht="13.8">
      <c r="B345" s="15" t="s">
        <v>1444</v>
      </c>
      <c r="C345" s="15">
        <v>4</v>
      </c>
      <c r="D345" s="15" t="s">
        <v>1424</v>
      </c>
      <c r="E345" s="15" t="s">
        <v>758</v>
      </c>
      <c r="F345" s="15" t="s">
        <v>758</v>
      </c>
      <c r="G345" s="15" t="s">
        <v>758</v>
      </c>
      <c r="H345" s="15" t="s">
        <v>758</v>
      </c>
      <c r="I345" s="15" t="s">
        <v>2895</v>
      </c>
      <c r="J345" s="15" t="s">
        <v>755</v>
      </c>
      <c r="K345" s="15" t="s">
        <v>2895</v>
      </c>
      <c r="L345" s="15" t="s">
        <v>755</v>
      </c>
      <c r="M345" s="15" t="str">
        <f t="shared" si="5"/>
        <v>insert into dbo.LifeInsJobCode (JobCode,JobGrade,JobDescription,JobGroupCode1,JobGroupName1,JobGroupCode2,JobGroupName2,CreateTime,Creator,ModifyTime,Modifier) VALUES ('07030020','4','領班、監工','','','','',getdate(),'Alvin',getdate(),'Alvin')</v>
      </c>
    </row>
    <row r="346" spans="2:13" ht="13.8">
      <c r="B346" s="15" t="s">
        <v>1445</v>
      </c>
      <c r="C346" s="15">
        <v>5</v>
      </c>
      <c r="D346" s="15" t="s">
        <v>915</v>
      </c>
      <c r="E346" s="15" t="s">
        <v>758</v>
      </c>
      <c r="F346" s="15" t="s">
        <v>758</v>
      </c>
      <c r="G346" s="15" t="s">
        <v>758</v>
      </c>
      <c r="H346" s="15" t="s">
        <v>758</v>
      </c>
      <c r="I346" s="15" t="s">
        <v>2895</v>
      </c>
      <c r="J346" s="15" t="s">
        <v>755</v>
      </c>
      <c r="K346" s="15" t="s">
        <v>2895</v>
      </c>
      <c r="L346" s="15" t="s">
        <v>755</v>
      </c>
      <c r="M346" s="15" t="str">
        <f t="shared" si="5"/>
        <v>insert into dbo.LifeInsJobCode (JobCode,JobGrade,JobDescription,JobGroupCode1,JobGroupName1,JobGroupCode2,JobGroupName2,CreateTime,Creator,ModifyTime,Modifier) VALUES ('07030030','5','工人','','','','',getdate(),'Alvin',getdate(),'Alvin')</v>
      </c>
    </row>
    <row r="347" spans="2:13" ht="13.8">
      <c r="B347" s="15" t="s">
        <v>1446</v>
      </c>
      <c r="C347" s="15">
        <v>4</v>
      </c>
      <c r="D347" s="15" t="s">
        <v>1447</v>
      </c>
      <c r="E347" s="15" t="s">
        <v>758</v>
      </c>
      <c r="F347" s="15" t="s">
        <v>758</v>
      </c>
      <c r="G347" s="15" t="s">
        <v>758</v>
      </c>
      <c r="H347" s="15" t="s">
        <v>758</v>
      </c>
      <c r="I347" s="15" t="s">
        <v>2895</v>
      </c>
      <c r="J347" s="15" t="s">
        <v>755</v>
      </c>
      <c r="K347" s="15" t="s">
        <v>2895</v>
      </c>
      <c r="L347" s="15" t="s">
        <v>755</v>
      </c>
      <c r="M347" s="15" t="str">
        <f t="shared" si="5"/>
        <v>insert into dbo.LifeInsJobCode (JobCode,JobGrade,JobDescription,JobGroupCode1,JobGroupName1,JobGroupCode2,JobGroupName2,CreateTime,Creator,ModifyTime,Modifier) VALUES ('07030040','4','修護遊艇工人','','','','',getdate(),'Alvin',getdate(),'Alvin')</v>
      </c>
    </row>
    <row r="348" spans="2:13" ht="13.8">
      <c r="B348" s="15" t="s">
        <v>1448</v>
      </c>
      <c r="C348" s="15">
        <v>6</v>
      </c>
      <c r="D348" s="15" t="s">
        <v>1449</v>
      </c>
      <c r="E348" s="15" t="s">
        <v>758</v>
      </c>
      <c r="F348" s="15" t="s">
        <v>758</v>
      </c>
      <c r="G348" s="15" t="s">
        <v>758</v>
      </c>
      <c r="H348" s="15" t="s">
        <v>758</v>
      </c>
      <c r="I348" s="15" t="s">
        <v>2895</v>
      </c>
      <c r="J348" s="15" t="s">
        <v>755</v>
      </c>
      <c r="K348" s="15" t="s">
        <v>2895</v>
      </c>
      <c r="L348" s="15" t="s">
        <v>755</v>
      </c>
      <c r="M348" s="15" t="str">
        <f t="shared" si="5"/>
        <v>insert into dbo.LifeInsJobCode (JobCode,JobGrade,JobDescription,JobGroupCode1,JobGroupName1,JobGroupCode2,JobGroupName2,CreateTime,Creator,ModifyTime,Modifier) VALUES ('07030050','6','船體切割人員(陸上)','','','','',getdate(),'Alvin',getdate(),'Alvin')</v>
      </c>
    </row>
    <row r="349" spans="2:13" ht="13.8">
      <c r="B349" s="15" t="s">
        <v>1450</v>
      </c>
      <c r="C349" s="15">
        <v>7</v>
      </c>
      <c r="D349" s="15" t="s">
        <v>1451</v>
      </c>
      <c r="E349" s="15" t="s">
        <v>758</v>
      </c>
      <c r="F349" s="15" t="s">
        <v>758</v>
      </c>
      <c r="G349" s="15" t="s">
        <v>758</v>
      </c>
      <c r="H349" s="15" t="s">
        <v>758</v>
      </c>
      <c r="I349" s="15" t="s">
        <v>2895</v>
      </c>
      <c r="J349" s="15" t="s">
        <v>755</v>
      </c>
      <c r="K349" s="15" t="s">
        <v>2895</v>
      </c>
      <c r="L349" s="15" t="s">
        <v>755</v>
      </c>
      <c r="M349" s="15" t="str">
        <f t="shared" si="5"/>
        <v>insert into dbo.LifeInsJobCode (JobCode,JobGrade,JobDescription,JobGroupCode1,JobGroupName1,JobGroupCode2,JobGroupName2,CreateTime,Creator,ModifyTime,Modifier) VALUES ('07030060','7','船體切割人員(海上)','','','','',getdate(),'Alvin',getdate(),'Alvin')</v>
      </c>
    </row>
    <row r="350" spans="2:13" ht="13.8">
      <c r="B350" s="15" t="s">
        <v>1452</v>
      </c>
      <c r="C350" s="15">
        <v>6</v>
      </c>
      <c r="D350" s="15" t="s">
        <v>3334</v>
      </c>
      <c r="E350" s="15" t="s">
        <v>758</v>
      </c>
      <c r="F350" s="15" t="s">
        <v>758</v>
      </c>
      <c r="G350" s="15" t="s">
        <v>758</v>
      </c>
      <c r="H350" s="15" t="s">
        <v>758</v>
      </c>
      <c r="I350" s="15" t="s">
        <v>2895</v>
      </c>
      <c r="J350" s="15" t="s">
        <v>755</v>
      </c>
      <c r="K350" s="15" t="s">
        <v>2895</v>
      </c>
      <c r="L350" s="15" t="s">
        <v>755</v>
      </c>
      <c r="M350" s="15" t="str">
        <f t="shared" si="5"/>
        <v>insert into dbo.LifeInsJobCode (JobCode,JobGrade,JobDescription,JobGroupCode1,JobGroupName1,JobGroupCode2,JobGroupName2,CreateTime,Creator,ModifyTime,Modifier) VALUES ('07030070','6','拆船工人','','','','',getdate(),'Alvin',getdate(),'Alvin')</v>
      </c>
    </row>
    <row r="351" spans="2:13" ht="13.8">
      <c r="B351" s="40" t="s">
        <v>2896</v>
      </c>
      <c r="C351" s="15">
        <v>3</v>
      </c>
      <c r="D351" s="15" t="s">
        <v>1453</v>
      </c>
      <c r="E351" s="15" t="s">
        <v>758</v>
      </c>
      <c r="F351" s="15" t="s">
        <v>758</v>
      </c>
      <c r="G351" s="15" t="s">
        <v>758</v>
      </c>
      <c r="H351" s="15" t="s">
        <v>758</v>
      </c>
      <c r="I351" s="15" t="s">
        <v>2895</v>
      </c>
      <c r="J351" s="15" t="s">
        <v>755</v>
      </c>
      <c r="K351" s="15" t="s">
        <v>2895</v>
      </c>
      <c r="L351" s="15" t="s">
        <v>755</v>
      </c>
      <c r="M351" s="15" t="str">
        <f t="shared" si="5"/>
        <v>insert into dbo.LifeInsJobCode (JobCode,JobGrade,JobDescription,JobGroupCode1,JobGroupName1,JobGroupCode2,JobGroupName2,CreateTime,Creator,ModifyTime,Modifier) VALUES ('07030080','3','船舶驗收人員','','','','',getdate(),'Alvin',getdate(),'Alvin')</v>
      </c>
    </row>
    <row r="352" spans="2:13" ht="13.8">
      <c r="B352" s="15" t="s">
        <v>1454</v>
      </c>
      <c r="C352" s="15">
        <v>4</v>
      </c>
      <c r="D352" s="15" t="s">
        <v>1455</v>
      </c>
      <c r="E352" s="15" t="s">
        <v>758</v>
      </c>
      <c r="F352" s="15" t="s">
        <v>758</v>
      </c>
      <c r="G352" s="15" t="s">
        <v>1456</v>
      </c>
      <c r="H352" s="15" t="s">
        <v>1457</v>
      </c>
      <c r="I352" s="15" t="s">
        <v>2895</v>
      </c>
      <c r="J352" s="15" t="s">
        <v>755</v>
      </c>
      <c r="K352" s="15" t="s">
        <v>2895</v>
      </c>
      <c r="L352" s="15" t="s">
        <v>755</v>
      </c>
      <c r="M352" s="15" t="str">
        <f t="shared" si="5"/>
        <v>insert into dbo.LifeInsJobCode (JobCode,JobGrade,JobDescription,JobGroupCode1,JobGroupName1,JobGroupCode2,JobGroupName2,CreateTime,Creator,ModifyTime,Modifier) VALUES ('07040010','4','按裝工人','','','0704','電梯昇降梯',getdate(),'Alvin',getdate(),'Alvin')</v>
      </c>
    </row>
    <row r="353" spans="2:13" ht="13.8">
      <c r="B353" s="15" t="s">
        <v>1458</v>
      </c>
      <c r="C353" s="15">
        <v>4</v>
      </c>
      <c r="D353" s="15" t="s">
        <v>1459</v>
      </c>
      <c r="E353" s="15" t="s">
        <v>758</v>
      </c>
      <c r="F353" s="15" t="s">
        <v>758</v>
      </c>
      <c r="G353" s="15" t="s">
        <v>758</v>
      </c>
      <c r="H353" s="15" t="s">
        <v>758</v>
      </c>
      <c r="I353" s="15" t="s">
        <v>2895</v>
      </c>
      <c r="J353" s="15" t="s">
        <v>755</v>
      </c>
      <c r="K353" s="15" t="s">
        <v>2895</v>
      </c>
      <c r="L353" s="15" t="s">
        <v>755</v>
      </c>
      <c r="M353" s="15" t="str">
        <f t="shared" si="5"/>
        <v>insert into dbo.LifeInsJobCode (JobCode,JobGrade,JobDescription,JobGroupCode1,JobGroupName1,JobGroupCode2,JobGroupName2,CreateTime,Creator,ModifyTime,Modifier) VALUES ('07040020','4','修理及維護工人','','','','',getdate(),'Alvin',getdate(),'Alvin')</v>
      </c>
    </row>
    <row r="354" spans="2:13" ht="13.8">
      <c r="B354" s="15" t="s">
        <v>1460</v>
      </c>
      <c r="C354" s="15">
        <v>2</v>
      </c>
      <c r="D354" s="15" t="s">
        <v>1461</v>
      </c>
      <c r="E354" s="15" t="s">
        <v>758</v>
      </c>
      <c r="F354" s="15" t="s">
        <v>758</v>
      </c>
      <c r="G354" s="15" t="s">
        <v>758</v>
      </c>
      <c r="H354" s="15" t="s">
        <v>758</v>
      </c>
      <c r="I354" s="15" t="s">
        <v>2895</v>
      </c>
      <c r="J354" s="15" t="s">
        <v>755</v>
      </c>
      <c r="K354" s="15" t="s">
        <v>2895</v>
      </c>
      <c r="L354" s="15" t="s">
        <v>755</v>
      </c>
      <c r="M354" s="15" t="str">
        <f t="shared" si="5"/>
        <v>insert into dbo.LifeInsJobCode (JobCode,JobGrade,JobDescription,JobGroupCode1,JobGroupName1,JobGroupCode2,JobGroupName2,CreateTime,Creator,ModifyTime,Modifier) VALUES ('07040030','2','操作員(不包括礦場使用者)','','','','',getdate(),'Alvin',getdate(),'Alvin')</v>
      </c>
    </row>
    <row r="355" spans="2:13" ht="13.8">
      <c r="B355" s="15" t="s">
        <v>1462</v>
      </c>
      <c r="C355" s="15">
        <v>1</v>
      </c>
      <c r="D355" s="15" t="s">
        <v>1463</v>
      </c>
      <c r="E355" s="15" t="s">
        <v>758</v>
      </c>
      <c r="F355" s="15" t="s">
        <v>758</v>
      </c>
      <c r="G355" s="15" t="s">
        <v>1464</v>
      </c>
      <c r="H355" s="15" t="s">
        <v>1465</v>
      </c>
      <c r="I355" s="15" t="s">
        <v>2895</v>
      </c>
      <c r="J355" s="15" t="s">
        <v>755</v>
      </c>
      <c r="K355" s="15" t="s">
        <v>2895</v>
      </c>
      <c r="L355" s="15" t="s">
        <v>755</v>
      </c>
      <c r="M355" s="15" t="str">
        <f t="shared" si="5"/>
        <v>insert into dbo.LifeInsJobCode (JobCode,JobGrade,JobDescription,JobGroupCode1,JobGroupName1,JobGroupCode2,JobGroupName2,CreateTime,Creator,ModifyTime,Modifier) VALUES ('07050010','1','設計製圖人員','','','0705','裝璜業',getdate(),'Alvin',getdate(),'Alvin')</v>
      </c>
    </row>
    <row r="356" spans="2:13" ht="13.8">
      <c r="B356" s="15" t="s">
        <v>1466</v>
      </c>
      <c r="C356" s="15">
        <v>2</v>
      </c>
      <c r="D356" s="15" t="s">
        <v>1467</v>
      </c>
      <c r="E356" s="15" t="s">
        <v>758</v>
      </c>
      <c r="F356" s="15" t="s">
        <v>758</v>
      </c>
      <c r="G356" s="15" t="s">
        <v>758</v>
      </c>
      <c r="H356" s="15" t="s">
        <v>758</v>
      </c>
      <c r="I356" s="15" t="s">
        <v>2895</v>
      </c>
      <c r="J356" s="15" t="s">
        <v>755</v>
      </c>
      <c r="K356" s="15" t="s">
        <v>2895</v>
      </c>
      <c r="L356" s="15" t="s">
        <v>755</v>
      </c>
      <c r="M356" s="15" t="str">
        <f t="shared" si="5"/>
        <v>insert into dbo.LifeInsJobCode (JobCode,JobGrade,JobDescription,JobGroupCode1,JobGroupName1,JobGroupCode2,JobGroupName2,CreateTime,Creator,ModifyTime,Modifier) VALUES ('07050020','2','地毯之裝設人員','','','','',getdate(),'Alvin',getdate(),'Alvin')</v>
      </c>
    </row>
    <row r="357" spans="2:13" ht="13.8">
      <c r="B357" s="15" t="s">
        <v>1468</v>
      </c>
      <c r="C357" s="15">
        <v>3</v>
      </c>
      <c r="D357" s="15" t="s">
        <v>1469</v>
      </c>
      <c r="E357" s="15" t="s">
        <v>758</v>
      </c>
      <c r="F357" s="15" t="s">
        <v>758</v>
      </c>
      <c r="G357" s="15" t="s">
        <v>758</v>
      </c>
      <c r="H357" s="15" t="s">
        <v>758</v>
      </c>
      <c r="I357" s="15" t="s">
        <v>2895</v>
      </c>
      <c r="J357" s="15" t="s">
        <v>755</v>
      </c>
      <c r="K357" s="15" t="s">
        <v>2895</v>
      </c>
      <c r="L357" s="15" t="s">
        <v>755</v>
      </c>
      <c r="M357" s="15" t="str">
        <f t="shared" si="5"/>
        <v>insert into dbo.LifeInsJobCode (JobCode,JobGrade,JobDescription,JobGroupCode1,JobGroupName1,JobGroupCode2,JobGroupName2,CreateTime,Creator,ModifyTime,Modifier) VALUES ('07050030','3','室內裝璜人員','','','','',getdate(),'Alvin',getdate(),'Alvin')</v>
      </c>
    </row>
    <row r="358" spans="2:13" ht="13.8">
      <c r="B358" s="15" t="s">
        <v>1470</v>
      </c>
      <c r="C358" s="15">
        <v>4</v>
      </c>
      <c r="D358" s="15" t="s">
        <v>1471</v>
      </c>
      <c r="E358" s="15" t="s">
        <v>758</v>
      </c>
      <c r="F358" s="15" t="s">
        <v>758</v>
      </c>
      <c r="G358" s="15" t="s">
        <v>758</v>
      </c>
      <c r="H358" s="15" t="s">
        <v>758</v>
      </c>
      <c r="I358" s="15" t="s">
        <v>2895</v>
      </c>
      <c r="J358" s="15" t="s">
        <v>755</v>
      </c>
      <c r="K358" s="15" t="s">
        <v>2895</v>
      </c>
      <c r="L358" s="15" t="s">
        <v>755</v>
      </c>
      <c r="M358" s="15" t="str">
        <f t="shared" si="5"/>
        <v>insert into dbo.LifeInsJobCode (JobCode,JobGrade,JobDescription,JobGroupCode1,JobGroupName1,JobGroupCode2,JobGroupName2,CreateTime,Creator,ModifyTime,Modifier) VALUES ('07050040','4','室外裝璜人員','','','','',getdate(),'Alvin',getdate(),'Alvin')</v>
      </c>
    </row>
    <row r="359" spans="2:13" ht="13.8">
      <c r="B359" s="15" t="s">
        <v>1472</v>
      </c>
      <c r="C359" s="15">
        <v>2</v>
      </c>
      <c r="D359" s="15" t="s">
        <v>1473</v>
      </c>
      <c r="E359" s="15" t="s">
        <v>758</v>
      </c>
      <c r="F359" s="15" t="s">
        <v>758</v>
      </c>
      <c r="G359" s="15" t="s">
        <v>758</v>
      </c>
      <c r="H359" s="15" t="s">
        <v>758</v>
      </c>
      <c r="I359" s="15" t="s">
        <v>2895</v>
      </c>
      <c r="J359" s="15" t="s">
        <v>755</v>
      </c>
      <c r="K359" s="15" t="s">
        <v>2895</v>
      </c>
      <c r="L359" s="15" t="s">
        <v>755</v>
      </c>
      <c r="M359" s="15" t="str">
        <f t="shared" si="5"/>
        <v>insert into dbo.LifeInsJobCode (JobCode,JobGrade,JobDescription,JobGroupCode1,JobGroupName1,JobGroupCode2,JobGroupName2,CreateTime,Creator,ModifyTime,Modifier) VALUES ('07050050','2','承包商、監工','','','','',getdate(),'Alvin',getdate(),'Alvin')</v>
      </c>
    </row>
    <row r="360" spans="2:13" ht="13.8">
      <c r="B360" s="15" t="s">
        <v>1474</v>
      </c>
      <c r="C360" s="15">
        <v>4</v>
      </c>
      <c r="D360" s="15" t="s">
        <v>3285</v>
      </c>
      <c r="E360" s="15" t="s">
        <v>758</v>
      </c>
      <c r="F360" s="15" t="s">
        <v>758</v>
      </c>
      <c r="G360" s="15" t="s">
        <v>1475</v>
      </c>
      <c r="H360" s="15" t="s">
        <v>1476</v>
      </c>
      <c r="I360" s="15" t="s">
        <v>2895</v>
      </c>
      <c r="J360" s="15" t="s">
        <v>755</v>
      </c>
      <c r="K360" s="15" t="s">
        <v>2895</v>
      </c>
      <c r="L360" s="15" t="s">
        <v>755</v>
      </c>
      <c r="M360" s="15" t="str">
        <f t="shared" si="5"/>
        <v>insert into dbo.LifeInsJobCode (JobCode,JobGrade,JobDescription,JobGroupCode1,JobGroupName1,JobGroupCode2,JobGroupName2,CreateTime,Creator,ModifyTime,Modifier) VALUES ('07060010','4','地質探測員(山區、海上)','','','0706','其他工程業',getdate(),'Alvin',getdate(),'Alvin')</v>
      </c>
    </row>
    <row r="361" spans="2:13" ht="13.8">
      <c r="B361" s="15" t="s">
        <v>1477</v>
      </c>
      <c r="C361" s="15">
        <v>2</v>
      </c>
      <c r="D361" s="15" t="s">
        <v>3286</v>
      </c>
      <c r="E361" s="15" t="s">
        <v>758</v>
      </c>
      <c r="F361" s="15" t="s">
        <v>758</v>
      </c>
      <c r="G361" s="15" t="s">
        <v>758</v>
      </c>
      <c r="H361" s="15" t="s">
        <v>758</v>
      </c>
      <c r="I361" s="15" t="s">
        <v>2895</v>
      </c>
      <c r="J361" s="15" t="s">
        <v>755</v>
      </c>
      <c r="K361" s="15" t="s">
        <v>2895</v>
      </c>
      <c r="L361" s="15" t="s">
        <v>755</v>
      </c>
      <c r="M361" s="15" t="str">
        <f t="shared" si="5"/>
        <v>insert into dbo.LifeInsJobCode (JobCode,JobGrade,JobDescription,JobGroupCode1,JobGroupName1,JobGroupCode2,JobGroupName2,CreateTime,Creator,ModifyTime,Modifier) VALUES ('07060011','2','地質探測員(平地)','','','','',getdate(),'Alvin',getdate(),'Alvin')</v>
      </c>
    </row>
    <row r="362" spans="2:13" ht="13.8">
      <c r="B362" s="15" t="s">
        <v>1478</v>
      </c>
      <c r="C362" s="15">
        <v>4</v>
      </c>
      <c r="D362" s="15" t="s">
        <v>1479</v>
      </c>
      <c r="E362" s="15" t="s">
        <v>758</v>
      </c>
      <c r="F362" s="15" t="s">
        <v>758</v>
      </c>
      <c r="G362" s="15" t="s">
        <v>758</v>
      </c>
      <c r="H362" s="15" t="s">
        <v>758</v>
      </c>
      <c r="I362" s="15" t="s">
        <v>2895</v>
      </c>
      <c r="J362" s="15" t="s">
        <v>755</v>
      </c>
      <c r="K362" s="15" t="s">
        <v>2895</v>
      </c>
      <c r="L362" s="15" t="s">
        <v>755</v>
      </c>
      <c r="M362" s="15" t="str">
        <f t="shared" si="5"/>
        <v>insert into dbo.LifeInsJobCode (JobCode,JobGrade,JobDescription,JobGroupCode1,JobGroupName1,JobGroupCode2,JobGroupName2,CreateTime,Creator,ModifyTime,Modifier) VALUES ('07060020','4','工地看守員','','','','',getdate(),'Alvin',getdate(),'Alvin')</v>
      </c>
    </row>
    <row r="363" spans="2:13" ht="13.8">
      <c r="B363" s="15" t="s">
        <v>1480</v>
      </c>
      <c r="C363" s="15">
        <v>5</v>
      </c>
      <c r="D363" s="15" t="s">
        <v>1481</v>
      </c>
      <c r="E363" s="15" t="s">
        <v>758</v>
      </c>
      <c r="F363" s="15" t="s">
        <v>758</v>
      </c>
      <c r="G363" s="15" t="s">
        <v>758</v>
      </c>
      <c r="H363" s="15" t="s">
        <v>758</v>
      </c>
      <c r="I363" s="15" t="s">
        <v>2895</v>
      </c>
      <c r="J363" s="15" t="s">
        <v>755</v>
      </c>
      <c r="K363" s="15" t="s">
        <v>2895</v>
      </c>
      <c r="L363" s="15" t="s">
        <v>755</v>
      </c>
      <c r="M363" s="15" t="str">
        <f t="shared" si="5"/>
        <v>insert into dbo.LifeInsJobCode (JobCode,JobGrade,JobDescription,JobGroupCode1,JobGroupName1,JobGroupCode2,JobGroupName2,CreateTime,Creator,ModifyTime,Modifier) VALUES ('07060030','5','海灣港口工程人員','','','','',getdate(),'Alvin',getdate(),'Alvin')</v>
      </c>
    </row>
    <row r="364" spans="2:13" ht="13.8">
      <c r="B364" s="15" t="s">
        <v>1482</v>
      </c>
      <c r="C364" s="15">
        <v>5</v>
      </c>
      <c r="D364" s="15" t="s">
        <v>1483</v>
      </c>
      <c r="E364" s="15" t="s">
        <v>758</v>
      </c>
      <c r="F364" s="15" t="s">
        <v>758</v>
      </c>
      <c r="G364" s="15" t="s">
        <v>758</v>
      </c>
      <c r="H364" s="15" t="s">
        <v>758</v>
      </c>
      <c r="I364" s="15" t="s">
        <v>2895</v>
      </c>
      <c r="J364" s="15" t="s">
        <v>755</v>
      </c>
      <c r="K364" s="15" t="s">
        <v>2895</v>
      </c>
      <c r="L364" s="15" t="s">
        <v>755</v>
      </c>
      <c r="M364" s="15" t="str">
        <f t="shared" si="5"/>
        <v>insert into dbo.LifeInsJobCode (JobCode,JobGrade,JobDescription,JobGroupCode1,JobGroupName1,JobGroupCode2,JobGroupName2,CreateTime,Creator,ModifyTime,Modifier) VALUES ('07060040','5','水壩工程人員','','','','',getdate(),'Alvin',getdate(),'Alvin')</v>
      </c>
    </row>
    <row r="365" spans="2:13" ht="13.8">
      <c r="B365" s="15" t="s">
        <v>1484</v>
      </c>
      <c r="C365" s="15">
        <v>5</v>
      </c>
      <c r="D365" s="15" t="s">
        <v>1485</v>
      </c>
      <c r="E365" s="15" t="s">
        <v>758</v>
      </c>
      <c r="F365" s="15" t="s">
        <v>758</v>
      </c>
      <c r="G365" s="15" t="s">
        <v>758</v>
      </c>
      <c r="H365" s="15" t="s">
        <v>758</v>
      </c>
      <c r="I365" s="15" t="s">
        <v>2895</v>
      </c>
      <c r="J365" s="15" t="s">
        <v>755</v>
      </c>
      <c r="K365" s="15" t="s">
        <v>2895</v>
      </c>
      <c r="L365" s="15" t="s">
        <v>755</v>
      </c>
      <c r="M365" s="15" t="str">
        <f t="shared" si="5"/>
        <v>insert into dbo.LifeInsJobCode (JobCode,JobGrade,JobDescription,JobGroupCode1,JobGroupName1,JobGroupCode2,JobGroupName2,CreateTime,Creator,ModifyTime,Modifier) VALUES ('07060050','5','橋樑工程人員','','','','',getdate(),'Alvin',getdate(),'Alvin')</v>
      </c>
    </row>
    <row r="366" spans="2:13" ht="13.8">
      <c r="B366" s="15" t="s">
        <v>1486</v>
      </c>
      <c r="C366" s="15">
        <v>6</v>
      </c>
      <c r="D366" s="15" t="s">
        <v>1487</v>
      </c>
      <c r="E366" s="15" t="s">
        <v>758</v>
      </c>
      <c r="F366" s="15" t="s">
        <v>758</v>
      </c>
      <c r="G366" s="15" t="s">
        <v>758</v>
      </c>
      <c r="H366" s="15" t="s">
        <v>758</v>
      </c>
      <c r="I366" s="15" t="s">
        <v>2895</v>
      </c>
      <c r="J366" s="15" t="s">
        <v>755</v>
      </c>
      <c r="K366" s="15" t="s">
        <v>2895</v>
      </c>
      <c r="L366" s="15" t="s">
        <v>755</v>
      </c>
      <c r="M366" s="15" t="str">
        <f t="shared" si="5"/>
        <v>insert into dbo.LifeInsJobCode (JobCode,JobGrade,JobDescription,JobGroupCode1,JobGroupName1,JobGroupCode2,JobGroupName2,CreateTime,Creator,ModifyTime,Modifier) VALUES ('07060060','6','隧道工程人員','','','','',getdate(),'Alvin',getdate(),'Alvin')</v>
      </c>
    </row>
    <row r="367" spans="2:13" ht="13.8">
      <c r="B367" s="15" t="s">
        <v>1488</v>
      </c>
      <c r="C367" s="15">
        <v>7</v>
      </c>
      <c r="D367" s="15" t="s">
        <v>1489</v>
      </c>
      <c r="E367" s="15" t="s">
        <v>758</v>
      </c>
      <c r="F367" s="15" t="s">
        <v>758</v>
      </c>
      <c r="G367" s="15" t="s">
        <v>758</v>
      </c>
      <c r="H367" s="15" t="s">
        <v>758</v>
      </c>
      <c r="I367" s="15" t="s">
        <v>2895</v>
      </c>
      <c r="J367" s="15" t="s">
        <v>755</v>
      </c>
      <c r="K367" s="15" t="s">
        <v>2895</v>
      </c>
      <c r="L367" s="15" t="s">
        <v>755</v>
      </c>
      <c r="M367" s="15" t="str">
        <f t="shared" si="5"/>
        <v>insert into dbo.LifeInsJobCode (JobCode,JobGrade,JobDescription,JobGroupCode1,JobGroupName1,JobGroupCode2,JobGroupName2,CreateTime,Creator,ModifyTime,Modifier) VALUES ('07060070','7','潛水工作人員','','','','',getdate(),'Alvin',getdate(),'Alvin')</v>
      </c>
    </row>
    <row r="368" spans="2:13" ht="13.8">
      <c r="B368" s="15" t="s">
        <v>1490</v>
      </c>
      <c r="C368" s="15">
        <v>7</v>
      </c>
      <c r="D368" s="15" t="s">
        <v>1491</v>
      </c>
      <c r="E368" s="15" t="s">
        <v>758</v>
      </c>
      <c r="F368" s="15" t="s">
        <v>758</v>
      </c>
      <c r="G368" s="15" t="s">
        <v>758</v>
      </c>
      <c r="H368" s="15" t="s">
        <v>758</v>
      </c>
      <c r="I368" s="15" t="s">
        <v>2895</v>
      </c>
      <c r="J368" s="15" t="s">
        <v>755</v>
      </c>
      <c r="K368" s="15" t="s">
        <v>2895</v>
      </c>
      <c r="L368" s="15" t="s">
        <v>755</v>
      </c>
      <c r="M368" s="15" t="str">
        <f t="shared" si="5"/>
        <v>insert into dbo.LifeInsJobCode (JobCode,JobGrade,JobDescription,JobGroupCode1,JobGroupName1,JobGroupCode2,JobGroupName2,CreateTime,Creator,ModifyTime,Modifier) VALUES ('07060080','7','爆破工作人員','','','','',getdate(),'Alvin',getdate(),'Alvin')</v>
      </c>
    </row>
    <row r="369" spans="2:13" ht="13.8">
      <c r="B369" s="15" t="s">
        <v>1492</v>
      </c>
      <c r="C369" s="15">
        <v>5</v>
      </c>
      <c r="D369" s="15" t="s">
        <v>1493</v>
      </c>
      <c r="E369" s="15" t="s">
        <v>758</v>
      </c>
      <c r="F369" s="15" t="s">
        <v>758</v>
      </c>
      <c r="G369" s="15" t="s">
        <v>758</v>
      </c>
      <c r="H369" s="15" t="s">
        <v>758</v>
      </c>
      <c r="I369" s="15" t="s">
        <v>2895</v>
      </c>
      <c r="J369" s="15" t="s">
        <v>755</v>
      </c>
      <c r="K369" s="15" t="s">
        <v>2895</v>
      </c>
      <c r="L369" s="15" t="s">
        <v>755</v>
      </c>
      <c r="M369" s="15" t="str">
        <f t="shared" si="5"/>
        <v>insert into dbo.LifeInsJobCode (JobCode,JobGrade,JobDescription,JobGroupCode1,JobGroupName1,JobGroupCode2,JobGroupName2,CreateTime,Creator,ModifyTime,Modifier) VALUES ('07060090','5','挖泥船工人','','','','',getdate(),'Alvin',getdate(),'Alvin')</v>
      </c>
    </row>
    <row r="370" spans="2:13" ht="13.8">
      <c r="B370" s="15" t="s">
        <v>1494</v>
      </c>
      <c r="C370" s="15">
        <v>3</v>
      </c>
      <c r="D370" s="15" t="s">
        <v>1495</v>
      </c>
      <c r="E370" s="15" t="s">
        <v>1496</v>
      </c>
      <c r="F370" s="15" t="s">
        <v>1497</v>
      </c>
      <c r="G370" s="15" t="s">
        <v>1498</v>
      </c>
      <c r="H370" s="15" t="s">
        <v>1499</v>
      </c>
      <c r="I370" s="15" t="s">
        <v>2895</v>
      </c>
      <c r="J370" s="15" t="s">
        <v>755</v>
      </c>
      <c r="K370" s="15" t="s">
        <v>2895</v>
      </c>
      <c r="L370" s="15" t="s">
        <v>755</v>
      </c>
      <c r="M370" s="15" t="str">
        <f t="shared" si="5"/>
        <v>insert into dbo.LifeInsJobCode (JobCode,JobGrade,JobDescription,JobGroupCode1,JobGroupName1,JobGroupCode2,JobGroupName2,CreateTime,Creator,ModifyTime,Modifier) VALUES ('08010010','3','技師','08','製造業','0801','鋼鐵場',getdate(),'Alvin',getdate(),'Alvin')</v>
      </c>
    </row>
    <row r="371" spans="2:13" ht="13.8">
      <c r="B371" s="15" t="s">
        <v>1500</v>
      </c>
      <c r="C371" s="15">
        <v>3</v>
      </c>
      <c r="D371" s="15" t="s">
        <v>958</v>
      </c>
      <c r="E371" s="15" t="s">
        <v>758</v>
      </c>
      <c r="F371" s="15" t="s">
        <v>758</v>
      </c>
      <c r="G371" s="15" t="s">
        <v>758</v>
      </c>
      <c r="H371" s="15" t="s">
        <v>758</v>
      </c>
      <c r="I371" s="15" t="s">
        <v>2895</v>
      </c>
      <c r="J371" s="15" t="s">
        <v>755</v>
      </c>
      <c r="K371" s="15" t="s">
        <v>2895</v>
      </c>
      <c r="L371" s="15" t="s">
        <v>755</v>
      </c>
      <c r="M371" s="15" t="str">
        <f t="shared" si="5"/>
        <v>insert into dbo.LifeInsJobCode (JobCode,JobGrade,JobDescription,JobGroupCode1,JobGroupName1,JobGroupCode2,JobGroupName2,CreateTime,Creator,ModifyTime,Modifier) VALUES ('08010020','3','工程師','','','','',getdate(),'Alvin',getdate(),'Alvin')</v>
      </c>
    </row>
    <row r="372" spans="2:13" ht="13.8">
      <c r="B372" s="15" t="s">
        <v>1501</v>
      </c>
      <c r="C372" s="15">
        <v>3</v>
      </c>
      <c r="D372" s="15" t="s">
        <v>1424</v>
      </c>
      <c r="E372" s="15" t="s">
        <v>758</v>
      </c>
      <c r="F372" s="15" t="s">
        <v>758</v>
      </c>
      <c r="G372" s="15" t="s">
        <v>758</v>
      </c>
      <c r="H372" s="15" t="s">
        <v>758</v>
      </c>
      <c r="I372" s="15" t="s">
        <v>2895</v>
      </c>
      <c r="J372" s="15" t="s">
        <v>755</v>
      </c>
      <c r="K372" s="15" t="s">
        <v>2895</v>
      </c>
      <c r="L372" s="15" t="s">
        <v>755</v>
      </c>
      <c r="M372" s="15" t="str">
        <f t="shared" si="5"/>
        <v>insert into dbo.LifeInsJobCode (JobCode,JobGrade,JobDescription,JobGroupCode1,JobGroupName1,JobGroupCode2,JobGroupName2,CreateTime,Creator,ModifyTime,Modifier) VALUES ('08010030','3','領班、監工','','','','',getdate(),'Alvin',getdate(),'Alvin')</v>
      </c>
    </row>
    <row r="373" spans="2:13" ht="13.8">
      <c r="B373" s="15" t="s">
        <v>1502</v>
      </c>
      <c r="C373" s="15">
        <v>5</v>
      </c>
      <c r="D373" s="15" t="s">
        <v>915</v>
      </c>
      <c r="E373" s="15" t="s">
        <v>758</v>
      </c>
      <c r="F373" s="15" t="s">
        <v>758</v>
      </c>
      <c r="G373" s="15" t="s">
        <v>758</v>
      </c>
      <c r="H373" s="15" t="s">
        <v>758</v>
      </c>
      <c r="I373" s="15" t="s">
        <v>2895</v>
      </c>
      <c r="J373" s="15" t="s">
        <v>755</v>
      </c>
      <c r="K373" s="15" t="s">
        <v>2895</v>
      </c>
      <c r="L373" s="15" t="s">
        <v>755</v>
      </c>
      <c r="M373" s="15" t="str">
        <f t="shared" si="5"/>
        <v>insert into dbo.LifeInsJobCode (JobCode,JobGrade,JobDescription,JobGroupCode1,JobGroupName1,JobGroupCode2,JobGroupName2,CreateTime,Creator,ModifyTime,Modifier) VALUES ('08010040','5','工人','','','','',getdate(),'Alvin',getdate(),'Alvin')</v>
      </c>
    </row>
    <row r="374" spans="2:13" ht="13.8">
      <c r="B374" s="15" t="s">
        <v>1503</v>
      </c>
      <c r="C374" s="15">
        <v>1</v>
      </c>
      <c r="D374" s="15" t="s">
        <v>1504</v>
      </c>
      <c r="E374" s="15" t="s">
        <v>758</v>
      </c>
      <c r="F374" s="15" t="s">
        <v>758</v>
      </c>
      <c r="G374" s="15" t="s">
        <v>758</v>
      </c>
      <c r="H374" s="15" t="s">
        <v>758</v>
      </c>
      <c r="I374" s="15" t="s">
        <v>2895</v>
      </c>
      <c r="J374" s="15" t="s">
        <v>755</v>
      </c>
      <c r="K374" s="15" t="s">
        <v>2895</v>
      </c>
      <c r="L374" s="15" t="s">
        <v>755</v>
      </c>
      <c r="M374" s="15" t="str">
        <f t="shared" si="5"/>
        <v>insert into dbo.LifeInsJobCode (JobCode,JobGrade,JobDescription,JobGroupCode1,JobGroupName1,JobGroupCode2,JobGroupName2,CreateTime,Creator,ModifyTime,Modifier) VALUES ('08010050','1','負責人(不需到現場)','','','','',getdate(),'Alvin',getdate(),'Alvin')</v>
      </c>
    </row>
    <row r="375" spans="2:13" ht="13.8">
      <c r="B375" s="15" t="s">
        <v>1505</v>
      </c>
      <c r="C375" s="15">
        <v>3</v>
      </c>
      <c r="D375" s="15" t="s">
        <v>1506</v>
      </c>
      <c r="E375" s="15" t="s">
        <v>758</v>
      </c>
      <c r="F375" s="15" t="s">
        <v>758</v>
      </c>
      <c r="G375" s="15" t="s">
        <v>758</v>
      </c>
      <c r="H375" s="15" t="s">
        <v>758</v>
      </c>
      <c r="I375" s="15" t="s">
        <v>2895</v>
      </c>
      <c r="J375" s="15" t="s">
        <v>755</v>
      </c>
      <c r="K375" s="15" t="s">
        <v>2895</v>
      </c>
      <c r="L375" s="15" t="s">
        <v>755</v>
      </c>
      <c r="M375" s="15" t="str">
        <f t="shared" si="5"/>
        <v>insert into dbo.LifeInsJobCode (JobCode,JobGrade,JobDescription,JobGroupCode1,JobGroupName1,JobGroupCode2,JobGroupName2,CreateTime,Creator,ModifyTime,Modifier) VALUES ('08010060','3','負責人(需現場指導或實際參與工作)、廠長','','','','',getdate(),'Alvin',getdate(),'Alvin')</v>
      </c>
    </row>
    <row r="376" spans="2:13" ht="13.8">
      <c r="B376" s="15" t="s">
        <v>1507</v>
      </c>
      <c r="C376" s="15">
        <v>3</v>
      </c>
      <c r="D376" s="15" t="s">
        <v>1508</v>
      </c>
      <c r="E376" s="15" t="s">
        <v>758</v>
      </c>
      <c r="F376" s="15" t="s">
        <v>758</v>
      </c>
      <c r="G376" s="15" t="s">
        <v>758</v>
      </c>
      <c r="H376" s="15" t="s">
        <v>758</v>
      </c>
      <c r="I376" s="15" t="s">
        <v>2895</v>
      </c>
      <c r="J376" s="15" t="s">
        <v>755</v>
      </c>
      <c r="K376" s="15" t="s">
        <v>2895</v>
      </c>
      <c r="L376" s="15" t="s">
        <v>755</v>
      </c>
      <c r="M376" s="15" t="str">
        <f t="shared" si="5"/>
        <v>insert into dbo.LifeInsJobCode (JobCode,JobGrade,JobDescription,JobGroupCode1,JobGroupName1,JobGroupCode2,JobGroupName2,CreateTime,Creator,ModifyTime,Modifier) VALUES ('08010070','3','品管人員','','','','',getdate(),'Alvin',getdate(),'Alvin')</v>
      </c>
    </row>
    <row r="377" spans="2:13" ht="13.8">
      <c r="B377" s="15" t="s">
        <v>1509</v>
      </c>
      <c r="C377" s="15">
        <v>3</v>
      </c>
      <c r="D377" s="15" t="s">
        <v>1510</v>
      </c>
      <c r="E377" s="15" t="s">
        <v>758</v>
      </c>
      <c r="F377" s="15" t="s">
        <v>758</v>
      </c>
      <c r="G377" s="15" t="s">
        <v>758</v>
      </c>
      <c r="H377" s="15" t="s">
        <v>758</v>
      </c>
      <c r="I377" s="15" t="s">
        <v>2895</v>
      </c>
      <c r="J377" s="15" t="s">
        <v>755</v>
      </c>
      <c r="K377" s="15" t="s">
        <v>2895</v>
      </c>
      <c r="L377" s="15" t="s">
        <v>755</v>
      </c>
      <c r="M377" s="15" t="str">
        <f t="shared" si="5"/>
        <v>insert into dbo.LifeInsJobCode (JobCode,JobGrade,JobDescription,JobGroupCode1,JobGroupName1,JobGroupCode2,JobGroupName2,CreateTime,Creator,ModifyTime,Modifier) VALUES ('08010080','3','勞工安全檢查人員','','','','',getdate(),'Alvin',getdate(),'Alvin')</v>
      </c>
    </row>
    <row r="378" spans="2:13" ht="13.8">
      <c r="B378" s="15" t="s">
        <v>1511</v>
      </c>
      <c r="C378" s="15">
        <v>3</v>
      </c>
      <c r="D378" s="15" t="s">
        <v>1424</v>
      </c>
      <c r="E378" s="15" t="s">
        <v>758</v>
      </c>
      <c r="F378" s="15" t="s">
        <v>758</v>
      </c>
      <c r="G378" s="15" t="s">
        <v>1512</v>
      </c>
      <c r="H378" s="15" t="s">
        <v>1513</v>
      </c>
      <c r="I378" s="15" t="s">
        <v>2895</v>
      </c>
      <c r="J378" s="15" t="s">
        <v>755</v>
      </c>
      <c r="K378" s="15" t="s">
        <v>2895</v>
      </c>
      <c r="L378" s="15" t="s">
        <v>755</v>
      </c>
      <c r="M378" s="15" t="str">
        <f t="shared" si="5"/>
        <v>insert into dbo.LifeInsJobCode (JobCode,JobGrade,JobDescription,JobGroupCode1,JobGroupName1,JobGroupCode2,JobGroupName2,CreateTime,Creator,ModifyTime,Modifier) VALUES ('08020010','3','領班、監工','','','0802','鐵工廠、機械廠',getdate(),'Alvin',getdate(),'Alvin')</v>
      </c>
    </row>
    <row r="379" spans="2:13" ht="13.8">
      <c r="B379" s="15" t="s">
        <v>1514</v>
      </c>
      <c r="C379" s="15">
        <v>4</v>
      </c>
      <c r="D379" s="15" t="s">
        <v>1515</v>
      </c>
      <c r="E379" s="15" t="s">
        <v>758</v>
      </c>
      <c r="F379" s="15" t="s">
        <v>758</v>
      </c>
      <c r="G379" s="15" t="s">
        <v>758</v>
      </c>
      <c r="H379" s="15" t="s">
        <v>758</v>
      </c>
      <c r="I379" s="15" t="s">
        <v>2895</v>
      </c>
      <c r="J379" s="15" t="s">
        <v>755</v>
      </c>
      <c r="K379" s="15" t="s">
        <v>2895</v>
      </c>
      <c r="L379" s="15" t="s">
        <v>755</v>
      </c>
      <c r="M379" s="15" t="str">
        <f t="shared" si="5"/>
        <v>insert into dbo.LifeInsJobCode (JobCode,JobGrade,JobDescription,JobGroupCode1,JobGroupName1,JobGroupCode2,JobGroupName2,CreateTime,Creator,ModifyTime,Modifier) VALUES ('08020020','4','板金工','','','','',getdate(),'Alvin',getdate(),'Alvin')</v>
      </c>
    </row>
    <row r="380" spans="2:13" ht="13.8">
      <c r="B380" s="15" t="s">
        <v>1516</v>
      </c>
      <c r="C380" s="15">
        <v>4</v>
      </c>
      <c r="D380" s="15" t="s">
        <v>1517</v>
      </c>
      <c r="E380" s="15" t="s">
        <v>758</v>
      </c>
      <c r="F380" s="15" t="s">
        <v>758</v>
      </c>
      <c r="G380" s="15" t="s">
        <v>758</v>
      </c>
      <c r="H380" s="15" t="s">
        <v>758</v>
      </c>
      <c r="I380" s="15" t="s">
        <v>2895</v>
      </c>
      <c r="J380" s="15" t="s">
        <v>755</v>
      </c>
      <c r="K380" s="15" t="s">
        <v>2895</v>
      </c>
      <c r="L380" s="15" t="s">
        <v>755</v>
      </c>
      <c r="M380" s="15" t="str">
        <f t="shared" si="5"/>
        <v>insert into dbo.LifeInsJobCode (JobCode,JobGrade,JobDescription,JobGroupCode1,JobGroupName1,JobGroupCode2,JobGroupName2,CreateTime,Creator,ModifyTime,Modifier) VALUES ('08020030','4','裝配工','','','','',getdate(),'Alvin',getdate(),'Alvin')</v>
      </c>
    </row>
    <row r="381" spans="2:13" ht="13.8">
      <c r="B381" s="15" t="s">
        <v>1518</v>
      </c>
      <c r="C381" s="15">
        <v>5</v>
      </c>
      <c r="D381" s="15" t="s">
        <v>1519</v>
      </c>
      <c r="E381" s="15" t="s">
        <v>758</v>
      </c>
      <c r="F381" s="15" t="s">
        <v>758</v>
      </c>
      <c r="G381" s="15" t="s">
        <v>758</v>
      </c>
      <c r="H381" s="15" t="s">
        <v>758</v>
      </c>
      <c r="I381" s="15" t="s">
        <v>2895</v>
      </c>
      <c r="J381" s="15" t="s">
        <v>755</v>
      </c>
      <c r="K381" s="15" t="s">
        <v>2895</v>
      </c>
      <c r="L381" s="15" t="s">
        <v>755</v>
      </c>
      <c r="M381" s="15" t="str">
        <f t="shared" si="5"/>
        <v>insert into dbo.LifeInsJobCode (JobCode,JobGrade,JobDescription,JobGroupCode1,JobGroupName1,JobGroupCode2,JobGroupName2,CreateTime,Creator,ModifyTime,Modifier) VALUES ('08020040','5','焊接工','','','','',getdate(),'Alvin',getdate(),'Alvin')</v>
      </c>
    </row>
    <row r="382" spans="2:13" ht="13.8">
      <c r="B382" s="15" t="s">
        <v>1520</v>
      </c>
      <c r="C382" s="15">
        <v>4</v>
      </c>
      <c r="D382" s="15" t="s">
        <v>3287</v>
      </c>
      <c r="E382" s="15" t="s">
        <v>758</v>
      </c>
      <c r="F382" s="15" t="s">
        <v>758</v>
      </c>
      <c r="G382" s="15" t="s">
        <v>758</v>
      </c>
      <c r="H382" s="15" t="s">
        <v>758</v>
      </c>
      <c r="I382" s="15" t="s">
        <v>2895</v>
      </c>
      <c r="J382" s="15" t="s">
        <v>755</v>
      </c>
      <c r="K382" s="15" t="s">
        <v>2895</v>
      </c>
      <c r="L382" s="15" t="s">
        <v>755</v>
      </c>
      <c r="M382" s="15" t="str">
        <f t="shared" si="5"/>
        <v>insert into dbo.LifeInsJobCode (JobCode,JobGrade,JobDescription,JobGroupCode1,JobGroupName1,JobGroupCode2,JobGroupName2,CreateTime,Creator,ModifyTime,Modifier) VALUES ('08020050','4','車床工(全自動)','','','','',getdate(),'Alvin',getdate(),'Alvin')</v>
      </c>
    </row>
    <row r="383" spans="2:13" ht="13.8">
      <c r="B383" s="15" t="s">
        <v>1521</v>
      </c>
      <c r="C383" s="15">
        <v>5</v>
      </c>
      <c r="D383" s="15" t="s">
        <v>3288</v>
      </c>
      <c r="E383" s="15" t="s">
        <v>758</v>
      </c>
      <c r="F383" s="15" t="s">
        <v>758</v>
      </c>
      <c r="G383" s="15" t="s">
        <v>758</v>
      </c>
      <c r="H383" s="15" t="s">
        <v>758</v>
      </c>
      <c r="I383" s="15" t="s">
        <v>2895</v>
      </c>
      <c r="J383" s="15" t="s">
        <v>755</v>
      </c>
      <c r="K383" s="15" t="s">
        <v>2895</v>
      </c>
      <c r="L383" s="15" t="s">
        <v>755</v>
      </c>
      <c r="M383" s="15" t="str">
        <f t="shared" si="5"/>
        <v>insert into dbo.LifeInsJobCode (JobCode,JobGrade,JobDescription,JobGroupCode1,JobGroupName1,JobGroupCode2,JobGroupName2,CreateTime,Creator,ModifyTime,Modifier) VALUES ('08020051','5','車床工(其他)','','','','',getdate(),'Alvin',getdate(),'Alvin')</v>
      </c>
    </row>
    <row r="384" spans="2:13" ht="13.8">
      <c r="B384" s="15" t="s">
        <v>1522</v>
      </c>
      <c r="C384" s="15">
        <v>5</v>
      </c>
      <c r="D384" s="15" t="s">
        <v>1523</v>
      </c>
      <c r="E384" s="15" t="s">
        <v>758</v>
      </c>
      <c r="F384" s="15" t="s">
        <v>758</v>
      </c>
      <c r="G384" s="15" t="s">
        <v>758</v>
      </c>
      <c r="H384" s="15" t="s">
        <v>758</v>
      </c>
      <c r="I384" s="15" t="s">
        <v>2895</v>
      </c>
      <c r="J384" s="15" t="s">
        <v>755</v>
      </c>
      <c r="K384" s="15" t="s">
        <v>2895</v>
      </c>
      <c r="L384" s="15" t="s">
        <v>755</v>
      </c>
      <c r="M384" s="15" t="str">
        <f t="shared" si="5"/>
        <v>insert into dbo.LifeInsJobCode (JobCode,JobGrade,JobDescription,JobGroupCode1,JobGroupName1,JobGroupCode2,JobGroupName2,CreateTime,Creator,ModifyTime,Modifier) VALUES ('08020060','5','鑄造工','','','','',getdate(),'Alvin',getdate(),'Alvin')</v>
      </c>
    </row>
    <row r="385" spans="2:13" ht="13.8">
      <c r="B385" s="15" t="s">
        <v>1524</v>
      </c>
      <c r="C385" s="15">
        <v>5</v>
      </c>
      <c r="D385" s="15" t="s">
        <v>1525</v>
      </c>
      <c r="E385" s="15" t="s">
        <v>758</v>
      </c>
      <c r="F385" s="15" t="s">
        <v>758</v>
      </c>
      <c r="G385" s="15" t="s">
        <v>758</v>
      </c>
      <c r="H385" s="15" t="s">
        <v>758</v>
      </c>
      <c r="I385" s="15" t="s">
        <v>2895</v>
      </c>
      <c r="J385" s="15" t="s">
        <v>755</v>
      </c>
      <c r="K385" s="15" t="s">
        <v>2895</v>
      </c>
      <c r="L385" s="15" t="s">
        <v>755</v>
      </c>
      <c r="M385" s="15" t="str">
        <f t="shared" si="5"/>
        <v>insert into dbo.LifeInsJobCode (JobCode,JobGrade,JobDescription,JobGroupCode1,JobGroupName1,JobGroupCode2,JobGroupName2,CreateTime,Creator,ModifyTime,Modifier) VALUES ('08020070','5','鍋爐工','','','','',getdate(),'Alvin',getdate(),'Alvin')</v>
      </c>
    </row>
    <row r="386" spans="2:13" ht="13.8">
      <c r="B386" s="15" t="s">
        <v>1526</v>
      </c>
      <c r="C386" s="15">
        <v>4</v>
      </c>
      <c r="D386" s="15" t="s">
        <v>1527</v>
      </c>
      <c r="E386" s="15" t="s">
        <v>758</v>
      </c>
      <c r="F386" s="15" t="s">
        <v>758</v>
      </c>
      <c r="G386" s="15" t="s">
        <v>758</v>
      </c>
      <c r="H386" s="15" t="s">
        <v>758</v>
      </c>
      <c r="I386" s="15" t="s">
        <v>2895</v>
      </c>
      <c r="J386" s="15" t="s">
        <v>755</v>
      </c>
      <c r="K386" s="15" t="s">
        <v>2895</v>
      </c>
      <c r="L386" s="15" t="s">
        <v>755</v>
      </c>
      <c r="M386" s="15" t="str">
        <f t="shared" ref="M386:M449" si="6">$M$1 &amp; " VALUES ('"&amp;B386&amp;"','"&amp;C386&amp;"','"&amp;D386&amp;"','"&amp;E386&amp;"','"&amp;F386&amp;"','"&amp;G386&amp;"','"&amp;H386&amp;"',"&amp;I386&amp;",'"&amp;J386&amp;"',"&amp;K386&amp;",'"&amp;L386&amp;"')"</f>
        <v>insert into dbo.LifeInsJobCode (JobCode,JobGrade,JobDescription,JobGroupCode1,JobGroupName1,JobGroupCode2,JobGroupName2,CreateTime,Creator,ModifyTime,Modifier) VALUES ('08020080','4','鉛字鑄造工','','','','',getdate(),'Alvin',getdate(),'Alvin')</v>
      </c>
    </row>
    <row r="387" spans="2:13" ht="13.8">
      <c r="B387" s="15" t="s">
        <v>1528</v>
      </c>
      <c r="C387" s="15">
        <v>5</v>
      </c>
      <c r="D387" s="15" t="s">
        <v>1529</v>
      </c>
      <c r="E387" s="15" t="s">
        <v>758</v>
      </c>
      <c r="F387" s="15" t="s">
        <v>758</v>
      </c>
      <c r="G387" s="15" t="s">
        <v>758</v>
      </c>
      <c r="H387" s="15" t="s">
        <v>758</v>
      </c>
      <c r="I387" s="15" t="s">
        <v>2895</v>
      </c>
      <c r="J387" s="15" t="s">
        <v>755</v>
      </c>
      <c r="K387" s="15" t="s">
        <v>2895</v>
      </c>
      <c r="L387" s="15" t="s">
        <v>755</v>
      </c>
      <c r="M387" s="15" t="str">
        <f t="shared" si="6"/>
        <v>insert into dbo.LifeInsJobCode (JobCode,JobGrade,JobDescription,JobGroupCode1,JobGroupName1,JobGroupCode2,JobGroupName2,CreateTime,Creator,ModifyTime,Modifier) VALUES ('08020090','5','鐵工廠工人','','','','',getdate(),'Alvin',getdate(),'Alvin')</v>
      </c>
    </row>
    <row r="388" spans="2:13" ht="13.8">
      <c r="B388" s="15" t="s">
        <v>1530</v>
      </c>
      <c r="C388" s="15">
        <v>5</v>
      </c>
      <c r="D388" s="15" t="s">
        <v>1531</v>
      </c>
      <c r="E388" s="15" t="s">
        <v>758</v>
      </c>
      <c r="F388" s="15" t="s">
        <v>758</v>
      </c>
      <c r="G388" s="15" t="s">
        <v>758</v>
      </c>
      <c r="H388" s="15" t="s">
        <v>758</v>
      </c>
      <c r="I388" s="15" t="s">
        <v>2895</v>
      </c>
      <c r="J388" s="15" t="s">
        <v>755</v>
      </c>
      <c r="K388" s="15" t="s">
        <v>2895</v>
      </c>
      <c r="L388" s="15" t="s">
        <v>755</v>
      </c>
      <c r="M388" s="15" t="str">
        <f t="shared" si="6"/>
        <v>insert into dbo.LifeInsJobCode (JobCode,JobGrade,JobDescription,JobGroupCode1,JobGroupName1,JobGroupCode2,JobGroupName2,CreateTime,Creator,ModifyTime,Modifier) VALUES ('08020100','5','機械廠工人','','','','',getdate(),'Alvin',getdate(),'Alvin')</v>
      </c>
    </row>
    <row r="389" spans="2:13" ht="13.8">
      <c r="B389" s="15" t="s">
        <v>1532</v>
      </c>
      <c r="C389" s="15">
        <v>4</v>
      </c>
      <c r="D389" s="15" t="s">
        <v>1533</v>
      </c>
      <c r="E389" s="15" t="s">
        <v>758</v>
      </c>
      <c r="F389" s="15" t="s">
        <v>758</v>
      </c>
      <c r="G389" s="15" t="s">
        <v>758</v>
      </c>
      <c r="H389" s="15" t="s">
        <v>758</v>
      </c>
      <c r="I389" s="15" t="s">
        <v>2895</v>
      </c>
      <c r="J389" s="15" t="s">
        <v>755</v>
      </c>
      <c r="K389" s="15" t="s">
        <v>2895</v>
      </c>
      <c r="L389" s="15" t="s">
        <v>755</v>
      </c>
      <c r="M389" s="15" t="str">
        <f t="shared" si="6"/>
        <v>insert into dbo.LifeInsJobCode (JobCode,JobGrade,JobDescription,JobGroupCode1,JobGroupName1,JobGroupCode2,JobGroupName2,CreateTime,Creator,ModifyTime,Modifier) VALUES ('08020110','4','電鍍工','','','','',getdate(),'Alvin',getdate(),'Alvin')</v>
      </c>
    </row>
    <row r="390" spans="2:13" ht="13.8">
      <c r="B390" s="15" t="s">
        <v>1534</v>
      </c>
      <c r="C390" s="15">
        <v>5</v>
      </c>
      <c r="D390" s="15" t="s">
        <v>1535</v>
      </c>
      <c r="E390" s="15" t="s">
        <v>758</v>
      </c>
      <c r="F390" s="15" t="s">
        <v>758</v>
      </c>
      <c r="G390" s="15" t="s">
        <v>758</v>
      </c>
      <c r="H390" s="15" t="s">
        <v>758</v>
      </c>
      <c r="I390" s="15" t="s">
        <v>2895</v>
      </c>
      <c r="J390" s="15" t="s">
        <v>755</v>
      </c>
      <c r="K390" s="15" t="s">
        <v>2895</v>
      </c>
      <c r="L390" s="15" t="s">
        <v>755</v>
      </c>
      <c r="M390" s="15" t="str">
        <f t="shared" si="6"/>
        <v>insert into dbo.LifeInsJobCode (JobCode,JobGrade,JobDescription,JobGroupCode1,JobGroupName1,JobGroupCode2,JobGroupName2,CreateTime,Creator,ModifyTime,Modifier) VALUES ('08020120','5','銑床工','','','','',getdate(),'Alvin',getdate(),'Alvin')</v>
      </c>
    </row>
    <row r="391" spans="2:13" ht="13.8">
      <c r="B391" s="15" t="s">
        <v>1536</v>
      </c>
      <c r="C391" s="15">
        <v>5</v>
      </c>
      <c r="D391" s="15" t="s">
        <v>1537</v>
      </c>
      <c r="E391" s="15" t="s">
        <v>758</v>
      </c>
      <c r="F391" s="15" t="s">
        <v>758</v>
      </c>
      <c r="G391" s="15" t="s">
        <v>758</v>
      </c>
      <c r="H391" s="15" t="s">
        <v>758</v>
      </c>
      <c r="I391" s="15" t="s">
        <v>2895</v>
      </c>
      <c r="J391" s="15" t="s">
        <v>755</v>
      </c>
      <c r="K391" s="15" t="s">
        <v>2895</v>
      </c>
      <c r="L391" s="15" t="s">
        <v>755</v>
      </c>
      <c r="M391" s="15" t="str">
        <f t="shared" si="6"/>
        <v>insert into dbo.LifeInsJobCode (JobCode,JobGrade,JobDescription,JobGroupCode1,JobGroupName1,JobGroupCode2,JobGroupName2,CreateTime,Creator,ModifyTime,Modifier) VALUES ('08020130','5','剪床工','','','','',getdate(),'Alvin',getdate(),'Alvin')</v>
      </c>
    </row>
    <row r="392" spans="2:13" ht="13.8">
      <c r="B392" s="15" t="s">
        <v>1538</v>
      </c>
      <c r="C392" s="15">
        <v>5</v>
      </c>
      <c r="D392" s="15" t="s">
        <v>1539</v>
      </c>
      <c r="E392" s="15" t="s">
        <v>758</v>
      </c>
      <c r="F392" s="15" t="s">
        <v>758</v>
      </c>
      <c r="G392" s="15" t="s">
        <v>758</v>
      </c>
      <c r="H392" s="15" t="s">
        <v>758</v>
      </c>
      <c r="I392" s="15" t="s">
        <v>2895</v>
      </c>
      <c r="J392" s="15" t="s">
        <v>755</v>
      </c>
      <c r="K392" s="15" t="s">
        <v>2895</v>
      </c>
      <c r="L392" s="15" t="s">
        <v>755</v>
      </c>
      <c r="M392" s="15" t="str">
        <f t="shared" si="6"/>
        <v>insert into dbo.LifeInsJobCode (JobCode,JobGrade,JobDescription,JobGroupCode1,JobGroupName1,JobGroupCode2,JobGroupName2,CreateTime,Creator,ModifyTime,Modifier) VALUES ('08020140','5','沖床工','','','','',getdate(),'Alvin',getdate(),'Alvin')</v>
      </c>
    </row>
    <row r="393" spans="2:13" ht="13.8">
      <c r="B393" s="15" t="s">
        <v>1540</v>
      </c>
      <c r="C393" s="15">
        <v>3</v>
      </c>
      <c r="D393" s="15" t="s">
        <v>3289</v>
      </c>
      <c r="E393" s="15" t="s">
        <v>758</v>
      </c>
      <c r="F393" s="15" t="s">
        <v>758</v>
      </c>
      <c r="G393" s="15" t="s">
        <v>758</v>
      </c>
      <c r="H393" s="15" t="s">
        <v>758</v>
      </c>
      <c r="I393" s="15" t="s">
        <v>2895</v>
      </c>
      <c r="J393" s="15" t="s">
        <v>755</v>
      </c>
      <c r="K393" s="15" t="s">
        <v>2895</v>
      </c>
      <c r="L393" s="15" t="s">
        <v>755</v>
      </c>
      <c r="M393" s="15" t="str">
        <f t="shared" si="6"/>
        <v>insert into dbo.LifeInsJobCode (JobCode,JobGrade,JobDescription,JobGroupCode1,JobGroupName1,JobGroupCode2,JobGroupName2,CreateTime,Creator,ModifyTime,Modifier) VALUES ('08020150','3','ＣＮＣ操作(電腦雕刻機)','','','','',getdate(),'Alvin',getdate(),'Alvin')</v>
      </c>
    </row>
    <row r="394" spans="2:13" ht="13.8">
      <c r="B394" s="15" t="s">
        <v>1541</v>
      </c>
      <c r="C394" s="15">
        <v>3</v>
      </c>
      <c r="D394" s="15" t="s">
        <v>3290</v>
      </c>
      <c r="E394" s="15" t="s">
        <v>758</v>
      </c>
      <c r="F394" s="15" t="s">
        <v>758</v>
      </c>
      <c r="G394" s="15" t="s">
        <v>758</v>
      </c>
      <c r="H394" s="15" t="s">
        <v>758</v>
      </c>
      <c r="I394" s="15" t="s">
        <v>2895</v>
      </c>
      <c r="J394" s="15" t="s">
        <v>755</v>
      </c>
      <c r="K394" s="15" t="s">
        <v>2895</v>
      </c>
      <c r="L394" s="15" t="s">
        <v>755</v>
      </c>
      <c r="M394" s="15" t="str">
        <f t="shared" si="6"/>
        <v>insert into dbo.LifeInsJobCode (JobCode,JobGrade,JobDescription,JobGroupCode1,JobGroupName1,JobGroupCode2,JobGroupName2,CreateTime,Creator,ModifyTime,Modifier) VALUES ('08020160','3','線割(銅線電子切割)','','','','',getdate(),'Alvin',getdate(),'Alvin')</v>
      </c>
    </row>
    <row r="395" spans="2:13" ht="13.8">
      <c r="B395" s="15" t="s">
        <v>1542</v>
      </c>
      <c r="C395" s="15">
        <v>3</v>
      </c>
      <c r="D395" s="15" t="s">
        <v>1543</v>
      </c>
      <c r="E395" s="15" t="s">
        <v>758</v>
      </c>
      <c r="F395" s="15" t="s">
        <v>758</v>
      </c>
      <c r="G395" s="15" t="s">
        <v>758</v>
      </c>
      <c r="H395" s="15" t="s">
        <v>758</v>
      </c>
      <c r="I395" s="15" t="s">
        <v>2895</v>
      </c>
      <c r="J395" s="15" t="s">
        <v>755</v>
      </c>
      <c r="K395" s="15" t="s">
        <v>2895</v>
      </c>
      <c r="L395" s="15" t="s">
        <v>755</v>
      </c>
      <c r="M395" s="15" t="str">
        <f t="shared" si="6"/>
        <v>insert into dbo.LifeInsJobCode (JobCode,JobGrade,JobDescription,JobGroupCode1,JobGroupName1,JobGroupCode2,JobGroupName2,CreateTime,Creator,ModifyTime,Modifier) VALUES ('08020170','3','品管人員、工安人員','','','','',getdate(),'Alvin',getdate(),'Alvin')</v>
      </c>
    </row>
    <row r="396" spans="2:13" ht="13.8">
      <c r="B396" s="15" t="s">
        <v>1544</v>
      </c>
      <c r="C396" s="15">
        <v>4</v>
      </c>
      <c r="D396" s="15" t="s">
        <v>1545</v>
      </c>
      <c r="E396" s="15" t="s">
        <v>758</v>
      </c>
      <c r="F396" s="15" t="s">
        <v>758</v>
      </c>
      <c r="G396" s="15" t="s">
        <v>758</v>
      </c>
      <c r="H396" s="15" t="s">
        <v>758</v>
      </c>
      <c r="I396" s="15" t="s">
        <v>2895</v>
      </c>
      <c r="J396" s="15" t="s">
        <v>755</v>
      </c>
      <c r="K396" s="15" t="s">
        <v>2895</v>
      </c>
      <c r="L396" s="15" t="s">
        <v>755</v>
      </c>
      <c r="M396" s="15" t="str">
        <f t="shared" si="6"/>
        <v>insert into dbo.LifeInsJobCode (JobCode,JobGrade,JobDescription,JobGroupCode1,JobGroupName1,JobGroupCode2,JobGroupName2,CreateTime,Creator,ModifyTime,Modifier) VALUES ('08020180','4','技工','','','','',getdate(),'Alvin',getdate(),'Alvin')</v>
      </c>
    </row>
    <row r="397" spans="2:13" ht="13.8">
      <c r="B397" s="15" t="s">
        <v>1546</v>
      </c>
      <c r="C397" s="15">
        <v>4</v>
      </c>
      <c r="D397" s="15" t="s">
        <v>1547</v>
      </c>
      <c r="E397" s="15" t="s">
        <v>758</v>
      </c>
      <c r="F397" s="15" t="s">
        <v>758</v>
      </c>
      <c r="G397" s="15" t="s">
        <v>758</v>
      </c>
      <c r="H397" s="15" t="s">
        <v>758</v>
      </c>
      <c r="I397" s="15" t="s">
        <v>2895</v>
      </c>
      <c r="J397" s="15" t="s">
        <v>755</v>
      </c>
      <c r="K397" s="15" t="s">
        <v>2895</v>
      </c>
      <c r="L397" s="15" t="s">
        <v>755</v>
      </c>
      <c r="M397" s="15" t="str">
        <f t="shared" si="6"/>
        <v>insert into dbo.LifeInsJobCode (JobCode,JobGrade,JobDescription,JobGroupCode1,JobGroupName1,JobGroupCode2,JobGroupName2,CreateTime,Creator,ModifyTime,Modifier) VALUES ('08020190','4','高爾夫球具製造工','','','','',getdate(),'Alvin',getdate(),'Alvin')</v>
      </c>
    </row>
    <row r="398" spans="2:13" ht="13.8">
      <c r="B398" s="15" t="s">
        <v>1548</v>
      </c>
      <c r="C398" s="15">
        <v>4</v>
      </c>
      <c r="D398" s="15" t="s">
        <v>1549</v>
      </c>
      <c r="E398" s="15" t="s">
        <v>758</v>
      </c>
      <c r="F398" s="15" t="s">
        <v>758</v>
      </c>
      <c r="G398" s="15" t="s">
        <v>758</v>
      </c>
      <c r="H398" s="15" t="s">
        <v>758</v>
      </c>
      <c r="I398" s="15" t="s">
        <v>2895</v>
      </c>
      <c r="J398" s="15" t="s">
        <v>755</v>
      </c>
      <c r="K398" s="15" t="s">
        <v>2895</v>
      </c>
      <c r="L398" s="15" t="s">
        <v>755</v>
      </c>
      <c r="M398" s="15" t="str">
        <f t="shared" si="6"/>
        <v>insert into dbo.LifeInsJobCode (JobCode,JobGrade,JobDescription,JobGroupCode1,JobGroupName1,JobGroupCode2,JobGroupName2,CreateTime,Creator,ModifyTime,Modifier) VALUES ('08020200','4','高爾夫球桿頭磨光','','','','',getdate(),'Alvin',getdate(),'Alvin')</v>
      </c>
    </row>
    <row r="399" spans="2:13" ht="13.8">
      <c r="B399" s="15" t="s">
        <v>1550</v>
      </c>
      <c r="C399" s="15">
        <v>4</v>
      </c>
      <c r="D399" s="15" t="s">
        <v>1551</v>
      </c>
      <c r="E399" s="15" t="s">
        <v>758</v>
      </c>
      <c r="F399" s="15" t="s">
        <v>758</v>
      </c>
      <c r="G399" s="15" t="s">
        <v>758</v>
      </c>
      <c r="H399" s="15" t="s">
        <v>758</v>
      </c>
      <c r="I399" s="15" t="s">
        <v>2895</v>
      </c>
      <c r="J399" s="15" t="s">
        <v>755</v>
      </c>
      <c r="K399" s="15" t="s">
        <v>2895</v>
      </c>
      <c r="L399" s="15" t="s">
        <v>755</v>
      </c>
      <c r="M399" s="15" t="str">
        <f t="shared" si="6"/>
        <v>insert into dbo.LifeInsJobCode (JobCode,JobGrade,JobDescription,JobGroupCode1,JobGroupName1,JobGroupCode2,JobGroupName2,CreateTime,Creator,ModifyTime,Modifier) VALUES ('08020210','4','修理工','','','','',getdate(),'Alvin',getdate(),'Alvin')</v>
      </c>
    </row>
    <row r="400" spans="2:13" ht="13.8">
      <c r="B400" s="15" t="s">
        <v>1552</v>
      </c>
      <c r="C400" s="15">
        <v>4</v>
      </c>
      <c r="D400" s="15" t="s">
        <v>1553</v>
      </c>
      <c r="E400" s="15" t="s">
        <v>758</v>
      </c>
      <c r="F400" s="15" t="s">
        <v>758</v>
      </c>
      <c r="G400" s="15" t="s">
        <v>758</v>
      </c>
      <c r="H400" s="15" t="s">
        <v>758</v>
      </c>
      <c r="I400" s="15" t="s">
        <v>2895</v>
      </c>
      <c r="J400" s="15" t="s">
        <v>755</v>
      </c>
      <c r="K400" s="15" t="s">
        <v>2895</v>
      </c>
      <c r="L400" s="15" t="s">
        <v>755</v>
      </c>
      <c r="M400" s="15" t="str">
        <f t="shared" si="6"/>
        <v>insert into dbo.LifeInsJobCode (JobCode,JobGrade,JobDescription,JobGroupCode1,JobGroupName1,JobGroupCode2,JobGroupName2,CreateTime,Creator,ModifyTime,Modifier) VALUES ('08020220','4','彎管工','','','','',getdate(),'Alvin',getdate(),'Alvin')</v>
      </c>
    </row>
    <row r="401" spans="2:13" ht="13.8">
      <c r="B401" s="15" t="s">
        <v>1554</v>
      </c>
      <c r="C401" s="15">
        <v>4</v>
      </c>
      <c r="D401" s="15" t="s">
        <v>1555</v>
      </c>
      <c r="E401" s="15" t="s">
        <v>758</v>
      </c>
      <c r="F401" s="15" t="s">
        <v>758</v>
      </c>
      <c r="G401" s="15" t="s">
        <v>758</v>
      </c>
      <c r="H401" s="15" t="s">
        <v>758</v>
      </c>
      <c r="I401" s="15" t="s">
        <v>2895</v>
      </c>
      <c r="J401" s="15" t="s">
        <v>755</v>
      </c>
      <c r="K401" s="15" t="s">
        <v>2895</v>
      </c>
      <c r="L401" s="15" t="s">
        <v>755</v>
      </c>
      <c r="M401" s="15" t="str">
        <f t="shared" si="6"/>
        <v>insert into dbo.LifeInsJobCode (JobCode,JobGrade,JobDescription,JobGroupCode1,JobGroupName1,JobGroupCode2,JobGroupName2,CreateTime,Creator,ModifyTime,Modifier) VALUES ('08020230','4','熱處理','','','','',getdate(),'Alvin',getdate(),'Alvin')</v>
      </c>
    </row>
    <row r="402" spans="2:13" ht="13.8">
      <c r="B402" s="15" t="s">
        <v>1556</v>
      </c>
      <c r="C402" s="15">
        <v>4</v>
      </c>
      <c r="D402" s="15" t="s">
        <v>1557</v>
      </c>
      <c r="E402" s="15" t="s">
        <v>758</v>
      </c>
      <c r="F402" s="15" t="s">
        <v>758</v>
      </c>
      <c r="G402" s="15" t="s">
        <v>758</v>
      </c>
      <c r="H402" s="15" t="s">
        <v>758</v>
      </c>
      <c r="I402" s="15" t="s">
        <v>2895</v>
      </c>
      <c r="J402" s="15" t="s">
        <v>755</v>
      </c>
      <c r="K402" s="15" t="s">
        <v>2895</v>
      </c>
      <c r="L402" s="15" t="s">
        <v>755</v>
      </c>
      <c r="M402" s="15" t="str">
        <f t="shared" si="6"/>
        <v>insert into dbo.LifeInsJobCode (JobCode,JobGrade,JobDescription,JobGroupCode1,JobGroupName1,JobGroupCode2,JobGroupName2,CreateTime,Creator,ModifyTime,Modifier) VALUES ('08020240','4','大小五金製造工','','','','',getdate(),'Alvin',getdate(),'Alvin')</v>
      </c>
    </row>
    <row r="403" spans="2:13" ht="13.8">
      <c r="B403" s="15" t="s">
        <v>1558</v>
      </c>
      <c r="C403" s="15">
        <v>4</v>
      </c>
      <c r="D403" s="15" t="s">
        <v>1559</v>
      </c>
      <c r="E403" s="15" t="s">
        <v>758</v>
      </c>
      <c r="F403" s="15" t="s">
        <v>758</v>
      </c>
      <c r="G403" s="15" t="s">
        <v>758</v>
      </c>
      <c r="H403" s="15" t="s">
        <v>758</v>
      </c>
      <c r="I403" s="15" t="s">
        <v>2895</v>
      </c>
      <c r="J403" s="15" t="s">
        <v>755</v>
      </c>
      <c r="K403" s="15" t="s">
        <v>2895</v>
      </c>
      <c r="L403" s="15" t="s">
        <v>755</v>
      </c>
      <c r="M403" s="15" t="str">
        <f t="shared" si="6"/>
        <v>insert into dbo.LifeInsJobCode (JobCode,JobGrade,JobDescription,JobGroupCode1,JobGroupName1,JobGroupCode2,JobGroupName2,CreateTime,Creator,ModifyTime,Modifier) VALUES ('08020250','4','風管製造工','','','','',getdate(),'Alvin',getdate(),'Alvin')</v>
      </c>
    </row>
    <row r="404" spans="2:13" ht="13.8">
      <c r="B404" s="15" t="s">
        <v>1560</v>
      </c>
      <c r="C404" s="15">
        <v>4</v>
      </c>
      <c r="D404" s="15" t="s">
        <v>1561</v>
      </c>
      <c r="E404" s="15" t="s">
        <v>758</v>
      </c>
      <c r="F404" s="15" t="s">
        <v>758</v>
      </c>
      <c r="G404" s="15" t="s">
        <v>758</v>
      </c>
      <c r="H404" s="15" t="s">
        <v>758</v>
      </c>
      <c r="I404" s="15" t="s">
        <v>2895</v>
      </c>
      <c r="J404" s="15" t="s">
        <v>755</v>
      </c>
      <c r="K404" s="15" t="s">
        <v>2895</v>
      </c>
      <c r="L404" s="15" t="s">
        <v>755</v>
      </c>
      <c r="M404" s="15" t="str">
        <f t="shared" si="6"/>
        <v>insert into dbo.LifeInsJobCode (JobCode,JobGrade,JobDescription,JobGroupCode1,JobGroupName1,JobGroupCode2,JobGroupName2,CreateTime,Creator,ModifyTime,Modifier) VALUES ('08020260','4','鋁合金鑄造','','','','',getdate(),'Alvin',getdate(),'Alvin')</v>
      </c>
    </row>
    <row r="405" spans="2:13" ht="13.8">
      <c r="B405" s="15" t="s">
        <v>1562</v>
      </c>
      <c r="C405" s="15">
        <v>4</v>
      </c>
      <c r="D405" s="15" t="s">
        <v>1563</v>
      </c>
      <c r="E405" s="15" t="s">
        <v>758</v>
      </c>
      <c r="F405" s="15" t="s">
        <v>758</v>
      </c>
      <c r="G405" s="15" t="s">
        <v>758</v>
      </c>
      <c r="H405" s="15" t="s">
        <v>758</v>
      </c>
      <c r="I405" s="15" t="s">
        <v>2895</v>
      </c>
      <c r="J405" s="15" t="s">
        <v>755</v>
      </c>
      <c r="K405" s="15" t="s">
        <v>2895</v>
      </c>
      <c r="L405" s="15" t="s">
        <v>755</v>
      </c>
      <c r="M405" s="15" t="str">
        <f t="shared" si="6"/>
        <v>insert into dbo.LifeInsJobCode (JobCode,JobGrade,JobDescription,JobGroupCode1,JobGroupName1,JobGroupCode2,JobGroupName2,CreateTime,Creator,ModifyTime,Modifier) VALUES ('08020270','4','鐵櫃技工','','','','',getdate(),'Alvin',getdate(),'Alvin')</v>
      </c>
    </row>
    <row r="406" spans="2:13" ht="13.8">
      <c r="B406" s="15" t="s">
        <v>1564</v>
      </c>
      <c r="C406" s="15">
        <v>4</v>
      </c>
      <c r="D406" s="15" t="s">
        <v>1565</v>
      </c>
      <c r="E406" s="15" t="s">
        <v>758</v>
      </c>
      <c r="F406" s="15" t="s">
        <v>758</v>
      </c>
      <c r="G406" s="15" t="s">
        <v>758</v>
      </c>
      <c r="H406" s="15" t="s">
        <v>758</v>
      </c>
      <c r="I406" s="15" t="s">
        <v>2895</v>
      </c>
      <c r="J406" s="15" t="s">
        <v>755</v>
      </c>
      <c r="K406" s="15" t="s">
        <v>2895</v>
      </c>
      <c r="L406" s="15" t="s">
        <v>755</v>
      </c>
      <c r="M406" s="15" t="str">
        <f t="shared" si="6"/>
        <v>insert into dbo.LifeInsJobCode (JobCode,JobGrade,JobDescription,JobGroupCode1,JobGroupName1,JobGroupCode2,JobGroupName2,CreateTime,Creator,ModifyTime,Modifier) VALUES ('08020280','4','貨櫃製造工人','','','','',getdate(),'Alvin',getdate(),'Alvin')</v>
      </c>
    </row>
    <row r="407" spans="2:13" ht="13.8">
      <c r="B407" s="15" t="s">
        <v>1566</v>
      </c>
      <c r="C407" s="15">
        <v>4</v>
      </c>
      <c r="D407" s="15" t="s">
        <v>1567</v>
      </c>
      <c r="E407" s="15" t="s">
        <v>758</v>
      </c>
      <c r="F407" s="15" t="s">
        <v>758</v>
      </c>
      <c r="G407" s="15" t="s">
        <v>758</v>
      </c>
      <c r="H407" s="15" t="s">
        <v>758</v>
      </c>
      <c r="I407" s="15" t="s">
        <v>2895</v>
      </c>
      <c r="J407" s="15" t="s">
        <v>755</v>
      </c>
      <c r="K407" s="15" t="s">
        <v>2895</v>
      </c>
      <c r="L407" s="15" t="s">
        <v>755</v>
      </c>
      <c r="M407" s="15" t="str">
        <f t="shared" si="6"/>
        <v>insert into dbo.LifeInsJobCode (JobCode,JobGrade,JobDescription,JobGroupCode1,JobGroupName1,JobGroupCode2,JobGroupName2,CreateTime,Creator,ModifyTime,Modifier) VALUES ('08020290','4','鉗工、丸鐵工','','','','',getdate(),'Alvin',getdate(),'Alvin')</v>
      </c>
    </row>
    <row r="408" spans="2:13" ht="13.8">
      <c r="B408" s="15" t="s">
        <v>1568</v>
      </c>
      <c r="C408" s="15">
        <v>4</v>
      </c>
      <c r="D408" s="15" t="s">
        <v>1569</v>
      </c>
      <c r="E408" s="15" t="s">
        <v>758</v>
      </c>
      <c r="F408" s="15" t="s">
        <v>758</v>
      </c>
      <c r="G408" s="15" t="s">
        <v>758</v>
      </c>
      <c r="H408" s="15" t="s">
        <v>758</v>
      </c>
      <c r="I408" s="15" t="s">
        <v>2895</v>
      </c>
      <c r="J408" s="15" t="s">
        <v>755</v>
      </c>
      <c r="K408" s="15" t="s">
        <v>2895</v>
      </c>
      <c r="L408" s="15" t="s">
        <v>755</v>
      </c>
      <c r="M408" s="15" t="str">
        <f t="shared" si="6"/>
        <v>insert into dbo.LifeInsJobCode (JobCode,JobGrade,JobDescription,JobGroupCode1,JobGroupName1,JobGroupCode2,JobGroupName2,CreateTime,Creator,ModifyTime,Modifier) VALUES ('08020300','4','模具工','','','','',getdate(),'Alvin',getdate(),'Alvin')</v>
      </c>
    </row>
    <row r="409" spans="2:13" ht="13.8">
      <c r="B409" s="15" t="s">
        <v>1570</v>
      </c>
      <c r="C409" s="15">
        <v>5</v>
      </c>
      <c r="D409" s="15" t="s">
        <v>1571</v>
      </c>
      <c r="E409" s="15" t="s">
        <v>758</v>
      </c>
      <c r="F409" s="15" t="s">
        <v>758</v>
      </c>
      <c r="G409" s="15" t="s">
        <v>758</v>
      </c>
      <c r="H409" s="15" t="s">
        <v>758</v>
      </c>
      <c r="I409" s="15" t="s">
        <v>2895</v>
      </c>
      <c r="J409" s="15" t="s">
        <v>755</v>
      </c>
      <c r="K409" s="15" t="s">
        <v>2895</v>
      </c>
      <c r="L409" s="15" t="s">
        <v>755</v>
      </c>
      <c r="M409" s="15" t="str">
        <f t="shared" si="6"/>
        <v>insert into dbo.LifeInsJobCode (JobCode,JobGrade,JobDescription,JobGroupCode1,JobGroupName1,JobGroupCode2,JobGroupName2,CreateTime,Creator,ModifyTime,Modifier) VALUES ('08020310','5','翻砂工','','','','',getdate(),'Alvin',getdate(),'Alvin')</v>
      </c>
    </row>
    <row r="410" spans="2:13" ht="13.8">
      <c r="B410" s="15" t="s">
        <v>1572</v>
      </c>
      <c r="C410" s="15">
        <v>5</v>
      </c>
      <c r="D410" s="15" t="s">
        <v>1573</v>
      </c>
      <c r="E410" s="15" t="s">
        <v>758</v>
      </c>
      <c r="F410" s="15" t="s">
        <v>758</v>
      </c>
      <c r="G410" s="15" t="s">
        <v>758</v>
      </c>
      <c r="H410" s="15" t="s">
        <v>758</v>
      </c>
      <c r="I410" s="15" t="s">
        <v>2895</v>
      </c>
      <c r="J410" s="15" t="s">
        <v>755</v>
      </c>
      <c r="K410" s="15" t="s">
        <v>2895</v>
      </c>
      <c r="L410" s="15" t="s">
        <v>755</v>
      </c>
      <c r="M410" s="15" t="str">
        <f t="shared" si="6"/>
        <v>insert into dbo.LifeInsJobCode (JobCode,JobGrade,JobDescription,JobGroupCode1,JobGroupName1,JobGroupCode2,JobGroupName2,CreateTime,Creator,ModifyTime,Modifier) VALUES ('08020320','5','鐵捲工','','','','',getdate(),'Alvin',getdate(),'Alvin')</v>
      </c>
    </row>
    <row r="411" spans="2:13" ht="13.8">
      <c r="B411" s="15" t="s">
        <v>1574</v>
      </c>
      <c r="C411" s="15">
        <v>5</v>
      </c>
      <c r="D411" s="15" t="s">
        <v>1575</v>
      </c>
      <c r="E411" s="15" t="s">
        <v>758</v>
      </c>
      <c r="F411" s="15" t="s">
        <v>758</v>
      </c>
      <c r="G411" s="15" t="s">
        <v>758</v>
      </c>
      <c r="H411" s="15" t="s">
        <v>758</v>
      </c>
      <c r="I411" s="15" t="s">
        <v>2895</v>
      </c>
      <c r="J411" s="15" t="s">
        <v>755</v>
      </c>
      <c r="K411" s="15" t="s">
        <v>2895</v>
      </c>
      <c r="L411" s="15" t="s">
        <v>755</v>
      </c>
      <c r="M411" s="15" t="str">
        <f t="shared" si="6"/>
        <v>insert into dbo.LifeInsJobCode (JobCode,JobGrade,JobDescription,JobGroupCode1,JobGroupName1,JobGroupCode2,JobGroupName2,CreateTime,Creator,ModifyTime,Modifier) VALUES ('08020330','5','鑽床工','','','','',getdate(),'Alvin',getdate(),'Alvin')</v>
      </c>
    </row>
    <row r="412" spans="2:13" ht="13.8">
      <c r="B412" s="15" t="s">
        <v>1576</v>
      </c>
      <c r="C412" s="15">
        <v>4</v>
      </c>
      <c r="D412" s="15" t="s">
        <v>1577</v>
      </c>
      <c r="E412" s="15" t="s">
        <v>758</v>
      </c>
      <c r="F412" s="15" t="s">
        <v>758</v>
      </c>
      <c r="G412" s="15" t="s">
        <v>758</v>
      </c>
      <c r="H412" s="15" t="s">
        <v>758</v>
      </c>
      <c r="I412" s="15" t="s">
        <v>2895</v>
      </c>
      <c r="J412" s="15" t="s">
        <v>755</v>
      </c>
      <c r="K412" s="15" t="s">
        <v>2895</v>
      </c>
      <c r="L412" s="15" t="s">
        <v>755</v>
      </c>
      <c r="M412" s="15" t="str">
        <f t="shared" si="6"/>
        <v>insert into dbo.LifeInsJobCode (JobCode,JobGrade,JobDescription,JobGroupCode1,JobGroupName1,JobGroupCode2,JobGroupName2,CreateTime,Creator,ModifyTime,Modifier) VALUES ('08020340','4','泵浦裝配技師','','','','',getdate(),'Alvin',getdate(),'Alvin')</v>
      </c>
    </row>
    <row r="413" spans="2:13" ht="13.8">
      <c r="B413" s="15" t="s">
        <v>1578</v>
      </c>
      <c r="C413" s="15">
        <v>2</v>
      </c>
      <c r="D413" s="15" t="s">
        <v>1579</v>
      </c>
      <c r="E413" s="15" t="s">
        <v>758</v>
      </c>
      <c r="F413" s="15" t="s">
        <v>758</v>
      </c>
      <c r="G413" s="15" t="s">
        <v>758</v>
      </c>
      <c r="H413" s="15" t="s">
        <v>758</v>
      </c>
      <c r="I413" s="15" t="s">
        <v>2895</v>
      </c>
      <c r="J413" s="15" t="s">
        <v>755</v>
      </c>
      <c r="K413" s="15" t="s">
        <v>2895</v>
      </c>
      <c r="L413" s="15" t="s">
        <v>755</v>
      </c>
      <c r="M413" s="15" t="str">
        <f t="shared" si="6"/>
        <v>insert into dbo.LifeInsJobCode (JobCode,JobGrade,JobDescription,JobGroupCode1,JobGroupName1,JobGroupCode2,JobGroupName2,CreateTime,Creator,ModifyTime,Modifier) VALUES ('08020350','2','模具設計','','','','',getdate(),'Alvin',getdate(),'Alvin')</v>
      </c>
    </row>
    <row r="414" spans="2:13" ht="13.8">
      <c r="B414" s="15" t="s">
        <v>1580</v>
      </c>
      <c r="C414" s="15">
        <v>4</v>
      </c>
      <c r="D414" s="15" t="s">
        <v>1581</v>
      </c>
      <c r="E414" s="15" t="s">
        <v>758</v>
      </c>
      <c r="F414" s="15" t="s">
        <v>758</v>
      </c>
      <c r="G414" s="15" t="s">
        <v>758</v>
      </c>
      <c r="H414" s="15" t="s">
        <v>758</v>
      </c>
      <c r="I414" s="15" t="s">
        <v>2895</v>
      </c>
      <c r="J414" s="15" t="s">
        <v>755</v>
      </c>
      <c r="K414" s="15" t="s">
        <v>2895</v>
      </c>
      <c r="L414" s="15" t="s">
        <v>755</v>
      </c>
      <c r="M414" s="15" t="str">
        <f t="shared" si="6"/>
        <v>insert into dbo.LifeInsJobCode (JobCode,JobGrade,JobDescription,JobGroupCode1,JobGroupName1,JobGroupCode2,JobGroupName2,CreateTime,Creator,ModifyTime,Modifier) VALUES ('08020360','4','機械操作修理員','','','','',getdate(),'Alvin',getdate(),'Alvin')</v>
      </c>
    </row>
    <row r="415" spans="2:13" ht="13.8">
      <c r="B415" s="15" t="s">
        <v>1582</v>
      </c>
      <c r="C415" s="15">
        <v>4</v>
      </c>
      <c r="D415" s="15" t="s">
        <v>1583</v>
      </c>
      <c r="E415" s="15" t="s">
        <v>758</v>
      </c>
      <c r="F415" s="15" t="s">
        <v>758</v>
      </c>
      <c r="G415" s="15" t="s">
        <v>758</v>
      </c>
      <c r="H415" s="15" t="s">
        <v>758</v>
      </c>
      <c r="I415" s="15" t="s">
        <v>2895</v>
      </c>
      <c r="J415" s="15" t="s">
        <v>755</v>
      </c>
      <c r="K415" s="15" t="s">
        <v>2895</v>
      </c>
      <c r="L415" s="15" t="s">
        <v>755</v>
      </c>
      <c r="M415" s="15" t="str">
        <f t="shared" si="6"/>
        <v>insert into dbo.LifeInsJobCode (JobCode,JobGrade,JobDescription,JobGroupCode1,JobGroupName1,JobGroupCode2,JobGroupName2,CreateTime,Creator,ModifyTime,Modifier) VALUES ('08020370','4','螺絲製造','','','','',getdate(),'Alvin',getdate(),'Alvin')</v>
      </c>
    </row>
    <row r="416" spans="2:13" ht="13.8">
      <c r="B416" s="15" t="s">
        <v>1584</v>
      </c>
      <c r="C416" s="15">
        <v>4</v>
      </c>
      <c r="D416" s="15" t="s">
        <v>1585</v>
      </c>
      <c r="E416" s="15" t="s">
        <v>758</v>
      </c>
      <c r="F416" s="15" t="s">
        <v>758</v>
      </c>
      <c r="G416" s="15" t="s">
        <v>758</v>
      </c>
      <c r="H416" s="15" t="s">
        <v>758</v>
      </c>
      <c r="I416" s="15" t="s">
        <v>2895</v>
      </c>
      <c r="J416" s="15" t="s">
        <v>755</v>
      </c>
      <c r="K416" s="15" t="s">
        <v>2895</v>
      </c>
      <c r="L416" s="15" t="s">
        <v>755</v>
      </c>
      <c r="M416" s="15" t="str">
        <f t="shared" si="6"/>
        <v>insert into dbo.LifeInsJobCode (JobCode,JobGrade,JobDescription,JobGroupCode1,JobGroupName1,JobGroupCode2,JobGroupName2,CreateTime,Creator,ModifyTime,Modifier) VALUES ('08020380','4','配電盤人員','','','','',getdate(),'Alvin',getdate(),'Alvin')</v>
      </c>
    </row>
    <row r="417" spans="2:13" ht="13.8">
      <c r="B417" s="15" t="s">
        <v>1586</v>
      </c>
      <c r="C417" s="15">
        <v>4</v>
      </c>
      <c r="D417" s="15" t="s">
        <v>1587</v>
      </c>
      <c r="E417" s="15" t="s">
        <v>758</v>
      </c>
      <c r="F417" s="15" t="s">
        <v>758</v>
      </c>
      <c r="G417" s="15" t="s">
        <v>758</v>
      </c>
      <c r="H417" s="15" t="s">
        <v>758</v>
      </c>
      <c r="I417" s="15" t="s">
        <v>2895</v>
      </c>
      <c r="J417" s="15" t="s">
        <v>755</v>
      </c>
      <c r="K417" s="15" t="s">
        <v>2895</v>
      </c>
      <c r="L417" s="15" t="s">
        <v>755</v>
      </c>
      <c r="M417" s="15" t="str">
        <f t="shared" si="6"/>
        <v>insert into dbo.LifeInsJobCode (JobCode,JobGrade,JobDescription,JobGroupCode1,JobGroupName1,JobGroupCode2,JobGroupName2,CreateTime,Creator,ModifyTime,Modifier) VALUES ('08020390','4','油壓機操作','','','','',getdate(),'Alvin',getdate(),'Alvin')</v>
      </c>
    </row>
    <row r="418" spans="2:13" ht="13.8">
      <c r="B418" s="15" t="s">
        <v>1588</v>
      </c>
      <c r="C418" s="15">
        <v>4</v>
      </c>
      <c r="D418" s="15" t="s">
        <v>1589</v>
      </c>
      <c r="E418" s="15" t="s">
        <v>758</v>
      </c>
      <c r="F418" s="15" t="s">
        <v>758</v>
      </c>
      <c r="G418" s="15" t="s">
        <v>758</v>
      </c>
      <c r="H418" s="15" t="s">
        <v>758</v>
      </c>
      <c r="I418" s="15" t="s">
        <v>2895</v>
      </c>
      <c r="J418" s="15" t="s">
        <v>755</v>
      </c>
      <c r="K418" s="15" t="s">
        <v>2895</v>
      </c>
      <c r="L418" s="15" t="s">
        <v>755</v>
      </c>
      <c r="M418" s="15" t="str">
        <f t="shared" si="6"/>
        <v>insert into dbo.LifeInsJobCode (JobCode,JobGrade,JobDescription,JobGroupCode1,JobGroupName1,JobGroupCode2,JobGroupName2,CreateTime,Creator,ModifyTime,Modifier) VALUES ('08020400','4','磨床','','','','',getdate(),'Alvin',getdate(),'Alvin')</v>
      </c>
    </row>
    <row r="419" spans="2:13" ht="13.8">
      <c r="B419" s="15" t="s">
        <v>1590</v>
      </c>
      <c r="C419" s="15">
        <v>5</v>
      </c>
      <c r="D419" s="15" t="s">
        <v>1591</v>
      </c>
      <c r="E419" s="15" t="s">
        <v>758</v>
      </c>
      <c r="F419" s="15" t="s">
        <v>758</v>
      </c>
      <c r="G419" s="15" t="s">
        <v>758</v>
      </c>
      <c r="H419" s="15" t="s">
        <v>758</v>
      </c>
      <c r="I419" s="15" t="s">
        <v>2895</v>
      </c>
      <c r="J419" s="15" t="s">
        <v>755</v>
      </c>
      <c r="K419" s="15" t="s">
        <v>2895</v>
      </c>
      <c r="L419" s="15" t="s">
        <v>755</v>
      </c>
      <c r="M419" s="15" t="str">
        <f t="shared" si="6"/>
        <v>insert into dbo.LifeInsJobCode (JobCode,JobGrade,JobDescription,JobGroupCode1,JobGroupName1,JobGroupCode2,JobGroupName2,CreateTime,Creator,ModifyTime,Modifier) VALUES ('08020410','5','冷作','','','','',getdate(),'Alvin',getdate(),'Alvin')</v>
      </c>
    </row>
    <row r="420" spans="2:13" ht="13.8">
      <c r="B420" s="15" t="s">
        <v>1592</v>
      </c>
      <c r="C420" s="15">
        <v>5</v>
      </c>
      <c r="D420" s="15" t="s">
        <v>1593</v>
      </c>
      <c r="E420" s="15" t="s">
        <v>758</v>
      </c>
      <c r="F420" s="15" t="s">
        <v>758</v>
      </c>
      <c r="G420" s="15" t="s">
        <v>758</v>
      </c>
      <c r="H420" s="15" t="s">
        <v>758</v>
      </c>
      <c r="I420" s="15" t="s">
        <v>2895</v>
      </c>
      <c r="J420" s="15" t="s">
        <v>755</v>
      </c>
      <c r="K420" s="15" t="s">
        <v>2895</v>
      </c>
      <c r="L420" s="15" t="s">
        <v>755</v>
      </c>
      <c r="M420" s="15" t="str">
        <f t="shared" si="6"/>
        <v>insert into dbo.LifeInsJobCode (JobCode,JobGrade,JobDescription,JobGroupCode1,JobGroupName1,JobGroupCode2,JobGroupName2,CreateTime,Creator,ModifyTime,Modifier) VALUES ('08020420','5','鍛造','','','','',getdate(),'Alvin',getdate(),'Alvin')</v>
      </c>
    </row>
    <row r="421" spans="2:13" ht="13.8">
      <c r="B421" s="15" t="s">
        <v>1594</v>
      </c>
      <c r="C421" s="15">
        <v>2</v>
      </c>
      <c r="D421" s="15" t="s">
        <v>958</v>
      </c>
      <c r="E421" s="15" t="s">
        <v>758</v>
      </c>
      <c r="F421" s="15" t="s">
        <v>758</v>
      </c>
      <c r="G421" s="15" t="s">
        <v>1595</v>
      </c>
      <c r="H421" s="15" t="s">
        <v>1596</v>
      </c>
      <c r="I421" s="15" t="s">
        <v>2895</v>
      </c>
      <c r="J421" s="15" t="s">
        <v>755</v>
      </c>
      <c r="K421" s="15" t="s">
        <v>2895</v>
      </c>
      <c r="L421" s="15" t="s">
        <v>755</v>
      </c>
      <c r="M421" s="15" t="str">
        <f t="shared" si="6"/>
        <v>insert into dbo.LifeInsJobCode (JobCode,JobGrade,JobDescription,JobGroupCode1,JobGroupName1,JobGroupCode2,JobGroupName2,CreateTime,Creator,ModifyTime,Modifier) VALUES ('08030010','2','工程師','','','0803','電子業',getdate(),'Alvin',getdate(),'Alvin')</v>
      </c>
    </row>
    <row r="422" spans="2:13" ht="13.8">
      <c r="B422" s="15" t="s">
        <v>1597</v>
      </c>
      <c r="C422" s="15">
        <v>2</v>
      </c>
      <c r="D422" s="15" t="s">
        <v>1495</v>
      </c>
      <c r="E422" s="15" t="s">
        <v>758</v>
      </c>
      <c r="F422" s="15" t="s">
        <v>758</v>
      </c>
      <c r="G422" s="15" t="s">
        <v>758</v>
      </c>
      <c r="H422" s="15" t="s">
        <v>758</v>
      </c>
      <c r="I422" s="15" t="s">
        <v>2895</v>
      </c>
      <c r="J422" s="15" t="s">
        <v>755</v>
      </c>
      <c r="K422" s="15" t="s">
        <v>2895</v>
      </c>
      <c r="L422" s="15" t="s">
        <v>755</v>
      </c>
      <c r="M422" s="15" t="str">
        <f t="shared" si="6"/>
        <v>insert into dbo.LifeInsJobCode (JobCode,JobGrade,JobDescription,JobGroupCode1,JobGroupName1,JobGroupCode2,JobGroupName2,CreateTime,Creator,ModifyTime,Modifier) VALUES ('08030020','2','技師','','','','',getdate(),'Alvin',getdate(),'Alvin')</v>
      </c>
    </row>
    <row r="423" spans="2:13" ht="13.8">
      <c r="B423" s="15" t="s">
        <v>1598</v>
      </c>
      <c r="C423" s="15">
        <v>2</v>
      </c>
      <c r="D423" s="15" t="s">
        <v>1424</v>
      </c>
      <c r="E423" s="15" t="s">
        <v>758</v>
      </c>
      <c r="F423" s="15" t="s">
        <v>758</v>
      </c>
      <c r="G423" s="15" t="s">
        <v>758</v>
      </c>
      <c r="H423" s="15" t="s">
        <v>758</v>
      </c>
      <c r="I423" s="15" t="s">
        <v>2895</v>
      </c>
      <c r="J423" s="15" t="s">
        <v>755</v>
      </c>
      <c r="K423" s="15" t="s">
        <v>2895</v>
      </c>
      <c r="L423" s="15" t="s">
        <v>755</v>
      </c>
      <c r="M423" s="15" t="str">
        <f t="shared" si="6"/>
        <v>insert into dbo.LifeInsJobCode (JobCode,JobGrade,JobDescription,JobGroupCode1,JobGroupName1,JobGroupCode2,JobGroupName2,CreateTime,Creator,ModifyTime,Modifier) VALUES ('08030030','2','領班、監工','','','','',getdate(),'Alvin',getdate(),'Alvin')</v>
      </c>
    </row>
    <row r="424" spans="2:13" ht="13.8">
      <c r="B424" s="15" t="s">
        <v>1599</v>
      </c>
      <c r="C424" s="15">
        <v>2</v>
      </c>
      <c r="D424" s="15" t="s">
        <v>1517</v>
      </c>
      <c r="E424" s="15" t="s">
        <v>758</v>
      </c>
      <c r="F424" s="15" t="s">
        <v>758</v>
      </c>
      <c r="G424" s="15" t="s">
        <v>758</v>
      </c>
      <c r="H424" s="15" t="s">
        <v>758</v>
      </c>
      <c r="I424" s="15" t="s">
        <v>2895</v>
      </c>
      <c r="J424" s="15" t="s">
        <v>755</v>
      </c>
      <c r="K424" s="15" t="s">
        <v>2895</v>
      </c>
      <c r="L424" s="15" t="s">
        <v>755</v>
      </c>
      <c r="M424" s="15" t="str">
        <f t="shared" si="6"/>
        <v>insert into dbo.LifeInsJobCode (JobCode,JobGrade,JobDescription,JobGroupCode1,JobGroupName1,JobGroupCode2,JobGroupName2,CreateTime,Creator,ModifyTime,Modifier) VALUES ('08030040','2','裝配工','','','','',getdate(),'Alvin',getdate(),'Alvin')</v>
      </c>
    </row>
    <row r="425" spans="2:13" ht="13.8">
      <c r="B425" s="15" t="s">
        <v>1600</v>
      </c>
      <c r="C425" s="15">
        <v>3</v>
      </c>
      <c r="D425" s="15" t="s">
        <v>1551</v>
      </c>
      <c r="E425" s="15" t="s">
        <v>758</v>
      </c>
      <c r="F425" s="15" t="s">
        <v>758</v>
      </c>
      <c r="G425" s="15" t="s">
        <v>758</v>
      </c>
      <c r="H425" s="15" t="s">
        <v>758</v>
      </c>
      <c r="I425" s="15" t="s">
        <v>2895</v>
      </c>
      <c r="J425" s="15" t="s">
        <v>755</v>
      </c>
      <c r="K425" s="15" t="s">
        <v>2895</v>
      </c>
      <c r="L425" s="15" t="s">
        <v>755</v>
      </c>
      <c r="M425" s="15" t="str">
        <f t="shared" si="6"/>
        <v>insert into dbo.LifeInsJobCode (JobCode,JobGrade,JobDescription,JobGroupCode1,JobGroupName1,JobGroupCode2,JobGroupName2,CreateTime,Creator,ModifyTime,Modifier) VALUES ('08030050','3','修理工','','','','',getdate(),'Alvin',getdate(),'Alvin')</v>
      </c>
    </row>
    <row r="426" spans="2:13" ht="13.8">
      <c r="B426" s="15" t="s">
        <v>1601</v>
      </c>
      <c r="C426" s="15">
        <v>2</v>
      </c>
      <c r="D426" s="15" t="s">
        <v>1602</v>
      </c>
      <c r="E426" s="15" t="s">
        <v>758</v>
      </c>
      <c r="F426" s="15" t="s">
        <v>758</v>
      </c>
      <c r="G426" s="15" t="s">
        <v>758</v>
      </c>
      <c r="H426" s="15" t="s">
        <v>758</v>
      </c>
      <c r="I426" s="15" t="s">
        <v>2895</v>
      </c>
      <c r="J426" s="15" t="s">
        <v>755</v>
      </c>
      <c r="K426" s="15" t="s">
        <v>2895</v>
      </c>
      <c r="L426" s="15" t="s">
        <v>755</v>
      </c>
      <c r="M426" s="15" t="str">
        <f t="shared" si="6"/>
        <v>insert into dbo.LifeInsJobCode (JobCode,JobGrade,JobDescription,JobGroupCode1,JobGroupName1,JobGroupCode2,JobGroupName2,CreateTime,Creator,ModifyTime,Modifier) VALUES ('08030060','2','包裝工人','','','','',getdate(),'Alvin',getdate(),'Alvin')</v>
      </c>
    </row>
    <row r="427" spans="2:13" ht="13.8">
      <c r="B427" s="15" t="s">
        <v>1603</v>
      </c>
      <c r="C427" s="15">
        <v>4</v>
      </c>
      <c r="D427" s="15" t="s">
        <v>1604</v>
      </c>
      <c r="E427" s="15" t="s">
        <v>758</v>
      </c>
      <c r="F427" s="15" t="s">
        <v>758</v>
      </c>
      <c r="G427" s="15" t="s">
        <v>758</v>
      </c>
      <c r="H427" s="15" t="s">
        <v>758</v>
      </c>
      <c r="I427" s="15" t="s">
        <v>2895</v>
      </c>
      <c r="J427" s="15" t="s">
        <v>755</v>
      </c>
      <c r="K427" s="15" t="s">
        <v>2895</v>
      </c>
      <c r="L427" s="15" t="s">
        <v>755</v>
      </c>
      <c r="M427" s="15" t="str">
        <f t="shared" si="6"/>
        <v>insert into dbo.LifeInsJobCode (JobCode,JobGrade,JobDescription,JobGroupCode1,JobGroupName1,JobGroupCode2,JobGroupName2,CreateTime,Creator,ModifyTime,Modifier) VALUES ('08030070','4','製造工','','','','',getdate(),'Alvin',getdate(),'Alvin')</v>
      </c>
    </row>
    <row r="428" spans="2:13" ht="13.8">
      <c r="B428" s="15" t="s">
        <v>1605</v>
      </c>
      <c r="C428" s="15">
        <v>2</v>
      </c>
      <c r="D428" s="15" t="s">
        <v>1508</v>
      </c>
      <c r="E428" s="15" t="s">
        <v>758</v>
      </c>
      <c r="F428" s="15" t="s">
        <v>758</v>
      </c>
      <c r="G428" s="15" t="s">
        <v>758</v>
      </c>
      <c r="H428" s="15" t="s">
        <v>758</v>
      </c>
      <c r="I428" s="15" t="s">
        <v>2895</v>
      </c>
      <c r="J428" s="15" t="s">
        <v>755</v>
      </c>
      <c r="K428" s="15" t="s">
        <v>2895</v>
      </c>
      <c r="L428" s="15" t="s">
        <v>755</v>
      </c>
      <c r="M428" s="15" t="str">
        <f t="shared" si="6"/>
        <v>insert into dbo.LifeInsJobCode (JobCode,JobGrade,JobDescription,JobGroupCode1,JobGroupName1,JobGroupCode2,JobGroupName2,CreateTime,Creator,ModifyTime,Modifier) VALUES ('08030080','2','品管人員','','','','',getdate(),'Alvin',getdate(),'Alvin')</v>
      </c>
    </row>
    <row r="429" spans="2:13" ht="13.8">
      <c r="B429" s="15" t="s">
        <v>1606</v>
      </c>
      <c r="C429" s="15">
        <v>2</v>
      </c>
      <c r="D429" s="15" t="s">
        <v>1607</v>
      </c>
      <c r="E429" s="15" t="s">
        <v>758</v>
      </c>
      <c r="F429" s="15" t="s">
        <v>758</v>
      </c>
      <c r="G429" s="15" t="s">
        <v>758</v>
      </c>
      <c r="H429" s="15" t="s">
        <v>758</v>
      </c>
      <c r="I429" s="15" t="s">
        <v>2895</v>
      </c>
      <c r="J429" s="15" t="s">
        <v>755</v>
      </c>
      <c r="K429" s="15" t="s">
        <v>2895</v>
      </c>
      <c r="L429" s="15" t="s">
        <v>755</v>
      </c>
      <c r="M429" s="15" t="str">
        <f t="shared" si="6"/>
        <v>insert into dbo.LifeInsJobCode (JobCode,JobGrade,JobDescription,JobGroupCode1,JobGroupName1,JobGroupCode2,JobGroupName2,CreateTime,Creator,ModifyTime,Modifier) VALUES ('08030090','2','無塵室工作人員','','','','',getdate(),'Alvin',getdate(),'Alvin')</v>
      </c>
    </row>
    <row r="430" spans="2:13" ht="13.8">
      <c r="B430" s="15" t="s">
        <v>1608</v>
      </c>
      <c r="C430" s="15">
        <v>2</v>
      </c>
      <c r="D430" s="15" t="s">
        <v>3335</v>
      </c>
      <c r="E430" s="15" t="s">
        <v>758</v>
      </c>
      <c r="F430" s="15" t="s">
        <v>758</v>
      </c>
      <c r="G430" s="15" t="s">
        <v>758</v>
      </c>
      <c r="H430" s="15" t="s">
        <v>758</v>
      </c>
      <c r="I430" s="15" t="s">
        <v>2895</v>
      </c>
      <c r="J430" s="15" t="s">
        <v>755</v>
      </c>
      <c r="K430" s="15" t="s">
        <v>2895</v>
      </c>
      <c r="L430" s="15" t="s">
        <v>755</v>
      </c>
      <c r="M430" s="15" t="str">
        <f t="shared" si="6"/>
        <v>insert into dbo.LifeInsJobCode (JobCode,JobGrade,JobDescription,JobGroupCode1,JobGroupName1,JobGroupCode2,JobGroupName2,CreateTime,Creator,ModifyTime,Modifier) VALUES ('08030100','2','操作自動ＩＣ工人','','','','',getdate(),'Alvin',getdate(),'Alvin')</v>
      </c>
    </row>
    <row r="431" spans="2:13" ht="13.8">
      <c r="B431" s="15" t="s">
        <v>1609</v>
      </c>
      <c r="C431" s="15">
        <v>2</v>
      </c>
      <c r="D431" s="15" t="s">
        <v>1610</v>
      </c>
      <c r="E431" s="15" t="s">
        <v>758</v>
      </c>
      <c r="F431" s="15" t="s">
        <v>758</v>
      </c>
      <c r="G431" s="15" t="s">
        <v>758</v>
      </c>
      <c r="H431" s="15" t="s">
        <v>758</v>
      </c>
      <c r="I431" s="15" t="s">
        <v>2895</v>
      </c>
      <c r="J431" s="15" t="s">
        <v>755</v>
      </c>
      <c r="K431" s="15" t="s">
        <v>2895</v>
      </c>
      <c r="L431" s="15" t="s">
        <v>755</v>
      </c>
      <c r="M431" s="15" t="str">
        <f t="shared" si="6"/>
        <v>insert into dbo.LifeInsJobCode (JobCode,JobGrade,JobDescription,JobGroupCode1,JobGroupName1,JobGroupCode2,JobGroupName2,CreateTime,Creator,ModifyTime,Modifier) VALUES ('08030110','2','物料倉管','','','','',getdate(),'Alvin',getdate(),'Alvin')</v>
      </c>
    </row>
    <row r="432" spans="2:13" ht="13.8">
      <c r="B432" s="15" t="s">
        <v>1611</v>
      </c>
      <c r="C432" s="15">
        <v>3</v>
      </c>
      <c r="D432" s="15" t="s">
        <v>1612</v>
      </c>
      <c r="E432" s="15" t="s">
        <v>758</v>
      </c>
      <c r="F432" s="15" t="s">
        <v>758</v>
      </c>
      <c r="G432" s="15" t="s">
        <v>758</v>
      </c>
      <c r="H432" s="15" t="s">
        <v>758</v>
      </c>
      <c r="I432" s="15" t="s">
        <v>2895</v>
      </c>
      <c r="J432" s="15" t="s">
        <v>755</v>
      </c>
      <c r="K432" s="15" t="s">
        <v>2895</v>
      </c>
      <c r="L432" s="15" t="s">
        <v>755</v>
      </c>
      <c r="M432" s="15" t="str">
        <f t="shared" si="6"/>
        <v>insert into dbo.LifeInsJobCode (JobCode,JobGrade,JobDescription,JobGroupCode1,JobGroupName1,JobGroupCode2,JobGroupName2,CreateTime,Creator,ModifyTime,Modifier) VALUES ('08030120','3','ＩＣ板電鍍','','','','',getdate(),'Alvin',getdate(),'Alvin')</v>
      </c>
    </row>
    <row r="433" spans="2:13" ht="13.8">
      <c r="B433" s="15" t="s">
        <v>1613</v>
      </c>
      <c r="C433" s="15">
        <v>1</v>
      </c>
      <c r="D433" s="15" t="s">
        <v>1504</v>
      </c>
      <c r="E433" s="15" t="s">
        <v>758</v>
      </c>
      <c r="F433" s="15" t="s">
        <v>758</v>
      </c>
      <c r="G433" s="15" t="s">
        <v>758</v>
      </c>
      <c r="H433" s="15" t="s">
        <v>758</v>
      </c>
      <c r="I433" s="15" t="s">
        <v>2895</v>
      </c>
      <c r="J433" s="15" t="s">
        <v>755</v>
      </c>
      <c r="K433" s="15" t="s">
        <v>2895</v>
      </c>
      <c r="L433" s="15" t="s">
        <v>755</v>
      </c>
      <c r="M433" s="15" t="str">
        <f t="shared" si="6"/>
        <v>insert into dbo.LifeInsJobCode (JobCode,JobGrade,JobDescription,JobGroupCode1,JobGroupName1,JobGroupCode2,JobGroupName2,CreateTime,Creator,ModifyTime,Modifier) VALUES ('08030130','1','負責人(不需到現場)','','','','',getdate(),'Alvin',getdate(),'Alvin')</v>
      </c>
    </row>
    <row r="434" spans="2:13" ht="13.8">
      <c r="B434" s="15" t="s">
        <v>1614</v>
      </c>
      <c r="C434" s="15">
        <v>2</v>
      </c>
      <c r="D434" s="15" t="s">
        <v>3291</v>
      </c>
      <c r="E434" s="15" t="s">
        <v>758</v>
      </c>
      <c r="F434" s="15" t="s">
        <v>758</v>
      </c>
      <c r="G434" s="15" t="s">
        <v>758</v>
      </c>
      <c r="H434" s="15" t="s">
        <v>758</v>
      </c>
      <c r="I434" s="15" t="s">
        <v>2895</v>
      </c>
      <c r="J434" s="15" t="s">
        <v>755</v>
      </c>
      <c r="K434" s="15" t="s">
        <v>2895</v>
      </c>
      <c r="L434" s="15" t="s">
        <v>755</v>
      </c>
      <c r="M434" s="15" t="str">
        <f t="shared" si="6"/>
        <v>insert into dbo.LifeInsJobCode (JobCode,JobGrade,JobDescription,JobGroupCode1,JobGroupName1,JobGroupCode2,JobGroupName2,CreateTime,Creator,ModifyTime,Modifier) VALUES ('08030140','2','負責人(需現場指導或實際參與工作)','','','','',getdate(),'Alvin',getdate(),'Alvin')</v>
      </c>
    </row>
    <row r="435" spans="2:13" ht="13.8">
      <c r="B435" s="15" t="s">
        <v>1615</v>
      </c>
      <c r="C435" s="15">
        <v>2</v>
      </c>
      <c r="D435" s="15" t="s">
        <v>1616</v>
      </c>
      <c r="E435" s="15" t="s">
        <v>758</v>
      </c>
      <c r="F435" s="15" t="s">
        <v>758</v>
      </c>
      <c r="G435" s="15" t="s">
        <v>758</v>
      </c>
      <c r="H435" s="15" t="s">
        <v>758</v>
      </c>
      <c r="I435" s="15" t="s">
        <v>2895</v>
      </c>
      <c r="J435" s="15" t="s">
        <v>755</v>
      </c>
      <c r="K435" s="15" t="s">
        <v>2895</v>
      </c>
      <c r="L435" s="15" t="s">
        <v>755</v>
      </c>
      <c r="M435" s="15" t="str">
        <f t="shared" si="6"/>
        <v>insert into dbo.LifeInsJobCode (JobCode,JobGrade,JobDescription,JobGroupCode1,JobGroupName1,JobGroupCode2,JobGroupName2,CreateTime,Creator,ModifyTime,Modifier) VALUES ('08030150','2','光電及光學工作人員','','','','',getdate(),'Alvin',getdate(),'Alvin')</v>
      </c>
    </row>
    <row r="436" spans="2:13" ht="13.8">
      <c r="B436" s="15" t="s">
        <v>1617</v>
      </c>
      <c r="C436" s="15">
        <v>3</v>
      </c>
      <c r="D436" s="15" t="s">
        <v>1618</v>
      </c>
      <c r="E436" s="15" t="s">
        <v>758</v>
      </c>
      <c r="F436" s="15" t="s">
        <v>758</v>
      </c>
      <c r="G436" s="15" t="s">
        <v>758</v>
      </c>
      <c r="H436" s="15" t="s">
        <v>758</v>
      </c>
      <c r="I436" s="15" t="s">
        <v>2895</v>
      </c>
      <c r="J436" s="15" t="s">
        <v>755</v>
      </c>
      <c r="K436" s="15" t="s">
        <v>2895</v>
      </c>
      <c r="L436" s="15" t="s">
        <v>755</v>
      </c>
      <c r="M436" s="15" t="str">
        <f t="shared" si="6"/>
        <v>insert into dbo.LifeInsJobCode (JobCode,JobGrade,JobDescription,JobGroupCode1,JobGroupName1,JobGroupCode2,JobGroupName2,CreateTime,Creator,ModifyTime,Modifier) VALUES ('08030160','3','電氣焊接工','','','','',getdate(),'Alvin',getdate(),'Alvin')</v>
      </c>
    </row>
    <row r="437" spans="2:13" ht="13.8">
      <c r="B437" s="15" t="s">
        <v>1619</v>
      </c>
      <c r="C437" s="15">
        <v>1</v>
      </c>
      <c r="D437" s="15" t="s">
        <v>1620</v>
      </c>
      <c r="E437" s="15" t="s">
        <v>758</v>
      </c>
      <c r="F437" s="15" t="s">
        <v>758</v>
      </c>
      <c r="G437" s="15" t="s">
        <v>758</v>
      </c>
      <c r="H437" s="15" t="s">
        <v>758</v>
      </c>
      <c r="I437" s="15" t="s">
        <v>2895</v>
      </c>
      <c r="J437" s="15" t="s">
        <v>755</v>
      </c>
      <c r="K437" s="15" t="s">
        <v>2895</v>
      </c>
      <c r="L437" s="15" t="s">
        <v>755</v>
      </c>
      <c r="M437" s="15" t="str">
        <f t="shared" si="6"/>
        <v>insert into dbo.LifeInsJobCode (JobCode,JobGrade,JobDescription,JobGroupCode1,JobGroupName1,JobGroupCode2,JobGroupName2,CreateTime,Creator,ModifyTime,Modifier) VALUES ('08030170','1','研發人員、設計人員、製程人員','','','','',getdate(),'Alvin',getdate(),'Alvin')</v>
      </c>
    </row>
    <row r="438" spans="2:13" ht="13.8">
      <c r="B438" s="15" t="s">
        <v>1621</v>
      </c>
      <c r="C438" s="15">
        <v>3</v>
      </c>
      <c r="D438" s="15" t="s">
        <v>1622</v>
      </c>
      <c r="E438" s="15" t="s">
        <v>758</v>
      </c>
      <c r="F438" s="15" t="s">
        <v>758</v>
      </c>
      <c r="G438" s="15" t="s">
        <v>758</v>
      </c>
      <c r="H438" s="15" t="s">
        <v>758</v>
      </c>
      <c r="I438" s="15" t="s">
        <v>2895</v>
      </c>
      <c r="J438" s="15" t="s">
        <v>755</v>
      </c>
      <c r="K438" s="15" t="s">
        <v>2895</v>
      </c>
      <c r="L438" s="15" t="s">
        <v>755</v>
      </c>
      <c r="M438" s="15" t="str">
        <f t="shared" si="6"/>
        <v>insert into dbo.LifeInsJobCode (JobCode,JobGrade,JobDescription,JobGroupCode1,JobGroupName1,JobGroupCode2,JobGroupName2,CreateTime,Creator,ModifyTime,Modifier) VALUES ('08030180','3','電路板維修工','','','','',getdate(),'Alvin',getdate(),'Alvin')</v>
      </c>
    </row>
    <row r="439" spans="2:13" ht="13.8">
      <c r="B439" s="15" t="s">
        <v>1623</v>
      </c>
      <c r="C439" s="15">
        <v>3</v>
      </c>
      <c r="D439" s="15" t="s">
        <v>958</v>
      </c>
      <c r="E439" s="15" t="s">
        <v>758</v>
      </c>
      <c r="F439" s="15" t="s">
        <v>758</v>
      </c>
      <c r="G439" s="15" t="s">
        <v>1624</v>
      </c>
      <c r="H439" s="15" t="s">
        <v>1625</v>
      </c>
      <c r="I439" s="15" t="s">
        <v>2895</v>
      </c>
      <c r="J439" s="15" t="s">
        <v>755</v>
      </c>
      <c r="K439" s="15" t="s">
        <v>2895</v>
      </c>
      <c r="L439" s="15" t="s">
        <v>755</v>
      </c>
      <c r="M439" s="15" t="str">
        <f t="shared" si="6"/>
        <v>insert into dbo.LifeInsJobCode (JobCode,JobGrade,JobDescription,JobGroupCode1,JobGroupName1,JobGroupCode2,JobGroupName2,CreateTime,Creator,ModifyTime,Modifier) VALUES ('08040010','3','工程師','','','0804','電機業',getdate(),'Alvin',getdate(),'Alvin')</v>
      </c>
    </row>
    <row r="440" spans="2:13" ht="13.8">
      <c r="B440" s="15" t="s">
        <v>1626</v>
      </c>
      <c r="C440" s="15">
        <v>3</v>
      </c>
      <c r="D440" s="15" t="s">
        <v>1495</v>
      </c>
      <c r="E440" s="15" t="s">
        <v>758</v>
      </c>
      <c r="F440" s="15" t="s">
        <v>758</v>
      </c>
      <c r="G440" s="15" t="s">
        <v>758</v>
      </c>
      <c r="H440" s="15" t="s">
        <v>758</v>
      </c>
      <c r="I440" s="15" t="s">
        <v>2895</v>
      </c>
      <c r="J440" s="15" t="s">
        <v>755</v>
      </c>
      <c r="K440" s="15" t="s">
        <v>2895</v>
      </c>
      <c r="L440" s="15" t="s">
        <v>755</v>
      </c>
      <c r="M440" s="15" t="str">
        <f t="shared" si="6"/>
        <v>insert into dbo.LifeInsJobCode (JobCode,JobGrade,JobDescription,JobGroupCode1,JobGroupName1,JobGroupCode2,JobGroupName2,CreateTime,Creator,ModifyTime,Modifier) VALUES ('08040020','3','技師','','','','',getdate(),'Alvin',getdate(),'Alvin')</v>
      </c>
    </row>
    <row r="441" spans="2:13" ht="13.8">
      <c r="B441" s="15" t="s">
        <v>1627</v>
      </c>
      <c r="C441" s="15">
        <v>3</v>
      </c>
      <c r="D441" s="15" t="s">
        <v>1424</v>
      </c>
      <c r="E441" s="15" t="s">
        <v>758</v>
      </c>
      <c r="F441" s="15" t="s">
        <v>758</v>
      </c>
      <c r="G441" s="15" t="s">
        <v>758</v>
      </c>
      <c r="H441" s="15" t="s">
        <v>758</v>
      </c>
      <c r="I441" s="15" t="s">
        <v>2895</v>
      </c>
      <c r="J441" s="15" t="s">
        <v>755</v>
      </c>
      <c r="K441" s="15" t="s">
        <v>2895</v>
      </c>
      <c r="L441" s="15" t="s">
        <v>755</v>
      </c>
      <c r="M441" s="15" t="str">
        <f t="shared" si="6"/>
        <v>insert into dbo.LifeInsJobCode (JobCode,JobGrade,JobDescription,JobGroupCode1,JobGroupName1,JobGroupCode2,JobGroupName2,CreateTime,Creator,ModifyTime,Modifier) VALUES ('08040030','3','領班、監工','','','','',getdate(),'Alvin',getdate(),'Alvin')</v>
      </c>
    </row>
    <row r="442" spans="2:13" ht="13.8">
      <c r="B442" s="15" t="s">
        <v>1628</v>
      </c>
      <c r="C442" s="15">
        <v>4</v>
      </c>
      <c r="D442" s="15" t="s">
        <v>1629</v>
      </c>
      <c r="E442" s="15" t="s">
        <v>758</v>
      </c>
      <c r="F442" s="15" t="s">
        <v>758</v>
      </c>
      <c r="G442" s="15" t="s">
        <v>758</v>
      </c>
      <c r="H442" s="15" t="s">
        <v>758</v>
      </c>
      <c r="I442" s="15" t="s">
        <v>2895</v>
      </c>
      <c r="J442" s="15" t="s">
        <v>755</v>
      </c>
      <c r="K442" s="15" t="s">
        <v>2895</v>
      </c>
      <c r="L442" s="15" t="s">
        <v>755</v>
      </c>
      <c r="M442" s="15" t="str">
        <f t="shared" si="6"/>
        <v>insert into dbo.LifeInsJobCode (JobCode,JobGrade,JobDescription,JobGroupCode1,JobGroupName1,JobGroupCode2,JobGroupName2,CreateTime,Creator,ModifyTime,Modifier) VALUES ('08040040','4','空氣調節器之裝修人員','','','','',getdate(),'Alvin',getdate(),'Alvin')</v>
      </c>
    </row>
    <row r="443" spans="2:13" ht="13.8">
      <c r="B443" s="15" t="s">
        <v>1630</v>
      </c>
      <c r="C443" s="15">
        <v>6</v>
      </c>
      <c r="D443" s="15" t="s">
        <v>1631</v>
      </c>
      <c r="E443" s="15" t="s">
        <v>758</v>
      </c>
      <c r="F443" s="15" t="s">
        <v>758</v>
      </c>
      <c r="G443" s="15" t="s">
        <v>758</v>
      </c>
      <c r="H443" s="15" t="s">
        <v>758</v>
      </c>
      <c r="I443" s="15" t="s">
        <v>2895</v>
      </c>
      <c r="J443" s="15" t="s">
        <v>755</v>
      </c>
      <c r="K443" s="15" t="s">
        <v>2895</v>
      </c>
      <c r="L443" s="15" t="s">
        <v>755</v>
      </c>
      <c r="M443" s="15" t="str">
        <f t="shared" si="6"/>
        <v>insert into dbo.LifeInsJobCode (JobCode,JobGrade,JobDescription,JobGroupCode1,JobGroupName1,JobGroupCode2,JobGroupName2,CreateTime,Creator,ModifyTime,Modifier) VALUES ('08040050','6','有關高壓電之工作人員','','','','',getdate(),'Alvin',getdate(),'Alvin')</v>
      </c>
    </row>
    <row r="444" spans="2:13" ht="13.8">
      <c r="B444" s="15" t="s">
        <v>1632</v>
      </c>
      <c r="C444" s="15">
        <v>4</v>
      </c>
      <c r="D444" s="15" t="s">
        <v>1633</v>
      </c>
      <c r="E444" s="15" t="s">
        <v>758</v>
      </c>
      <c r="F444" s="15" t="s">
        <v>758</v>
      </c>
      <c r="G444" s="15" t="s">
        <v>758</v>
      </c>
      <c r="H444" s="15" t="s">
        <v>758</v>
      </c>
      <c r="I444" s="15" t="s">
        <v>2895</v>
      </c>
      <c r="J444" s="15" t="s">
        <v>755</v>
      </c>
      <c r="K444" s="15" t="s">
        <v>2895</v>
      </c>
      <c r="L444" s="15" t="s">
        <v>755</v>
      </c>
      <c r="M444" s="15" t="str">
        <f t="shared" si="6"/>
        <v>insert into dbo.LifeInsJobCode (JobCode,JobGrade,JobDescription,JobGroupCode1,JobGroupName1,JobGroupCode2,JobGroupName2,CreateTime,Creator,ModifyTime,Modifier) VALUES ('08040060','4','冷凍修理工','','','','',getdate(),'Alvin',getdate(),'Alvin')</v>
      </c>
    </row>
    <row r="445" spans="2:13" ht="13.8">
      <c r="B445" s="15" t="s">
        <v>1634</v>
      </c>
      <c r="C445" s="15">
        <v>1</v>
      </c>
      <c r="D445" s="15" t="s">
        <v>1504</v>
      </c>
      <c r="E445" s="15" t="s">
        <v>758</v>
      </c>
      <c r="F445" s="15" t="s">
        <v>758</v>
      </c>
      <c r="G445" s="15" t="s">
        <v>758</v>
      </c>
      <c r="H445" s="15" t="s">
        <v>758</v>
      </c>
      <c r="I445" s="15" t="s">
        <v>2895</v>
      </c>
      <c r="J445" s="15" t="s">
        <v>755</v>
      </c>
      <c r="K445" s="15" t="s">
        <v>2895</v>
      </c>
      <c r="L445" s="15" t="s">
        <v>755</v>
      </c>
      <c r="M445" s="15" t="str">
        <f t="shared" si="6"/>
        <v>insert into dbo.LifeInsJobCode (JobCode,JobGrade,JobDescription,JobGroupCode1,JobGroupName1,JobGroupCode2,JobGroupName2,CreateTime,Creator,ModifyTime,Modifier) VALUES ('08040070','1','負責人(不需到現場)','','','','',getdate(),'Alvin',getdate(),'Alvin')</v>
      </c>
    </row>
    <row r="446" spans="2:13" ht="13.8">
      <c r="B446" s="15" t="s">
        <v>1635</v>
      </c>
      <c r="C446" s="15">
        <v>2</v>
      </c>
      <c r="D446" s="15" t="s">
        <v>3291</v>
      </c>
      <c r="E446" s="15" t="s">
        <v>758</v>
      </c>
      <c r="F446" s="15" t="s">
        <v>758</v>
      </c>
      <c r="G446" s="15" t="s">
        <v>758</v>
      </c>
      <c r="H446" s="15" t="s">
        <v>758</v>
      </c>
      <c r="I446" s="15" t="s">
        <v>2895</v>
      </c>
      <c r="J446" s="15" t="s">
        <v>755</v>
      </c>
      <c r="K446" s="15" t="s">
        <v>2895</v>
      </c>
      <c r="L446" s="15" t="s">
        <v>755</v>
      </c>
      <c r="M446" s="15" t="str">
        <f t="shared" si="6"/>
        <v>insert into dbo.LifeInsJobCode (JobCode,JobGrade,JobDescription,JobGroupCode1,JobGroupName1,JobGroupCode2,JobGroupName2,CreateTime,Creator,ModifyTime,Modifier) VALUES ('08040080','2','負責人(需現場指導或實際參與工作)','','','','',getdate(),'Alvin',getdate(),'Alvin')</v>
      </c>
    </row>
    <row r="447" spans="2:13" ht="13.8">
      <c r="B447" s="15" t="s">
        <v>1636</v>
      </c>
      <c r="C447" s="15">
        <v>2</v>
      </c>
      <c r="D447" s="15" t="s">
        <v>1508</v>
      </c>
      <c r="E447" s="15" t="s">
        <v>758</v>
      </c>
      <c r="F447" s="15" t="s">
        <v>758</v>
      </c>
      <c r="G447" s="15" t="s">
        <v>758</v>
      </c>
      <c r="H447" s="15" t="s">
        <v>758</v>
      </c>
      <c r="I447" s="15" t="s">
        <v>2895</v>
      </c>
      <c r="J447" s="15" t="s">
        <v>755</v>
      </c>
      <c r="K447" s="15" t="s">
        <v>2895</v>
      </c>
      <c r="L447" s="15" t="s">
        <v>755</v>
      </c>
      <c r="M447" s="15" t="str">
        <f t="shared" si="6"/>
        <v>insert into dbo.LifeInsJobCode (JobCode,JobGrade,JobDescription,JobGroupCode1,JobGroupName1,JobGroupCode2,JobGroupName2,CreateTime,Creator,ModifyTime,Modifier) VALUES ('08040090','2','品管人員','','','','',getdate(),'Alvin',getdate(),'Alvin')</v>
      </c>
    </row>
    <row r="448" spans="2:13" ht="13.8">
      <c r="B448" s="15" t="s">
        <v>1637</v>
      </c>
      <c r="C448" s="15">
        <v>3</v>
      </c>
      <c r="D448" s="15" t="s">
        <v>1638</v>
      </c>
      <c r="E448" s="15" t="s">
        <v>758</v>
      </c>
      <c r="F448" s="15" t="s">
        <v>758</v>
      </c>
      <c r="G448" s="15" t="s">
        <v>758</v>
      </c>
      <c r="H448" s="15" t="s">
        <v>758</v>
      </c>
      <c r="I448" s="15" t="s">
        <v>2895</v>
      </c>
      <c r="J448" s="15" t="s">
        <v>755</v>
      </c>
      <c r="K448" s="15" t="s">
        <v>2895</v>
      </c>
      <c r="L448" s="15" t="s">
        <v>755</v>
      </c>
      <c r="M448" s="15" t="str">
        <f t="shared" si="6"/>
        <v>insert into dbo.LifeInsJobCode (JobCode,JobGrade,JobDescription,JobGroupCode1,JobGroupName1,JobGroupCode2,JobGroupName2,CreateTime,Creator,ModifyTime,Modifier) VALUES ('08040100','3','家電用品維修','','','','',getdate(),'Alvin',getdate(),'Alvin')</v>
      </c>
    </row>
    <row r="449" spans="2:13" ht="13.8">
      <c r="B449" s="15" t="s">
        <v>1639</v>
      </c>
      <c r="C449" s="15">
        <v>4</v>
      </c>
      <c r="D449" s="15" t="s">
        <v>1640</v>
      </c>
      <c r="E449" s="15" t="s">
        <v>758</v>
      </c>
      <c r="F449" s="15" t="s">
        <v>758</v>
      </c>
      <c r="G449" s="15" t="s">
        <v>758</v>
      </c>
      <c r="H449" s="15" t="s">
        <v>758</v>
      </c>
      <c r="I449" s="15" t="s">
        <v>2895</v>
      </c>
      <c r="J449" s="15" t="s">
        <v>755</v>
      </c>
      <c r="K449" s="15" t="s">
        <v>2895</v>
      </c>
      <c r="L449" s="15" t="s">
        <v>755</v>
      </c>
      <c r="M449" s="15" t="str">
        <f t="shared" si="6"/>
        <v>insert into dbo.LifeInsJobCode (JobCode,JobGrade,JobDescription,JobGroupCode1,JobGroupName1,JobGroupCode2,JobGroupName2,CreateTime,Creator,ModifyTime,Modifier) VALUES ('08040110','4','室內消防器材裝修人員','','','','',getdate(),'Alvin',getdate(),'Alvin')</v>
      </c>
    </row>
    <row r="450" spans="2:13" ht="13.8">
      <c r="B450" s="15" t="s">
        <v>1641</v>
      </c>
      <c r="C450" s="15">
        <v>4</v>
      </c>
      <c r="D450" s="15" t="s">
        <v>1642</v>
      </c>
      <c r="E450" s="15" t="s">
        <v>758</v>
      </c>
      <c r="F450" s="15" t="s">
        <v>758</v>
      </c>
      <c r="G450" s="15" t="s">
        <v>758</v>
      </c>
      <c r="H450" s="15" t="s">
        <v>758</v>
      </c>
      <c r="I450" s="15" t="s">
        <v>2895</v>
      </c>
      <c r="J450" s="15" t="s">
        <v>755</v>
      </c>
      <c r="K450" s="15" t="s">
        <v>2895</v>
      </c>
      <c r="L450" s="15" t="s">
        <v>755</v>
      </c>
      <c r="M450" s="15" t="str">
        <f t="shared" ref="M450:M513" si="7">$M$1 &amp; " VALUES ('"&amp;B450&amp;"','"&amp;C450&amp;"','"&amp;D450&amp;"','"&amp;E450&amp;"','"&amp;F450&amp;"','"&amp;G450&amp;"','"&amp;H450&amp;"',"&amp;I450&amp;",'"&amp;J450&amp;"',"&amp;K450&amp;",'"&amp;L450&amp;"')"</f>
        <v>insert into dbo.LifeInsJobCode (JobCode,JobGrade,JobDescription,JobGroupCode1,JobGroupName1,JobGroupCode2,JobGroupName2,CreateTime,Creator,ModifyTime,Modifier) VALUES ('08040120','4','電機裝配修理人員','','','','',getdate(),'Alvin',getdate(),'Alvin')</v>
      </c>
    </row>
    <row r="451" spans="2:13" ht="13.8">
      <c r="B451" s="15" t="s">
        <v>1643</v>
      </c>
      <c r="C451" s="15">
        <v>3</v>
      </c>
      <c r="D451" s="15" t="s">
        <v>1644</v>
      </c>
      <c r="E451" s="15" t="s">
        <v>758</v>
      </c>
      <c r="F451" s="15" t="s">
        <v>758</v>
      </c>
      <c r="G451" s="15" t="s">
        <v>758</v>
      </c>
      <c r="H451" s="15" t="s">
        <v>758</v>
      </c>
      <c r="I451" s="15" t="s">
        <v>2895</v>
      </c>
      <c r="J451" s="15" t="s">
        <v>755</v>
      </c>
      <c r="K451" s="15" t="s">
        <v>2895</v>
      </c>
      <c r="L451" s="15" t="s">
        <v>755</v>
      </c>
      <c r="M451" s="15" t="str">
        <f t="shared" si="7"/>
        <v>insert into dbo.LifeInsJobCode (JobCode,JobGrade,JobDescription,JobGroupCode1,JobGroupName1,JobGroupCode2,JobGroupName2,CreateTime,Creator,ModifyTime,Modifier) VALUES ('08040130','3','室內消防器材檢測(不含安裝)','','','','',getdate(),'Alvin',getdate(),'Alvin')</v>
      </c>
    </row>
    <row r="452" spans="2:13" ht="13.8">
      <c r="B452" s="15" t="s">
        <v>1645</v>
      </c>
      <c r="C452" s="15">
        <v>5</v>
      </c>
      <c r="D452" s="15" t="s">
        <v>1646</v>
      </c>
      <c r="E452" s="15" t="s">
        <v>758</v>
      </c>
      <c r="F452" s="15" t="s">
        <v>758</v>
      </c>
      <c r="G452" s="15" t="s">
        <v>758</v>
      </c>
      <c r="H452" s="15" t="s">
        <v>758</v>
      </c>
      <c r="I452" s="15" t="s">
        <v>2895</v>
      </c>
      <c r="J452" s="15" t="s">
        <v>755</v>
      </c>
      <c r="K452" s="15" t="s">
        <v>2895</v>
      </c>
      <c r="L452" s="15" t="s">
        <v>755</v>
      </c>
      <c r="M452" s="15" t="str">
        <f t="shared" si="7"/>
        <v>insert into dbo.LifeInsJobCode (JobCode,JobGrade,JobDescription,JobGroupCode1,JobGroupName1,JobGroupCode2,JobGroupName2,CreateTime,Creator,ModifyTime,Modifier) VALUES ('08040140','5','變壓器裝置維修','','','','',getdate(),'Alvin',getdate(),'Alvin')</v>
      </c>
    </row>
    <row r="453" spans="2:13" ht="13.8">
      <c r="B453" s="15" t="s">
        <v>1647</v>
      </c>
      <c r="C453" s="15">
        <v>4</v>
      </c>
      <c r="D453" s="15" t="s">
        <v>1648</v>
      </c>
      <c r="E453" s="15" t="s">
        <v>758</v>
      </c>
      <c r="F453" s="15" t="s">
        <v>758</v>
      </c>
      <c r="G453" s="15" t="s">
        <v>758</v>
      </c>
      <c r="H453" s="15" t="s">
        <v>758</v>
      </c>
      <c r="I453" s="15" t="s">
        <v>2895</v>
      </c>
      <c r="J453" s="15" t="s">
        <v>755</v>
      </c>
      <c r="K453" s="15" t="s">
        <v>2895</v>
      </c>
      <c r="L453" s="15" t="s">
        <v>755</v>
      </c>
      <c r="M453" s="15" t="str">
        <f t="shared" si="7"/>
        <v>insert into dbo.LifeInsJobCode (JobCode,JobGrade,JobDescription,JobGroupCode1,JobGroupName1,JobGroupCode2,JobGroupName2,CreateTime,Creator,ModifyTime,Modifier) VALUES ('08040150','4','烤漆','','','','',getdate(),'Alvin',getdate(),'Alvin')</v>
      </c>
    </row>
    <row r="454" spans="2:13" ht="13.8">
      <c r="B454" s="15" t="s">
        <v>1649</v>
      </c>
      <c r="C454" s="15">
        <v>2</v>
      </c>
      <c r="D454" s="15" t="s">
        <v>958</v>
      </c>
      <c r="E454" s="15" t="s">
        <v>758</v>
      </c>
      <c r="F454" s="15" t="s">
        <v>758</v>
      </c>
      <c r="G454" s="15" t="s">
        <v>1650</v>
      </c>
      <c r="H454" s="15" t="s">
        <v>1651</v>
      </c>
      <c r="I454" s="15" t="s">
        <v>2895</v>
      </c>
      <c r="J454" s="15" t="s">
        <v>755</v>
      </c>
      <c r="K454" s="15" t="s">
        <v>2895</v>
      </c>
      <c r="L454" s="15" t="s">
        <v>755</v>
      </c>
      <c r="M454" s="15" t="str">
        <f t="shared" si="7"/>
        <v>insert into dbo.LifeInsJobCode (JobCode,JobGrade,JobDescription,JobGroupCode1,JobGroupName1,JobGroupCode2,JobGroupName2,CreateTime,Creator,ModifyTime,Modifier) VALUES ('08050010','2','工程師','','','0805','塑膠、橡膠業',getdate(),'Alvin',getdate(),'Alvin')</v>
      </c>
    </row>
    <row r="455" spans="2:13" ht="13.8">
      <c r="B455" s="15" t="s">
        <v>1652</v>
      </c>
      <c r="C455" s="15">
        <v>2</v>
      </c>
      <c r="D455" s="15" t="s">
        <v>1495</v>
      </c>
      <c r="E455" s="15" t="s">
        <v>758</v>
      </c>
      <c r="F455" s="15" t="s">
        <v>758</v>
      </c>
      <c r="G455" s="15" t="s">
        <v>758</v>
      </c>
      <c r="H455" s="15" t="s">
        <v>758</v>
      </c>
      <c r="I455" s="15" t="s">
        <v>2895</v>
      </c>
      <c r="J455" s="15" t="s">
        <v>755</v>
      </c>
      <c r="K455" s="15" t="s">
        <v>2895</v>
      </c>
      <c r="L455" s="15" t="s">
        <v>755</v>
      </c>
      <c r="M455" s="15" t="str">
        <f t="shared" si="7"/>
        <v>insert into dbo.LifeInsJobCode (JobCode,JobGrade,JobDescription,JobGroupCode1,JobGroupName1,JobGroupCode2,JobGroupName2,CreateTime,Creator,ModifyTime,Modifier) VALUES ('08050020','2','技師','','','','',getdate(),'Alvin',getdate(),'Alvin')</v>
      </c>
    </row>
    <row r="456" spans="2:13" ht="13.8">
      <c r="B456" s="15" t="s">
        <v>1653</v>
      </c>
      <c r="C456" s="15">
        <v>2</v>
      </c>
      <c r="D456" s="15" t="s">
        <v>1424</v>
      </c>
      <c r="E456" s="15" t="s">
        <v>758</v>
      </c>
      <c r="F456" s="15" t="s">
        <v>758</v>
      </c>
      <c r="G456" s="15" t="s">
        <v>758</v>
      </c>
      <c r="H456" s="15" t="s">
        <v>758</v>
      </c>
      <c r="I456" s="15" t="s">
        <v>2895</v>
      </c>
      <c r="J456" s="15" t="s">
        <v>755</v>
      </c>
      <c r="K456" s="15" t="s">
        <v>2895</v>
      </c>
      <c r="L456" s="15" t="s">
        <v>755</v>
      </c>
      <c r="M456" s="15" t="str">
        <f t="shared" si="7"/>
        <v>insert into dbo.LifeInsJobCode (JobCode,JobGrade,JobDescription,JobGroupCode1,JobGroupName1,JobGroupCode2,JobGroupName2,CreateTime,Creator,ModifyTime,Modifier) VALUES ('08050030','2','領班、監工','','','','',getdate(),'Alvin',getdate(),'Alvin')</v>
      </c>
    </row>
    <row r="457" spans="2:13" ht="13.8">
      <c r="B457" s="15" t="s">
        <v>1654</v>
      </c>
      <c r="C457" s="15">
        <v>3</v>
      </c>
      <c r="D457" s="15" t="s">
        <v>1655</v>
      </c>
      <c r="E457" s="15" t="s">
        <v>758</v>
      </c>
      <c r="F457" s="15" t="s">
        <v>758</v>
      </c>
      <c r="G457" s="15" t="s">
        <v>758</v>
      </c>
      <c r="H457" s="15" t="s">
        <v>758</v>
      </c>
      <c r="I457" s="15" t="s">
        <v>2895</v>
      </c>
      <c r="J457" s="15" t="s">
        <v>755</v>
      </c>
      <c r="K457" s="15" t="s">
        <v>2895</v>
      </c>
      <c r="L457" s="15" t="s">
        <v>755</v>
      </c>
      <c r="M457" s="15" t="str">
        <f t="shared" si="7"/>
        <v>insert into dbo.LifeInsJobCode (JobCode,JobGrade,JobDescription,JobGroupCode1,JobGroupName1,JobGroupCode2,JobGroupName2,CreateTime,Creator,ModifyTime,Modifier) VALUES ('08050040','3','一般工人','','','','',getdate(),'Alvin',getdate(),'Alvin')</v>
      </c>
    </row>
    <row r="458" spans="2:13" ht="13.8">
      <c r="B458" s="15" t="s">
        <v>1656</v>
      </c>
      <c r="C458" s="15">
        <v>3</v>
      </c>
      <c r="D458" s="15" t="s">
        <v>3292</v>
      </c>
      <c r="E458" s="15" t="s">
        <v>758</v>
      </c>
      <c r="F458" s="15" t="s">
        <v>758</v>
      </c>
      <c r="G458" s="15" t="s">
        <v>758</v>
      </c>
      <c r="H458" s="15" t="s">
        <v>758</v>
      </c>
      <c r="I458" s="15" t="s">
        <v>2895</v>
      </c>
      <c r="J458" s="15" t="s">
        <v>755</v>
      </c>
      <c r="K458" s="15" t="s">
        <v>2895</v>
      </c>
      <c r="L458" s="15" t="s">
        <v>755</v>
      </c>
      <c r="M458" s="15" t="str">
        <f t="shared" si="7"/>
        <v>insert into dbo.LifeInsJobCode (JobCode,JobGrade,JobDescription,JobGroupCode1,JobGroupName1,JobGroupCode2,JobGroupName2,CreateTime,Creator,ModifyTime,Modifier) VALUES ('08050050','3','塑膠、橡膠射出成型工人(自動)','','','','',getdate(),'Alvin',getdate(),'Alvin')</v>
      </c>
    </row>
    <row r="459" spans="2:13" ht="13.8">
      <c r="B459" s="15" t="s">
        <v>1657</v>
      </c>
      <c r="C459" s="15">
        <v>4</v>
      </c>
      <c r="D459" s="15" t="s">
        <v>3293</v>
      </c>
      <c r="E459" s="15" t="s">
        <v>758</v>
      </c>
      <c r="F459" s="15" t="s">
        <v>758</v>
      </c>
      <c r="G459" s="15" t="s">
        <v>758</v>
      </c>
      <c r="H459" s="15" t="s">
        <v>758</v>
      </c>
      <c r="I459" s="15" t="s">
        <v>2895</v>
      </c>
      <c r="J459" s="15" t="s">
        <v>755</v>
      </c>
      <c r="K459" s="15" t="s">
        <v>2895</v>
      </c>
      <c r="L459" s="15" t="s">
        <v>755</v>
      </c>
      <c r="M459" s="15" t="str">
        <f t="shared" si="7"/>
        <v>insert into dbo.LifeInsJobCode (JobCode,JobGrade,JobDescription,JobGroupCode1,JobGroupName1,JobGroupCode2,JobGroupName2,CreateTime,Creator,ModifyTime,Modifier) VALUES ('08050060','4','塑膠、橡膠射出成型工人(其他)','','','','',getdate(),'Alvin',getdate(),'Alvin')</v>
      </c>
    </row>
    <row r="460" spans="2:13" ht="13.8">
      <c r="B460" s="15" t="s">
        <v>1658</v>
      </c>
      <c r="C460" s="15">
        <v>1</v>
      </c>
      <c r="D460" s="15" t="s">
        <v>1504</v>
      </c>
      <c r="E460" s="15" t="s">
        <v>758</v>
      </c>
      <c r="F460" s="15" t="s">
        <v>758</v>
      </c>
      <c r="G460" s="15" t="s">
        <v>758</v>
      </c>
      <c r="H460" s="15" t="s">
        <v>758</v>
      </c>
      <c r="I460" s="15" t="s">
        <v>2895</v>
      </c>
      <c r="J460" s="15" t="s">
        <v>755</v>
      </c>
      <c r="K460" s="15" t="s">
        <v>2895</v>
      </c>
      <c r="L460" s="15" t="s">
        <v>755</v>
      </c>
      <c r="M460" s="15" t="str">
        <f t="shared" si="7"/>
        <v>insert into dbo.LifeInsJobCode (JobCode,JobGrade,JobDescription,JobGroupCode1,JobGroupName1,JobGroupCode2,JobGroupName2,CreateTime,Creator,ModifyTime,Modifier) VALUES ('08050070','1','負責人(不需到現場)','','','','',getdate(),'Alvin',getdate(),'Alvin')</v>
      </c>
    </row>
    <row r="461" spans="2:13" ht="13.8">
      <c r="B461" s="15" t="s">
        <v>1659</v>
      </c>
      <c r="C461" s="15">
        <v>2</v>
      </c>
      <c r="D461" s="15" t="s">
        <v>3291</v>
      </c>
      <c r="E461" s="15" t="s">
        <v>758</v>
      </c>
      <c r="F461" s="15" t="s">
        <v>758</v>
      </c>
      <c r="G461" s="15" t="s">
        <v>758</v>
      </c>
      <c r="H461" s="15" t="s">
        <v>758</v>
      </c>
      <c r="I461" s="15" t="s">
        <v>2895</v>
      </c>
      <c r="J461" s="15" t="s">
        <v>755</v>
      </c>
      <c r="K461" s="15" t="s">
        <v>2895</v>
      </c>
      <c r="L461" s="15" t="s">
        <v>755</v>
      </c>
      <c r="M461" s="15" t="str">
        <f t="shared" si="7"/>
        <v>insert into dbo.LifeInsJobCode (JobCode,JobGrade,JobDescription,JobGroupCode1,JobGroupName1,JobGroupCode2,JobGroupName2,CreateTime,Creator,ModifyTime,Modifier) VALUES ('08050080','2','負責人(需現場指導或實際參與工作)','','','','',getdate(),'Alvin',getdate(),'Alvin')</v>
      </c>
    </row>
    <row r="462" spans="2:13" ht="13.8">
      <c r="B462" s="15" t="s">
        <v>1660</v>
      </c>
      <c r="C462" s="15">
        <v>2</v>
      </c>
      <c r="D462" s="15" t="s">
        <v>1508</v>
      </c>
      <c r="E462" s="15" t="s">
        <v>758</v>
      </c>
      <c r="F462" s="15" t="s">
        <v>758</v>
      </c>
      <c r="G462" s="15" t="s">
        <v>758</v>
      </c>
      <c r="H462" s="15" t="s">
        <v>758</v>
      </c>
      <c r="I462" s="15" t="s">
        <v>2895</v>
      </c>
      <c r="J462" s="15" t="s">
        <v>755</v>
      </c>
      <c r="K462" s="15" t="s">
        <v>2895</v>
      </c>
      <c r="L462" s="15" t="s">
        <v>755</v>
      </c>
      <c r="M462" s="15" t="str">
        <f t="shared" si="7"/>
        <v>insert into dbo.LifeInsJobCode (JobCode,JobGrade,JobDescription,JobGroupCode1,JobGroupName1,JobGroupCode2,JobGroupName2,CreateTime,Creator,ModifyTime,Modifier) VALUES ('08050090','2','品管人員','','','','',getdate(),'Alvin',getdate(),'Alvin')</v>
      </c>
    </row>
    <row r="463" spans="2:13" ht="13.8">
      <c r="B463" s="15" t="s">
        <v>1661</v>
      </c>
      <c r="C463" s="15">
        <v>3</v>
      </c>
      <c r="D463" s="15" t="s">
        <v>1662</v>
      </c>
      <c r="E463" s="15" t="s">
        <v>758</v>
      </c>
      <c r="F463" s="15" t="s">
        <v>758</v>
      </c>
      <c r="G463" s="15" t="s">
        <v>758</v>
      </c>
      <c r="H463" s="15" t="s">
        <v>758</v>
      </c>
      <c r="I463" s="15" t="s">
        <v>2895</v>
      </c>
      <c r="J463" s="15" t="s">
        <v>755</v>
      </c>
      <c r="K463" s="15" t="s">
        <v>2895</v>
      </c>
      <c r="L463" s="15" t="s">
        <v>755</v>
      </c>
      <c r="M463" s="15" t="str">
        <f t="shared" si="7"/>
        <v>insert into dbo.LifeInsJobCode (JobCode,JobGrade,JobDescription,JobGroupCode1,JobGroupName1,JobGroupCode2,JobGroupName2,CreateTime,Creator,ModifyTime,Modifier) VALUES ('08050100','3','塑膠袋製造、印刷','','','','',getdate(),'Alvin',getdate(),'Alvin')</v>
      </c>
    </row>
    <row r="464" spans="2:13" ht="13.8">
      <c r="B464" s="15" t="s">
        <v>1663</v>
      </c>
      <c r="C464" s="15">
        <v>3</v>
      </c>
      <c r="D464" s="15" t="s">
        <v>1664</v>
      </c>
      <c r="E464" s="15" t="s">
        <v>758</v>
      </c>
      <c r="F464" s="15" t="s">
        <v>758</v>
      </c>
      <c r="G464" s="15" t="s">
        <v>758</v>
      </c>
      <c r="H464" s="15" t="s">
        <v>758</v>
      </c>
      <c r="I464" s="15" t="s">
        <v>2895</v>
      </c>
      <c r="J464" s="15" t="s">
        <v>755</v>
      </c>
      <c r="K464" s="15" t="s">
        <v>2895</v>
      </c>
      <c r="L464" s="15" t="s">
        <v>755</v>
      </c>
      <c r="M464" s="15" t="str">
        <f t="shared" si="7"/>
        <v>insert into dbo.LifeInsJobCode (JobCode,JobGrade,JobDescription,JobGroupCode1,JobGroupName1,JobGroupCode2,JobGroupName2,CreateTime,Creator,ModifyTime,Modifier) VALUES ('08050110','3','高週波充氣玩具製造','','','','',getdate(),'Alvin',getdate(),'Alvin')</v>
      </c>
    </row>
    <row r="465" spans="2:13" ht="13.8">
      <c r="B465" s="15" t="s">
        <v>1665</v>
      </c>
      <c r="C465" s="15">
        <v>3</v>
      </c>
      <c r="D465" s="15" t="s">
        <v>1666</v>
      </c>
      <c r="E465" s="15" t="s">
        <v>758</v>
      </c>
      <c r="F465" s="15" t="s">
        <v>758</v>
      </c>
      <c r="G465" s="15" t="s">
        <v>758</v>
      </c>
      <c r="H465" s="15" t="s">
        <v>758</v>
      </c>
      <c r="I465" s="15" t="s">
        <v>2895</v>
      </c>
      <c r="J465" s="15" t="s">
        <v>755</v>
      </c>
      <c r="K465" s="15" t="s">
        <v>2895</v>
      </c>
      <c r="L465" s="15" t="s">
        <v>755</v>
      </c>
      <c r="M465" s="15" t="str">
        <f t="shared" si="7"/>
        <v>insert into dbo.LifeInsJobCode (JobCode,JobGrade,JobDescription,JobGroupCode1,JobGroupName1,JobGroupCode2,JobGroupName2,CreateTime,Creator,ModifyTime,Modifier) VALUES ('08050120','3','鞋模製造工人','','','','',getdate(),'Alvin',getdate(),'Alvin')</v>
      </c>
    </row>
    <row r="466" spans="2:13" ht="13.8">
      <c r="B466" s="15" t="s">
        <v>1667</v>
      </c>
      <c r="C466" s="15">
        <v>3</v>
      </c>
      <c r="D466" s="15" t="s">
        <v>1668</v>
      </c>
      <c r="E466" s="15" t="s">
        <v>758</v>
      </c>
      <c r="F466" s="15" t="s">
        <v>758</v>
      </c>
      <c r="G466" s="15" t="s">
        <v>758</v>
      </c>
      <c r="H466" s="15" t="s">
        <v>758</v>
      </c>
      <c r="I466" s="15" t="s">
        <v>2895</v>
      </c>
      <c r="J466" s="15" t="s">
        <v>755</v>
      </c>
      <c r="K466" s="15" t="s">
        <v>2895</v>
      </c>
      <c r="L466" s="15" t="s">
        <v>755</v>
      </c>
      <c r="M466" s="15" t="str">
        <f t="shared" si="7"/>
        <v>insert into dbo.LifeInsJobCode (JobCode,JobGrade,JobDescription,JobGroupCode1,JobGroupName1,JobGroupCode2,JobGroupName2,CreateTime,Creator,ModifyTime,Modifier) VALUES ('08050130','3','高爾夫球、乒乓球製造','','','','',getdate(),'Alvin',getdate(),'Alvin')</v>
      </c>
    </row>
    <row r="467" spans="2:13" ht="13.8">
      <c r="B467" s="15" t="s">
        <v>1669</v>
      </c>
      <c r="C467" s="15">
        <v>4</v>
      </c>
      <c r="D467" s="15" t="s">
        <v>1670</v>
      </c>
      <c r="E467" s="15" t="s">
        <v>758</v>
      </c>
      <c r="F467" s="15" t="s">
        <v>758</v>
      </c>
      <c r="G467" s="15" t="s">
        <v>758</v>
      </c>
      <c r="H467" s="15" t="s">
        <v>758</v>
      </c>
      <c r="I467" s="15" t="s">
        <v>2895</v>
      </c>
      <c r="J467" s="15" t="s">
        <v>755</v>
      </c>
      <c r="K467" s="15" t="s">
        <v>2895</v>
      </c>
      <c r="L467" s="15" t="s">
        <v>755</v>
      </c>
      <c r="M467" s="15" t="str">
        <f t="shared" si="7"/>
        <v>insert into dbo.LifeInsJobCode (JobCode,JobGrade,JobDescription,JobGroupCode1,JobGroupName1,JobGroupCode2,JobGroupName2,CreateTime,Creator,ModifyTime,Modifier) VALUES ('08050140','4','塑膠、橡膠射出機器維修','','','','',getdate(),'Alvin',getdate(),'Alvin')</v>
      </c>
    </row>
    <row r="468" spans="2:13" ht="13.8">
      <c r="B468" s="15" t="s">
        <v>1671</v>
      </c>
      <c r="C468" s="15">
        <v>2</v>
      </c>
      <c r="D468" s="15" t="s">
        <v>958</v>
      </c>
      <c r="E468" s="15" t="s">
        <v>758</v>
      </c>
      <c r="F468" s="15" t="s">
        <v>758</v>
      </c>
      <c r="G468" s="15" t="s">
        <v>1672</v>
      </c>
      <c r="H468" s="15" t="s">
        <v>3394</v>
      </c>
      <c r="I468" s="15" t="s">
        <v>2895</v>
      </c>
      <c r="J468" s="15" t="s">
        <v>755</v>
      </c>
      <c r="K468" s="15" t="s">
        <v>2895</v>
      </c>
      <c r="L468" s="15" t="s">
        <v>755</v>
      </c>
      <c r="M468" s="15" t="str">
        <f t="shared" si="7"/>
        <v>insert into dbo.LifeInsJobCode (JobCode,JobGrade,JobDescription,JobGroupCode1,JobGroupName1,JobGroupCode2,JobGroupName2,CreateTime,Creator,ModifyTime,Modifier) VALUES ('08060010','2','工程師','','','0806','水泥業(包括水泥、石膏、石灰)',getdate(),'Alvin',getdate(),'Alvin')</v>
      </c>
    </row>
    <row r="469" spans="2:13" ht="13.8">
      <c r="B469" s="15" t="s">
        <v>1673</v>
      </c>
      <c r="C469" s="15">
        <v>2</v>
      </c>
      <c r="D469" s="15" t="s">
        <v>1495</v>
      </c>
      <c r="E469" s="15" t="s">
        <v>758</v>
      </c>
      <c r="F469" s="15" t="s">
        <v>758</v>
      </c>
      <c r="G469" s="15" t="s">
        <v>758</v>
      </c>
      <c r="H469" s="15" t="s">
        <v>758</v>
      </c>
      <c r="I469" s="15" t="s">
        <v>2895</v>
      </c>
      <c r="J469" s="15" t="s">
        <v>755</v>
      </c>
      <c r="K469" s="15" t="s">
        <v>2895</v>
      </c>
      <c r="L469" s="15" t="s">
        <v>755</v>
      </c>
      <c r="M469" s="15" t="str">
        <f t="shared" si="7"/>
        <v>insert into dbo.LifeInsJobCode (JobCode,JobGrade,JobDescription,JobGroupCode1,JobGroupName1,JobGroupCode2,JobGroupName2,CreateTime,Creator,ModifyTime,Modifier) VALUES ('08060020','2','技師','','','','',getdate(),'Alvin',getdate(),'Alvin')</v>
      </c>
    </row>
    <row r="470" spans="2:13" ht="13.8">
      <c r="B470" s="15" t="s">
        <v>1674</v>
      </c>
      <c r="C470" s="15">
        <v>3</v>
      </c>
      <c r="D470" s="15" t="s">
        <v>1424</v>
      </c>
      <c r="E470" s="15" t="s">
        <v>758</v>
      </c>
      <c r="F470" s="15" t="s">
        <v>758</v>
      </c>
      <c r="G470" s="15" t="s">
        <v>758</v>
      </c>
      <c r="H470" s="15" t="s">
        <v>758</v>
      </c>
      <c r="I470" s="15" t="s">
        <v>2895</v>
      </c>
      <c r="J470" s="15" t="s">
        <v>755</v>
      </c>
      <c r="K470" s="15" t="s">
        <v>2895</v>
      </c>
      <c r="L470" s="15" t="s">
        <v>755</v>
      </c>
      <c r="M470" s="15" t="str">
        <f t="shared" si="7"/>
        <v>insert into dbo.LifeInsJobCode (JobCode,JobGrade,JobDescription,JobGroupCode1,JobGroupName1,JobGroupCode2,JobGroupName2,CreateTime,Creator,ModifyTime,Modifier) VALUES ('08060030','3','領班、監工','','','','',getdate(),'Alvin',getdate(),'Alvin')</v>
      </c>
    </row>
    <row r="471" spans="2:13" ht="13.8">
      <c r="B471" s="15" t="s">
        <v>1675</v>
      </c>
      <c r="C471" s="15">
        <v>4</v>
      </c>
      <c r="D471" s="15" t="s">
        <v>915</v>
      </c>
      <c r="E471" s="15" t="s">
        <v>758</v>
      </c>
      <c r="F471" s="15" t="s">
        <v>758</v>
      </c>
      <c r="G471" s="15" t="s">
        <v>758</v>
      </c>
      <c r="H471" s="15" t="s">
        <v>758</v>
      </c>
      <c r="I471" s="15" t="s">
        <v>2895</v>
      </c>
      <c r="J471" s="15" t="s">
        <v>755</v>
      </c>
      <c r="K471" s="15" t="s">
        <v>2895</v>
      </c>
      <c r="L471" s="15" t="s">
        <v>755</v>
      </c>
      <c r="M471" s="15" t="str">
        <f t="shared" si="7"/>
        <v>insert into dbo.LifeInsJobCode (JobCode,JobGrade,JobDescription,JobGroupCode1,JobGroupName1,JobGroupCode2,JobGroupName2,CreateTime,Creator,ModifyTime,Modifier) VALUES ('08060040','4','工人','','','','',getdate(),'Alvin',getdate(),'Alvin')</v>
      </c>
    </row>
    <row r="472" spans="2:13" ht="13.8">
      <c r="B472" s="15" t="s">
        <v>1676</v>
      </c>
      <c r="C472" s="15">
        <v>5</v>
      </c>
      <c r="D472" s="15" t="s">
        <v>1677</v>
      </c>
      <c r="E472" s="15" t="s">
        <v>758</v>
      </c>
      <c r="F472" s="15" t="s">
        <v>758</v>
      </c>
      <c r="G472" s="15" t="s">
        <v>758</v>
      </c>
      <c r="H472" s="15" t="s">
        <v>758</v>
      </c>
      <c r="I472" s="15" t="s">
        <v>2895</v>
      </c>
      <c r="J472" s="15" t="s">
        <v>755</v>
      </c>
      <c r="K472" s="15" t="s">
        <v>2895</v>
      </c>
      <c r="L472" s="15" t="s">
        <v>755</v>
      </c>
      <c r="M472" s="15" t="str">
        <f t="shared" si="7"/>
        <v>insert into dbo.LifeInsJobCode (JobCode,JobGrade,JobDescription,JobGroupCode1,JobGroupName1,JobGroupCode2,JobGroupName2,CreateTime,Creator,ModifyTime,Modifier) VALUES ('08060050','5','採掘工','','','','',getdate(),'Alvin',getdate(),'Alvin')</v>
      </c>
    </row>
    <row r="473" spans="2:13" ht="13.8">
      <c r="B473" s="15" t="s">
        <v>1678</v>
      </c>
      <c r="C473" s="15">
        <v>7</v>
      </c>
      <c r="D473" s="15" t="s">
        <v>1679</v>
      </c>
      <c r="E473" s="15" t="s">
        <v>758</v>
      </c>
      <c r="F473" s="15" t="s">
        <v>758</v>
      </c>
      <c r="G473" s="15" t="s">
        <v>758</v>
      </c>
      <c r="H473" s="15" t="s">
        <v>758</v>
      </c>
      <c r="I473" s="15" t="s">
        <v>2895</v>
      </c>
      <c r="J473" s="15" t="s">
        <v>755</v>
      </c>
      <c r="K473" s="15" t="s">
        <v>2895</v>
      </c>
      <c r="L473" s="15" t="s">
        <v>755</v>
      </c>
      <c r="M473" s="15" t="str">
        <f t="shared" si="7"/>
        <v>insert into dbo.LifeInsJobCode (JobCode,JobGrade,JobDescription,JobGroupCode1,JobGroupName1,JobGroupCode2,JobGroupName2,CreateTime,Creator,ModifyTime,Modifier) VALUES ('08060060','7','爆破工','','','','',getdate(),'Alvin',getdate(),'Alvin')</v>
      </c>
    </row>
    <row r="474" spans="2:13" ht="13.8">
      <c r="B474" s="15" t="s">
        <v>1680</v>
      </c>
      <c r="C474" s="15">
        <v>2</v>
      </c>
      <c r="D474" s="15" t="s">
        <v>1681</v>
      </c>
      <c r="E474" s="15" t="s">
        <v>758</v>
      </c>
      <c r="F474" s="15" t="s">
        <v>758</v>
      </c>
      <c r="G474" s="15" t="s">
        <v>758</v>
      </c>
      <c r="H474" s="15" t="s">
        <v>758</v>
      </c>
      <c r="I474" s="15" t="s">
        <v>2895</v>
      </c>
      <c r="J474" s="15" t="s">
        <v>755</v>
      </c>
      <c r="K474" s="15" t="s">
        <v>2895</v>
      </c>
      <c r="L474" s="15" t="s">
        <v>755</v>
      </c>
      <c r="M474" s="15" t="str">
        <f t="shared" si="7"/>
        <v>insert into dbo.LifeInsJobCode (JobCode,JobGrade,JobDescription,JobGroupCode1,JobGroupName1,JobGroupCode2,JobGroupName2,CreateTime,Creator,ModifyTime,Modifier) VALUES ('08060070','2','工安人員','','','','',getdate(),'Alvin',getdate(),'Alvin')</v>
      </c>
    </row>
    <row r="475" spans="2:13" ht="13.8">
      <c r="B475" s="15" t="s">
        <v>1682</v>
      </c>
      <c r="C475" s="15">
        <v>2</v>
      </c>
      <c r="D475" s="15" t="s">
        <v>958</v>
      </c>
      <c r="E475" s="15" t="s">
        <v>758</v>
      </c>
      <c r="F475" s="15" t="s">
        <v>758</v>
      </c>
      <c r="G475" s="15" t="s">
        <v>1683</v>
      </c>
      <c r="H475" s="15" t="s">
        <v>1684</v>
      </c>
      <c r="I475" s="15" t="s">
        <v>2895</v>
      </c>
      <c r="J475" s="15" t="s">
        <v>755</v>
      </c>
      <c r="K475" s="15" t="s">
        <v>2895</v>
      </c>
      <c r="L475" s="15" t="s">
        <v>755</v>
      </c>
      <c r="M475" s="15" t="str">
        <f t="shared" si="7"/>
        <v>insert into dbo.LifeInsJobCode (JobCode,JobGrade,JobDescription,JobGroupCode1,JobGroupName1,JobGroupCode2,JobGroupName2,CreateTime,Creator,ModifyTime,Modifier) VALUES ('08070010','2','工程師','','','0807','化學原料業',getdate(),'Alvin',getdate(),'Alvin')</v>
      </c>
    </row>
    <row r="476" spans="2:13" ht="13.8">
      <c r="B476" s="15" t="s">
        <v>1685</v>
      </c>
      <c r="C476" s="15">
        <v>2</v>
      </c>
      <c r="D476" s="15" t="s">
        <v>1495</v>
      </c>
      <c r="E476" s="15" t="s">
        <v>758</v>
      </c>
      <c r="F476" s="15" t="s">
        <v>758</v>
      </c>
      <c r="G476" s="15" t="s">
        <v>758</v>
      </c>
      <c r="H476" s="15" t="s">
        <v>758</v>
      </c>
      <c r="I476" s="15" t="s">
        <v>2895</v>
      </c>
      <c r="J476" s="15" t="s">
        <v>755</v>
      </c>
      <c r="K476" s="15" t="s">
        <v>2895</v>
      </c>
      <c r="L476" s="15" t="s">
        <v>755</v>
      </c>
      <c r="M476" s="15" t="str">
        <f t="shared" si="7"/>
        <v>insert into dbo.LifeInsJobCode (JobCode,JobGrade,JobDescription,JobGroupCode1,JobGroupName1,JobGroupCode2,JobGroupName2,CreateTime,Creator,ModifyTime,Modifier) VALUES ('08070020','2','技師','','','','',getdate(),'Alvin',getdate(),'Alvin')</v>
      </c>
    </row>
    <row r="477" spans="2:13" ht="13.8">
      <c r="B477" s="15" t="s">
        <v>1686</v>
      </c>
      <c r="C477" s="15">
        <v>3</v>
      </c>
      <c r="D477" s="15" t="s">
        <v>1687</v>
      </c>
      <c r="E477" s="15" t="s">
        <v>758</v>
      </c>
      <c r="F477" s="15" t="s">
        <v>758</v>
      </c>
      <c r="G477" s="15" t="s">
        <v>758</v>
      </c>
      <c r="H477" s="15" t="s">
        <v>758</v>
      </c>
      <c r="I477" s="15" t="s">
        <v>2895</v>
      </c>
      <c r="J477" s="15" t="s">
        <v>755</v>
      </c>
      <c r="K477" s="15" t="s">
        <v>2895</v>
      </c>
      <c r="L477" s="15" t="s">
        <v>755</v>
      </c>
      <c r="M477" s="15" t="str">
        <f t="shared" si="7"/>
        <v>insert into dbo.LifeInsJobCode (JobCode,JobGrade,JobDescription,JobGroupCode1,JobGroupName1,JobGroupCode2,JobGroupName2,CreateTime,Creator,ModifyTime,Modifier) VALUES ('08070030','3','一般工人、作業員','','','','',getdate(),'Alvin',getdate(),'Alvin')</v>
      </c>
    </row>
    <row r="478" spans="2:13" ht="13.8">
      <c r="B478" s="15" t="s">
        <v>1688</v>
      </c>
      <c r="C478" s="15">
        <v>7</v>
      </c>
      <c r="D478" s="15" t="s">
        <v>1689</v>
      </c>
      <c r="E478" s="15" t="s">
        <v>758</v>
      </c>
      <c r="F478" s="15" t="s">
        <v>758</v>
      </c>
      <c r="G478" s="15" t="s">
        <v>758</v>
      </c>
      <c r="H478" s="15" t="s">
        <v>758</v>
      </c>
      <c r="I478" s="15" t="s">
        <v>2895</v>
      </c>
      <c r="J478" s="15" t="s">
        <v>755</v>
      </c>
      <c r="K478" s="15" t="s">
        <v>2895</v>
      </c>
      <c r="L478" s="15" t="s">
        <v>755</v>
      </c>
      <c r="M478" s="15" t="str">
        <f t="shared" si="7"/>
        <v>insert into dbo.LifeInsJobCode (JobCode,JobGrade,JobDescription,JobGroupCode1,JobGroupName1,JobGroupCode2,JobGroupName2,CreateTime,Creator,ModifyTime,Modifier) VALUES ('08070040','7','硫酸、鹽酸、硝酸製造工、有毒物品製造工','','','','',getdate(),'Alvin',getdate(),'Alvin')</v>
      </c>
    </row>
    <row r="479" spans="2:13" ht="13.8">
      <c r="B479" s="15" t="s">
        <v>1690</v>
      </c>
      <c r="C479" s="15">
        <v>3</v>
      </c>
      <c r="D479" s="15" t="s">
        <v>3294</v>
      </c>
      <c r="E479" s="15" t="s">
        <v>758</v>
      </c>
      <c r="F479" s="15" t="s">
        <v>758</v>
      </c>
      <c r="G479" s="15" t="s">
        <v>758</v>
      </c>
      <c r="H479" s="15" t="s">
        <v>758</v>
      </c>
      <c r="I479" s="15" t="s">
        <v>2895</v>
      </c>
      <c r="J479" s="15" t="s">
        <v>755</v>
      </c>
      <c r="K479" s="15" t="s">
        <v>2895</v>
      </c>
      <c r="L479" s="15" t="s">
        <v>755</v>
      </c>
      <c r="M479" s="15" t="str">
        <f t="shared" si="7"/>
        <v>insert into dbo.LifeInsJobCode (JobCode,JobGrade,JobDescription,JobGroupCode1,JobGroupName1,JobGroupCode2,JobGroupName2,CreateTime,Creator,ModifyTime,Modifier) VALUES ('08070050','3','電池製造(技師)','','','','',getdate(),'Alvin',getdate(),'Alvin')</v>
      </c>
    </row>
    <row r="480" spans="2:13" ht="13.8">
      <c r="B480" s="15" t="s">
        <v>1691</v>
      </c>
      <c r="C480" s="15">
        <v>4</v>
      </c>
      <c r="D480" s="15" t="s">
        <v>3295</v>
      </c>
      <c r="E480" s="15" t="s">
        <v>758</v>
      </c>
      <c r="F480" s="15" t="s">
        <v>758</v>
      </c>
      <c r="G480" s="15" t="s">
        <v>758</v>
      </c>
      <c r="H480" s="15" t="s">
        <v>758</v>
      </c>
      <c r="I480" s="15" t="s">
        <v>2895</v>
      </c>
      <c r="J480" s="15" t="s">
        <v>755</v>
      </c>
      <c r="K480" s="15" t="s">
        <v>2895</v>
      </c>
      <c r="L480" s="15" t="s">
        <v>755</v>
      </c>
      <c r="M480" s="15" t="str">
        <f t="shared" si="7"/>
        <v>insert into dbo.LifeInsJobCode (JobCode,JobGrade,JobDescription,JobGroupCode1,JobGroupName1,JobGroupCode2,JobGroupName2,CreateTime,Creator,ModifyTime,Modifier) VALUES ('08070051','4','電池製造(工人)','','','','',getdate(),'Alvin',getdate(),'Alvin')</v>
      </c>
    </row>
    <row r="481" spans="2:13" ht="13.8">
      <c r="B481" s="15" t="s">
        <v>1692</v>
      </c>
      <c r="C481" s="15">
        <v>5</v>
      </c>
      <c r="D481" s="15" t="s">
        <v>1693</v>
      </c>
      <c r="E481" s="15" t="s">
        <v>758</v>
      </c>
      <c r="F481" s="15" t="s">
        <v>758</v>
      </c>
      <c r="G481" s="15" t="s">
        <v>758</v>
      </c>
      <c r="H481" s="15" t="s">
        <v>758</v>
      </c>
      <c r="I481" s="15" t="s">
        <v>2895</v>
      </c>
      <c r="J481" s="15" t="s">
        <v>755</v>
      </c>
      <c r="K481" s="15" t="s">
        <v>2895</v>
      </c>
      <c r="L481" s="15" t="s">
        <v>755</v>
      </c>
      <c r="M481" s="15" t="str">
        <f t="shared" si="7"/>
        <v>insert into dbo.LifeInsJobCode (JobCode,JobGrade,JobDescription,JobGroupCode1,JobGroupName1,JobGroupCode2,JobGroupName2,CreateTime,Creator,ModifyTime,Modifier) VALUES ('08070060','5','液化氣體製造工','','','','',getdate(),'Alvin',getdate(),'Alvin')</v>
      </c>
    </row>
    <row r="482" spans="2:13" ht="13.8">
      <c r="B482" s="15" t="s">
        <v>1694</v>
      </c>
      <c r="C482" s="15">
        <v>2</v>
      </c>
      <c r="D482" s="15" t="s">
        <v>1695</v>
      </c>
      <c r="E482" s="15" t="s">
        <v>758</v>
      </c>
      <c r="F482" s="15" t="s">
        <v>758</v>
      </c>
      <c r="G482" s="15" t="s">
        <v>758</v>
      </c>
      <c r="H482" s="15" t="s">
        <v>758</v>
      </c>
      <c r="I482" s="15" t="s">
        <v>2895</v>
      </c>
      <c r="J482" s="15" t="s">
        <v>755</v>
      </c>
      <c r="K482" s="15" t="s">
        <v>2895</v>
      </c>
      <c r="L482" s="15" t="s">
        <v>755</v>
      </c>
      <c r="M482" s="15" t="str">
        <f t="shared" si="7"/>
        <v>insert into dbo.LifeInsJobCode (JobCode,JobGrade,JobDescription,JobGroupCode1,JobGroupName1,JobGroupCode2,JobGroupName2,CreateTime,Creator,ModifyTime,Modifier) VALUES ('08070070','2','製藥廠工作人員','','','','',getdate(),'Alvin',getdate(),'Alvin')</v>
      </c>
    </row>
    <row r="483" spans="2:13" ht="13.8">
      <c r="B483" s="15" t="s">
        <v>1696</v>
      </c>
      <c r="C483" s="15">
        <v>2</v>
      </c>
      <c r="D483" s="15" t="s">
        <v>1697</v>
      </c>
      <c r="E483" s="15" t="s">
        <v>758</v>
      </c>
      <c r="F483" s="15" t="s">
        <v>758</v>
      </c>
      <c r="G483" s="15" t="s">
        <v>758</v>
      </c>
      <c r="H483" s="15" t="s">
        <v>758</v>
      </c>
      <c r="I483" s="15" t="s">
        <v>2895</v>
      </c>
      <c r="J483" s="15" t="s">
        <v>755</v>
      </c>
      <c r="K483" s="15" t="s">
        <v>2895</v>
      </c>
      <c r="L483" s="15" t="s">
        <v>755</v>
      </c>
      <c r="M483" s="15" t="str">
        <f t="shared" si="7"/>
        <v>insert into dbo.LifeInsJobCode (JobCode,JobGrade,JobDescription,JobGroupCode1,JobGroupName1,JobGroupCode2,JobGroupName2,CreateTime,Creator,ModifyTime,Modifier) VALUES ('08070080','2','製藥廠品管員','','','','',getdate(),'Alvin',getdate(),'Alvin')</v>
      </c>
    </row>
    <row r="484" spans="2:13" ht="13.8">
      <c r="B484" s="15" t="s">
        <v>1698</v>
      </c>
      <c r="C484" s="15">
        <v>2</v>
      </c>
      <c r="D484" s="15" t="s">
        <v>1699</v>
      </c>
      <c r="E484" s="15" t="s">
        <v>758</v>
      </c>
      <c r="F484" s="15" t="s">
        <v>758</v>
      </c>
      <c r="G484" s="15" t="s">
        <v>758</v>
      </c>
      <c r="H484" s="15" t="s">
        <v>758</v>
      </c>
      <c r="I484" s="15" t="s">
        <v>2895</v>
      </c>
      <c r="J484" s="15" t="s">
        <v>755</v>
      </c>
      <c r="K484" s="15" t="s">
        <v>2895</v>
      </c>
      <c r="L484" s="15" t="s">
        <v>755</v>
      </c>
      <c r="M484" s="15" t="str">
        <f t="shared" si="7"/>
        <v>insert into dbo.LifeInsJobCode (JobCode,JobGrade,JobDescription,JobGroupCode1,JobGroupName1,JobGroupCode2,JobGroupName2,CreateTime,Creator,ModifyTime,Modifier) VALUES ('08070090','2','化學品管人員','','','','',getdate(),'Alvin',getdate(),'Alvin')</v>
      </c>
    </row>
    <row r="485" spans="2:13" ht="13.8">
      <c r="B485" s="15" t="s">
        <v>1700</v>
      </c>
      <c r="C485" s="15">
        <v>2</v>
      </c>
      <c r="D485" s="15" t="s">
        <v>1701</v>
      </c>
      <c r="E485" s="15" t="s">
        <v>758</v>
      </c>
      <c r="F485" s="15" t="s">
        <v>758</v>
      </c>
      <c r="G485" s="15" t="s">
        <v>758</v>
      </c>
      <c r="H485" s="15" t="s">
        <v>758</v>
      </c>
      <c r="I485" s="15" t="s">
        <v>2895</v>
      </c>
      <c r="J485" s="15" t="s">
        <v>755</v>
      </c>
      <c r="K485" s="15" t="s">
        <v>2895</v>
      </c>
      <c r="L485" s="15" t="s">
        <v>755</v>
      </c>
      <c r="M485" s="15" t="str">
        <f t="shared" si="7"/>
        <v>insert into dbo.LifeInsJobCode (JobCode,JobGrade,JobDescription,JobGroupCode1,JobGroupName1,JobGroupCode2,JobGroupName2,CreateTime,Creator,ModifyTime,Modifier) VALUES ('08070100','2','化學實驗師','','','','',getdate(),'Alvin',getdate(),'Alvin')</v>
      </c>
    </row>
    <row r="486" spans="2:13" ht="13.8">
      <c r="B486" s="15" t="s">
        <v>1702</v>
      </c>
      <c r="C486" s="15">
        <v>3</v>
      </c>
      <c r="D486" s="15" t="s">
        <v>1703</v>
      </c>
      <c r="E486" s="15" t="s">
        <v>758</v>
      </c>
      <c r="F486" s="15" t="s">
        <v>758</v>
      </c>
      <c r="G486" s="15" t="s">
        <v>758</v>
      </c>
      <c r="H486" s="15" t="s">
        <v>758</v>
      </c>
      <c r="I486" s="15" t="s">
        <v>2895</v>
      </c>
      <c r="J486" s="15" t="s">
        <v>755</v>
      </c>
      <c r="K486" s="15" t="s">
        <v>2895</v>
      </c>
      <c r="L486" s="15" t="s">
        <v>755</v>
      </c>
      <c r="M486" s="15" t="str">
        <f t="shared" si="7"/>
        <v>insert into dbo.LifeInsJobCode (JobCode,JobGrade,JobDescription,JobGroupCode1,JobGroupName1,JobGroupCode2,JobGroupName2,CreateTime,Creator,ModifyTime,Modifier) VALUES ('08070110','3','殺蟲劑製造工','','','','',getdate(),'Alvin',getdate(),'Alvin')</v>
      </c>
    </row>
    <row r="487" spans="2:13" ht="13.8">
      <c r="B487" s="15" t="s">
        <v>1704</v>
      </c>
      <c r="C487" s="15">
        <v>3</v>
      </c>
      <c r="D487" s="15" t="s">
        <v>1705</v>
      </c>
      <c r="E487" s="15" t="s">
        <v>758</v>
      </c>
      <c r="F487" s="15" t="s">
        <v>758</v>
      </c>
      <c r="G487" s="15" t="s">
        <v>758</v>
      </c>
      <c r="H487" s="15" t="s">
        <v>758</v>
      </c>
      <c r="I487" s="15" t="s">
        <v>2895</v>
      </c>
      <c r="J487" s="15" t="s">
        <v>755</v>
      </c>
      <c r="K487" s="15" t="s">
        <v>2895</v>
      </c>
      <c r="L487" s="15" t="s">
        <v>755</v>
      </c>
      <c r="M487" s="15" t="str">
        <f t="shared" si="7"/>
        <v>insert into dbo.LifeInsJobCode (JobCode,JobGrade,JobDescription,JobGroupCode1,JobGroupName1,JobGroupCode2,JobGroupName2,CreateTime,Creator,ModifyTime,Modifier) VALUES ('08070120','3','油漆製造工','','','','',getdate(),'Alvin',getdate(),'Alvin')</v>
      </c>
    </row>
    <row r="488" spans="2:13" ht="13.8">
      <c r="B488" s="15" t="s">
        <v>1706</v>
      </c>
      <c r="C488" s="15">
        <v>3</v>
      </c>
      <c r="D488" s="15" t="s">
        <v>1707</v>
      </c>
      <c r="E488" s="15" t="s">
        <v>758</v>
      </c>
      <c r="F488" s="15" t="s">
        <v>758</v>
      </c>
      <c r="G488" s="15" t="s">
        <v>758</v>
      </c>
      <c r="H488" s="15" t="s">
        <v>758</v>
      </c>
      <c r="I488" s="15" t="s">
        <v>2895</v>
      </c>
      <c r="J488" s="15" t="s">
        <v>755</v>
      </c>
      <c r="K488" s="15" t="s">
        <v>2895</v>
      </c>
      <c r="L488" s="15" t="s">
        <v>755</v>
      </c>
      <c r="M488" s="15" t="str">
        <f t="shared" si="7"/>
        <v>insert into dbo.LifeInsJobCode (JobCode,JobGrade,JobDescription,JobGroupCode1,JobGroupName1,JobGroupCode2,JobGroupName2,CreateTime,Creator,ModifyTime,Modifier) VALUES ('08070130','3','海綿、泡綿製造工','','','','',getdate(),'Alvin',getdate(),'Alvin')</v>
      </c>
    </row>
    <row r="489" spans="2:13" ht="13.8">
      <c r="B489" s="15" t="s">
        <v>1708</v>
      </c>
      <c r="C489" s="15">
        <v>7</v>
      </c>
      <c r="D489" s="15" t="s">
        <v>3296</v>
      </c>
      <c r="E489" s="15" t="s">
        <v>758</v>
      </c>
      <c r="F489" s="15" t="s">
        <v>758</v>
      </c>
      <c r="G489" s="15" t="s">
        <v>1709</v>
      </c>
      <c r="H489" s="15" t="s">
        <v>1710</v>
      </c>
      <c r="I489" s="15" t="s">
        <v>2895</v>
      </c>
      <c r="J489" s="15" t="s">
        <v>755</v>
      </c>
      <c r="K489" s="15" t="s">
        <v>2895</v>
      </c>
      <c r="L489" s="15" t="s">
        <v>755</v>
      </c>
      <c r="M489" s="15" t="str">
        <f t="shared" si="7"/>
        <v>insert into dbo.LifeInsJobCode (JobCode,JobGrade,JobDescription,JobGroupCode1,JobGroupName1,JobGroupCode2,JobGroupName2,CreateTime,Creator,ModifyTime,Modifier) VALUES ('08080010','7','火藥爆竹製造及處理人員(包括爆竹、煙火製造工)','','','0808','炸藥業',getdate(),'Alvin',getdate(),'Alvin')</v>
      </c>
    </row>
    <row r="490" spans="2:13" ht="13.8">
      <c r="B490" s="15" t="s">
        <v>1711</v>
      </c>
      <c r="C490" s="15">
        <v>7</v>
      </c>
      <c r="D490" s="15" t="s">
        <v>1712</v>
      </c>
      <c r="E490" s="15" t="s">
        <v>758</v>
      </c>
      <c r="F490" s="15" t="s">
        <v>758</v>
      </c>
      <c r="G490" s="15" t="s">
        <v>758</v>
      </c>
      <c r="H490" s="15" t="s">
        <v>758</v>
      </c>
      <c r="I490" s="15" t="s">
        <v>2895</v>
      </c>
      <c r="J490" s="15" t="s">
        <v>755</v>
      </c>
      <c r="K490" s="15" t="s">
        <v>2895</v>
      </c>
      <c r="L490" s="15" t="s">
        <v>755</v>
      </c>
      <c r="M490" s="15" t="str">
        <f t="shared" si="7"/>
        <v>insert into dbo.LifeInsJobCode (JobCode,JobGrade,JobDescription,JobGroupCode1,JobGroupName1,JobGroupCode2,JobGroupName2,CreateTime,Creator,ModifyTime,Modifier) VALUES ('08080020','7','廠務管理、廠長','','','','',getdate(),'Alvin',getdate(),'Alvin')</v>
      </c>
    </row>
    <row r="491" spans="2:13" ht="13.8">
      <c r="B491" s="15" t="s">
        <v>1713</v>
      </c>
      <c r="C491" s="15">
        <v>2</v>
      </c>
      <c r="D491" s="15" t="s">
        <v>958</v>
      </c>
      <c r="E491" s="15" t="s">
        <v>758</v>
      </c>
      <c r="F491" s="15" t="s">
        <v>758</v>
      </c>
      <c r="G491" s="15" t="s">
        <v>1714</v>
      </c>
      <c r="H491" s="15" t="s">
        <v>1715</v>
      </c>
      <c r="I491" s="15" t="s">
        <v>2895</v>
      </c>
      <c r="J491" s="15" t="s">
        <v>755</v>
      </c>
      <c r="K491" s="15" t="s">
        <v>2895</v>
      </c>
      <c r="L491" s="15" t="s">
        <v>755</v>
      </c>
      <c r="M491" s="15" t="str">
        <f t="shared" si="7"/>
        <v>insert into dbo.LifeInsJobCode (JobCode,JobGrade,JobDescription,JobGroupCode1,JobGroupName1,JobGroupCode2,JobGroupName2,CreateTime,Creator,ModifyTime,Modifier) VALUES ('08090010','2','工程師','','','0809','汽車、機車、自行車製造業、修理業',getdate(),'Alvin',getdate(),'Alvin')</v>
      </c>
    </row>
    <row r="492" spans="2:13" ht="13.8">
      <c r="B492" s="15" t="s">
        <v>1716</v>
      </c>
      <c r="C492" s="15">
        <v>2</v>
      </c>
      <c r="D492" s="15" t="s">
        <v>1495</v>
      </c>
      <c r="E492" s="15" t="s">
        <v>758</v>
      </c>
      <c r="F492" s="15" t="s">
        <v>758</v>
      </c>
      <c r="G492" s="15" t="s">
        <v>758</v>
      </c>
      <c r="H492" s="15" t="s">
        <v>758</v>
      </c>
      <c r="I492" s="15" t="s">
        <v>2895</v>
      </c>
      <c r="J492" s="15" t="s">
        <v>755</v>
      </c>
      <c r="K492" s="15" t="s">
        <v>2895</v>
      </c>
      <c r="L492" s="15" t="s">
        <v>755</v>
      </c>
      <c r="M492" s="15" t="str">
        <f t="shared" si="7"/>
        <v>insert into dbo.LifeInsJobCode (JobCode,JobGrade,JobDescription,JobGroupCode1,JobGroupName1,JobGroupCode2,JobGroupName2,CreateTime,Creator,ModifyTime,Modifier) VALUES ('08090020','2','技師','','','','',getdate(),'Alvin',getdate(),'Alvin')</v>
      </c>
    </row>
    <row r="493" spans="2:13" ht="13.8">
      <c r="B493" s="15" t="s">
        <v>1717</v>
      </c>
      <c r="C493" s="15">
        <v>4</v>
      </c>
      <c r="D493" s="15" t="s">
        <v>3297</v>
      </c>
      <c r="E493" s="15" t="s">
        <v>758</v>
      </c>
      <c r="F493" s="15" t="s">
        <v>758</v>
      </c>
      <c r="G493" s="15" t="s">
        <v>758</v>
      </c>
      <c r="H493" s="15" t="s">
        <v>758</v>
      </c>
      <c r="I493" s="15" t="s">
        <v>2895</v>
      </c>
      <c r="J493" s="15" t="s">
        <v>755</v>
      </c>
      <c r="K493" s="15" t="s">
        <v>2895</v>
      </c>
      <c r="L493" s="15" t="s">
        <v>755</v>
      </c>
      <c r="M493" s="15" t="str">
        <f t="shared" si="7"/>
        <v>insert into dbo.LifeInsJobCode (JobCode,JobGrade,JobDescription,JobGroupCode1,JobGroupName1,JobGroupCode2,JobGroupName2,CreateTime,Creator,ModifyTime,Modifier) VALUES ('08090030','4','製造工人(汽、機車)','','','','',getdate(),'Alvin',getdate(),'Alvin')</v>
      </c>
    </row>
    <row r="494" spans="2:13" ht="13.8">
      <c r="B494" s="15" t="s">
        <v>1718</v>
      </c>
      <c r="C494" s="15">
        <v>3</v>
      </c>
      <c r="D494" s="15" t="s">
        <v>3298</v>
      </c>
      <c r="E494" s="15" t="s">
        <v>758</v>
      </c>
      <c r="F494" s="15" t="s">
        <v>758</v>
      </c>
      <c r="G494" s="15" t="s">
        <v>758</v>
      </c>
      <c r="H494" s="15" t="s">
        <v>758</v>
      </c>
      <c r="I494" s="15" t="s">
        <v>2895</v>
      </c>
      <c r="J494" s="15" t="s">
        <v>755</v>
      </c>
      <c r="K494" s="15" t="s">
        <v>2895</v>
      </c>
      <c r="L494" s="15" t="s">
        <v>755</v>
      </c>
      <c r="M494" s="15" t="str">
        <f t="shared" si="7"/>
        <v>insert into dbo.LifeInsJobCode (JobCode,JobGrade,JobDescription,JobGroupCode1,JobGroupName1,JobGroupCode2,JobGroupName2,CreateTime,Creator,ModifyTime,Modifier) VALUES ('08090040','3','製造工人(自行車)','','','','',getdate(),'Alvin',getdate(),'Alvin')</v>
      </c>
    </row>
    <row r="495" spans="2:13" ht="13.8">
      <c r="B495" s="15" t="s">
        <v>1719</v>
      </c>
      <c r="C495" s="15">
        <v>4</v>
      </c>
      <c r="D495" s="15" t="s">
        <v>3299</v>
      </c>
      <c r="E495" s="15" t="s">
        <v>758</v>
      </c>
      <c r="F495" s="15" t="s">
        <v>758</v>
      </c>
      <c r="G495" s="15" t="s">
        <v>758</v>
      </c>
      <c r="H495" s="15" t="s">
        <v>758</v>
      </c>
      <c r="I495" s="15" t="s">
        <v>2895</v>
      </c>
      <c r="J495" s="15" t="s">
        <v>755</v>
      </c>
      <c r="K495" s="15" t="s">
        <v>2895</v>
      </c>
      <c r="L495" s="15" t="s">
        <v>755</v>
      </c>
      <c r="M495" s="15" t="str">
        <f t="shared" si="7"/>
        <v>insert into dbo.LifeInsJobCode (JobCode,JobGrade,JobDescription,JobGroupCode1,JobGroupName1,JobGroupCode2,JobGroupName2,CreateTime,Creator,ModifyTime,Modifier) VALUES ('08090050','4','修理保養工人(汽、機車)','','','','',getdate(),'Alvin',getdate(),'Alvin')</v>
      </c>
    </row>
    <row r="496" spans="2:13" ht="13.8">
      <c r="B496" s="15" t="s">
        <v>1720</v>
      </c>
      <c r="C496" s="15">
        <v>3</v>
      </c>
      <c r="D496" s="15" t="s">
        <v>3300</v>
      </c>
      <c r="E496" s="15" t="s">
        <v>758</v>
      </c>
      <c r="F496" s="15" t="s">
        <v>758</v>
      </c>
      <c r="G496" s="15" t="s">
        <v>758</v>
      </c>
      <c r="H496" s="15" t="s">
        <v>758</v>
      </c>
      <c r="I496" s="15" t="s">
        <v>2895</v>
      </c>
      <c r="J496" s="15" t="s">
        <v>755</v>
      </c>
      <c r="K496" s="15" t="s">
        <v>2895</v>
      </c>
      <c r="L496" s="15" t="s">
        <v>755</v>
      </c>
      <c r="M496" s="15" t="str">
        <f t="shared" si="7"/>
        <v>insert into dbo.LifeInsJobCode (JobCode,JobGrade,JobDescription,JobGroupCode1,JobGroupName1,JobGroupCode2,JobGroupName2,CreateTime,Creator,ModifyTime,Modifier) VALUES ('08090060','3','修理保養工人(自行車)','','','','',getdate(),'Alvin',getdate(),'Alvin')</v>
      </c>
    </row>
    <row r="497" spans="2:13" ht="13.8">
      <c r="B497" s="15" t="s">
        <v>1721</v>
      </c>
      <c r="C497" s="15">
        <v>2</v>
      </c>
      <c r="D497" s="15" t="s">
        <v>1424</v>
      </c>
      <c r="E497" s="15" t="s">
        <v>758</v>
      </c>
      <c r="F497" s="15" t="s">
        <v>758</v>
      </c>
      <c r="G497" s="15" t="s">
        <v>758</v>
      </c>
      <c r="H497" s="15" t="s">
        <v>758</v>
      </c>
      <c r="I497" s="15" t="s">
        <v>2895</v>
      </c>
      <c r="J497" s="15" t="s">
        <v>755</v>
      </c>
      <c r="K497" s="15" t="s">
        <v>2895</v>
      </c>
      <c r="L497" s="15" t="s">
        <v>755</v>
      </c>
      <c r="M497" s="15" t="str">
        <f t="shared" si="7"/>
        <v>insert into dbo.LifeInsJobCode (JobCode,JobGrade,JobDescription,JobGroupCode1,JobGroupName1,JobGroupCode2,JobGroupName2,CreateTime,Creator,ModifyTime,Modifier) VALUES ('08090070','2','領班、監工','','','','',getdate(),'Alvin',getdate(),'Alvin')</v>
      </c>
    </row>
    <row r="498" spans="2:13" ht="13.8">
      <c r="B498" s="15" t="s">
        <v>1722</v>
      </c>
      <c r="C498" s="15">
        <v>4</v>
      </c>
      <c r="D498" s="15" t="s">
        <v>1723</v>
      </c>
      <c r="E498" s="15" t="s">
        <v>758</v>
      </c>
      <c r="F498" s="15" t="s">
        <v>758</v>
      </c>
      <c r="G498" s="15" t="s">
        <v>758</v>
      </c>
      <c r="H498" s="15" t="s">
        <v>758</v>
      </c>
      <c r="I498" s="15" t="s">
        <v>2895</v>
      </c>
      <c r="J498" s="15" t="s">
        <v>755</v>
      </c>
      <c r="K498" s="15" t="s">
        <v>2895</v>
      </c>
      <c r="L498" s="15" t="s">
        <v>755</v>
      </c>
      <c r="M498" s="15" t="str">
        <f t="shared" si="7"/>
        <v>insert into dbo.LifeInsJobCode (JobCode,JobGrade,JobDescription,JobGroupCode1,JobGroupName1,JobGroupCode2,JobGroupName2,CreateTime,Creator,ModifyTime,Modifier) VALUES ('08090080','4','試車人員','','','','',getdate(),'Alvin',getdate(),'Alvin')</v>
      </c>
    </row>
    <row r="499" spans="2:13" ht="13.8">
      <c r="B499" s="15" t="s">
        <v>1724</v>
      </c>
      <c r="C499" s="15">
        <v>1</v>
      </c>
      <c r="D499" s="15" t="s">
        <v>1504</v>
      </c>
      <c r="E499" s="15" t="s">
        <v>758</v>
      </c>
      <c r="F499" s="15" t="s">
        <v>758</v>
      </c>
      <c r="G499" s="15" t="s">
        <v>758</v>
      </c>
      <c r="H499" s="15" t="s">
        <v>758</v>
      </c>
      <c r="I499" s="15" t="s">
        <v>2895</v>
      </c>
      <c r="J499" s="15" t="s">
        <v>755</v>
      </c>
      <c r="K499" s="15" t="s">
        <v>2895</v>
      </c>
      <c r="L499" s="15" t="s">
        <v>755</v>
      </c>
      <c r="M499" s="15" t="str">
        <f t="shared" si="7"/>
        <v>insert into dbo.LifeInsJobCode (JobCode,JobGrade,JobDescription,JobGroupCode1,JobGroupName1,JobGroupCode2,JobGroupName2,CreateTime,Creator,ModifyTime,Modifier) VALUES ('08090090','1','負責人(不需到現場)','','','','',getdate(),'Alvin',getdate(),'Alvin')</v>
      </c>
    </row>
    <row r="500" spans="2:13" ht="13.8">
      <c r="B500" s="15" t="s">
        <v>1725</v>
      </c>
      <c r="C500" s="15">
        <v>2</v>
      </c>
      <c r="D500" s="15" t="s">
        <v>3291</v>
      </c>
      <c r="E500" s="15" t="s">
        <v>758</v>
      </c>
      <c r="F500" s="15" t="s">
        <v>758</v>
      </c>
      <c r="G500" s="15" t="s">
        <v>758</v>
      </c>
      <c r="H500" s="15" t="s">
        <v>758</v>
      </c>
      <c r="I500" s="15" t="s">
        <v>2895</v>
      </c>
      <c r="J500" s="15" t="s">
        <v>755</v>
      </c>
      <c r="K500" s="15" t="s">
        <v>2895</v>
      </c>
      <c r="L500" s="15" t="s">
        <v>755</v>
      </c>
      <c r="M500" s="15" t="str">
        <f t="shared" si="7"/>
        <v>insert into dbo.LifeInsJobCode (JobCode,JobGrade,JobDescription,JobGroupCode1,JobGroupName1,JobGroupCode2,JobGroupName2,CreateTime,Creator,ModifyTime,Modifier) VALUES ('08090100','2','負責人(需現場指導或實際參與工作)','','','','',getdate(),'Alvin',getdate(),'Alvin')</v>
      </c>
    </row>
    <row r="501" spans="2:13" ht="13.8">
      <c r="B501" s="15" t="s">
        <v>1726</v>
      </c>
      <c r="C501" s="15">
        <v>2</v>
      </c>
      <c r="D501" s="15" t="s">
        <v>1508</v>
      </c>
      <c r="E501" s="15" t="s">
        <v>758</v>
      </c>
      <c r="F501" s="15" t="s">
        <v>758</v>
      </c>
      <c r="G501" s="15" t="s">
        <v>758</v>
      </c>
      <c r="H501" s="15" t="s">
        <v>758</v>
      </c>
      <c r="I501" s="15" t="s">
        <v>2895</v>
      </c>
      <c r="J501" s="15" t="s">
        <v>755</v>
      </c>
      <c r="K501" s="15" t="s">
        <v>2895</v>
      </c>
      <c r="L501" s="15" t="s">
        <v>755</v>
      </c>
      <c r="M501" s="15" t="str">
        <f t="shared" si="7"/>
        <v>insert into dbo.LifeInsJobCode (JobCode,JobGrade,JobDescription,JobGroupCode1,JobGroupName1,JobGroupCode2,JobGroupName2,CreateTime,Creator,ModifyTime,Modifier) VALUES ('08090110','2','品管人員','','','','',getdate(),'Alvin',getdate(),'Alvin')</v>
      </c>
    </row>
    <row r="502" spans="2:13" ht="13.8">
      <c r="B502" s="15" t="s">
        <v>1727</v>
      </c>
      <c r="C502" s="15">
        <v>4</v>
      </c>
      <c r="D502" s="15" t="s">
        <v>1728</v>
      </c>
      <c r="E502" s="15" t="s">
        <v>758</v>
      </c>
      <c r="F502" s="15" t="s">
        <v>758</v>
      </c>
      <c r="G502" s="15" t="s">
        <v>758</v>
      </c>
      <c r="H502" s="15" t="s">
        <v>758</v>
      </c>
      <c r="I502" s="15" t="s">
        <v>2895</v>
      </c>
      <c r="J502" s="15" t="s">
        <v>755</v>
      </c>
      <c r="K502" s="15" t="s">
        <v>2895</v>
      </c>
      <c r="L502" s="15" t="s">
        <v>755</v>
      </c>
      <c r="M502" s="15" t="str">
        <f t="shared" si="7"/>
        <v>insert into dbo.LifeInsJobCode (JobCode,JobGrade,JobDescription,JobGroupCode1,JobGroupName1,JobGroupCode2,JobGroupName2,CreateTime,Creator,ModifyTime,Modifier) VALUES ('08090120','4','鈑金工人','','','','',getdate(),'Alvin',getdate(),'Alvin')</v>
      </c>
    </row>
    <row r="503" spans="2:13" ht="13.8">
      <c r="B503" s="15" t="s">
        <v>1729</v>
      </c>
      <c r="C503" s="15">
        <v>3</v>
      </c>
      <c r="D503" s="15" t="s">
        <v>1730</v>
      </c>
      <c r="E503" s="15" t="s">
        <v>758</v>
      </c>
      <c r="F503" s="15" t="s">
        <v>758</v>
      </c>
      <c r="G503" s="15" t="s">
        <v>758</v>
      </c>
      <c r="H503" s="15" t="s">
        <v>758</v>
      </c>
      <c r="I503" s="15" t="s">
        <v>2895</v>
      </c>
      <c r="J503" s="15" t="s">
        <v>755</v>
      </c>
      <c r="K503" s="15" t="s">
        <v>2895</v>
      </c>
      <c r="L503" s="15" t="s">
        <v>755</v>
      </c>
      <c r="M503" s="15" t="str">
        <f t="shared" si="7"/>
        <v>insert into dbo.LifeInsJobCode (JobCode,JobGrade,JobDescription,JobGroupCode1,JobGroupName1,JobGroupCode2,JobGroupName2,CreateTime,Creator,ModifyTime,Modifier) VALUES ('08090130','3','汽車輪胎換修買賣、定位','','','','',getdate(),'Alvin',getdate(),'Alvin')</v>
      </c>
    </row>
    <row r="504" spans="2:13" ht="13.8">
      <c r="B504" s="15" t="s">
        <v>1731</v>
      </c>
      <c r="C504" s="15">
        <v>2</v>
      </c>
      <c r="D504" s="15" t="s">
        <v>1732</v>
      </c>
      <c r="E504" s="15" t="s">
        <v>758</v>
      </c>
      <c r="F504" s="15" t="s">
        <v>758</v>
      </c>
      <c r="G504" s="15" t="s">
        <v>758</v>
      </c>
      <c r="H504" s="15" t="s">
        <v>758</v>
      </c>
      <c r="I504" s="15" t="s">
        <v>2895</v>
      </c>
      <c r="J504" s="15" t="s">
        <v>755</v>
      </c>
      <c r="K504" s="15" t="s">
        <v>2895</v>
      </c>
      <c r="L504" s="15" t="s">
        <v>755</v>
      </c>
      <c r="M504" s="15" t="str">
        <f t="shared" si="7"/>
        <v>insert into dbo.LifeInsJobCode (JobCode,JobGrade,JobDescription,JobGroupCode1,JobGroupName1,JobGroupCode2,JobGroupName2,CreateTime,Creator,ModifyTime,Modifier) VALUES ('08090140','2','汽車修理廠引導員(不參與修理)','','','','',getdate(),'Alvin',getdate(),'Alvin')</v>
      </c>
    </row>
    <row r="505" spans="2:13" ht="13.8">
      <c r="B505" s="15" t="s">
        <v>1733</v>
      </c>
      <c r="C505" s="15">
        <v>2</v>
      </c>
      <c r="D505" s="15" t="s">
        <v>1734</v>
      </c>
      <c r="E505" s="15" t="s">
        <v>758</v>
      </c>
      <c r="F505" s="15" t="s">
        <v>758</v>
      </c>
      <c r="G505" s="15" t="s">
        <v>758</v>
      </c>
      <c r="H505" s="15" t="s">
        <v>758</v>
      </c>
      <c r="I505" s="15" t="s">
        <v>2895</v>
      </c>
      <c r="J505" s="15" t="s">
        <v>755</v>
      </c>
      <c r="K505" s="15" t="s">
        <v>2895</v>
      </c>
      <c r="L505" s="15" t="s">
        <v>755</v>
      </c>
      <c r="M505" s="15" t="str">
        <f t="shared" si="7"/>
        <v>insert into dbo.LifeInsJobCode (JobCode,JobGrade,JobDescription,JobGroupCode1,JobGroupName1,JobGroupCode2,JobGroupName2,CreateTime,Creator,ModifyTime,Modifier) VALUES ('08090150','2','汽車檢驗員','','','','',getdate(),'Alvin',getdate(),'Alvin')</v>
      </c>
    </row>
    <row r="506" spans="2:13" ht="13.8">
      <c r="B506" s="15" t="s">
        <v>1735</v>
      </c>
      <c r="C506" s="15">
        <v>4</v>
      </c>
      <c r="D506" s="15" t="s">
        <v>1736</v>
      </c>
      <c r="E506" s="15" t="s">
        <v>758</v>
      </c>
      <c r="F506" s="15" t="s">
        <v>758</v>
      </c>
      <c r="G506" s="15" t="s">
        <v>758</v>
      </c>
      <c r="H506" s="15" t="s">
        <v>758</v>
      </c>
      <c r="I506" s="15" t="s">
        <v>2895</v>
      </c>
      <c r="J506" s="15" t="s">
        <v>755</v>
      </c>
      <c r="K506" s="15" t="s">
        <v>2895</v>
      </c>
      <c r="L506" s="15" t="s">
        <v>755</v>
      </c>
      <c r="M506" s="15" t="str">
        <f t="shared" si="7"/>
        <v>insert into dbo.LifeInsJobCode (JobCode,JobGrade,JobDescription,JobGroupCode1,JobGroupName1,JobGroupCode2,JobGroupName2,CreateTime,Creator,ModifyTime,Modifier) VALUES ('08090160 ','4','瓦斯車安裝人員 ','','','','',getdate(),'Alvin',getdate(),'Alvin')</v>
      </c>
    </row>
    <row r="507" spans="2:13" ht="13.8">
      <c r="B507" s="15" t="s">
        <v>1737</v>
      </c>
      <c r="C507" s="15">
        <v>2</v>
      </c>
      <c r="D507" s="15" t="s">
        <v>958</v>
      </c>
      <c r="E507" s="15" t="s">
        <v>758</v>
      </c>
      <c r="F507" s="15" t="s">
        <v>758</v>
      </c>
      <c r="G507" s="15" t="s">
        <v>1738</v>
      </c>
      <c r="H507" s="15" t="s">
        <v>1739</v>
      </c>
      <c r="I507" s="15" t="s">
        <v>2895</v>
      </c>
      <c r="J507" s="15" t="s">
        <v>755</v>
      </c>
      <c r="K507" s="15" t="s">
        <v>2895</v>
      </c>
      <c r="L507" s="15" t="s">
        <v>755</v>
      </c>
      <c r="M507" s="15" t="str">
        <f t="shared" si="7"/>
        <v>insert into dbo.LifeInsJobCode (JobCode,JobGrade,JobDescription,JobGroupCode1,JobGroupName1,JobGroupCode2,JobGroupName2,CreateTime,Creator,ModifyTime,Modifier) VALUES ('08100010','2','工程師','','','0810','紡織及成衣業',getdate(),'Alvin',getdate(),'Alvin')</v>
      </c>
    </row>
    <row r="508" spans="2:13" ht="13.8">
      <c r="B508" s="15" t="s">
        <v>1740</v>
      </c>
      <c r="C508" s="15">
        <v>1</v>
      </c>
      <c r="D508" s="15" t="s">
        <v>1741</v>
      </c>
      <c r="E508" s="15" t="s">
        <v>758</v>
      </c>
      <c r="F508" s="15" t="s">
        <v>758</v>
      </c>
      <c r="G508" s="15" t="s">
        <v>758</v>
      </c>
      <c r="H508" s="15" t="s">
        <v>758</v>
      </c>
      <c r="I508" s="15" t="s">
        <v>2895</v>
      </c>
      <c r="J508" s="15" t="s">
        <v>755</v>
      </c>
      <c r="K508" s="15" t="s">
        <v>2895</v>
      </c>
      <c r="L508" s="15" t="s">
        <v>755</v>
      </c>
      <c r="M508" s="15" t="str">
        <f t="shared" si="7"/>
        <v>insert into dbo.LifeInsJobCode (JobCode,JobGrade,JobDescription,JobGroupCode1,JobGroupName1,JobGroupCode2,JobGroupName2,CreateTime,Creator,ModifyTime,Modifier) VALUES ('08100020','1','設計師','','','','',getdate(),'Alvin',getdate(),'Alvin')</v>
      </c>
    </row>
    <row r="509" spans="2:13" ht="13.8">
      <c r="B509" s="15" t="s">
        <v>1742</v>
      </c>
      <c r="C509" s="15">
        <v>2</v>
      </c>
      <c r="D509" s="15" t="s">
        <v>1495</v>
      </c>
      <c r="E509" s="15" t="s">
        <v>758</v>
      </c>
      <c r="F509" s="15" t="s">
        <v>758</v>
      </c>
      <c r="G509" s="15" t="s">
        <v>758</v>
      </c>
      <c r="H509" s="15" t="s">
        <v>758</v>
      </c>
      <c r="I509" s="15" t="s">
        <v>2895</v>
      </c>
      <c r="J509" s="15" t="s">
        <v>755</v>
      </c>
      <c r="K509" s="15" t="s">
        <v>2895</v>
      </c>
      <c r="L509" s="15" t="s">
        <v>755</v>
      </c>
      <c r="M509" s="15" t="str">
        <f t="shared" si="7"/>
        <v>insert into dbo.LifeInsJobCode (JobCode,JobGrade,JobDescription,JobGroupCode1,JobGroupName1,JobGroupCode2,JobGroupName2,CreateTime,Creator,ModifyTime,Modifier) VALUES ('08100030','2','技師','','','','',getdate(),'Alvin',getdate(),'Alvin')</v>
      </c>
    </row>
    <row r="510" spans="2:13" ht="13.8">
      <c r="B510" s="15" t="s">
        <v>1743</v>
      </c>
      <c r="C510" s="15">
        <v>2</v>
      </c>
      <c r="D510" s="15" t="s">
        <v>1744</v>
      </c>
      <c r="E510" s="15" t="s">
        <v>758</v>
      </c>
      <c r="F510" s="15" t="s">
        <v>758</v>
      </c>
      <c r="G510" s="15" t="s">
        <v>758</v>
      </c>
      <c r="H510" s="15" t="s">
        <v>758</v>
      </c>
      <c r="I510" s="15" t="s">
        <v>2895</v>
      </c>
      <c r="J510" s="15" t="s">
        <v>755</v>
      </c>
      <c r="K510" s="15" t="s">
        <v>2895</v>
      </c>
      <c r="L510" s="15" t="s">
        <v>755</v>
      </c>
      <c r="M510" s="15" t="str">
        <f t="shared" si="7"/>
        <v>insert into dbo.LifeInsJobCode (JobCode,JobGrade,JobDescription,JobGroupCode1,JobGroupName1,JobGroupCode2,JobGroupName2,CreateTime,Creator,ModifyTime,Modifier) VALUES ('08100040','2','製造工人','','','','',getdate(),'Alvin',getdate(),'Alvin')</v>
      </c>
    </row>
    <row r="511" spans="2:13" ht="13.8">
      <c r="B511" s="15" t="s">
        <v>1745</v>
      </c>
      <c r="C511" s="15">
        <v>3</v>
      </c>
      <c r="D511" s="15" t="s">
        <v>1746</v>
      </c>
      <c r="E511" s="15" t="s">
        <v>758</v>
      </c>
      <c r="F511" s="15" t="s">
        <v>758</v>
      </c>
      <c r="G511" s="15" t="s">
        <v>758</v>
      </c>
      <c r="H511" s="15" t="s">
        <v>758</v>
      </c>
      <c r="I511" s="15" t="s">
        <v>2895</v>
      </c>
      <c r="J511" s="15" t="s">
        <v>755</v>
      </c>
      <c r="K511" s="15" t="s">
        <v>2895</v>
      </c>
      <c r="L511" s="15" t="s">
        <v>755</v>
      </c>
      <c r="M511" s="15" t="str">
        <f t="shared" si="7"/>
        <v>insert into dbo.LifeInsJobCode (JobCode,JobGrade,JobDescription,JobGroupCode1,JobGroupName1,JobGroupCode2,JobGroupName2,CreateTime,Creator,ModifyTime,Modifier) VALUES ('08100050','3','染整工人','','','','',getdate(),'Alvin',getdate(),'Alvin')</v>
      </c>
    </row>
    <row r="512" spans="2:13" ht="13.8">
      <c r="B512" s="15" t="s">
        <v>1747</v>
      </c>
      <c r="C512" s="15">
        <v>1</v>
      </c>
      <c r="D512" s="15" t="s">
        <v>1504</v>
      </c>
      <c r="E512" s="15" t="s">
        <v>758</v>
      </c>
      <c r="F512" s="15" t="s">
        <v>758</v>
      </c>
      <c r="G512" s="15" t="s">
        <v>758</v>
      </c>
      <c r="H512" s="15" t="s">
        <v>758</v>
      </c>
      <c r="I512" s="15" t="s">
        <v>2895</v>
      </c>
      <c r="J512" s="15" t="s">
        <v>755</v>
      </c>
      <c r="K512" s="15" t="s">
        <v>2895</v>
      </c>
      <c r="L512" s="15" t="s">
        <v>755</v>
      </c>
      <c r="M512" s="15" t="str">
        <f t="shared" si="7"/>
        <v>insert into dbo.LifeInsJobCode (JobCode,JobGrade,JobDescription,JobGroupCode1,JobGroupName1,JobGroupCode2,JobGroupName2,CreateTime,Creator,ModifyTime,Modifier) VALUES ('08100060','1','負責人(不需到現場)','','','','',getdate(),'Alvin',getdate(),'Alvin')</v>
      </c>
    </row>
    <row r="513" spans="2:13" ht="13.8">
      <c r="B513" s="15" t="s">
        <v>1748</v>
      </c>
      <c r="C513" s="15">
        <v>1</v>
      </c>
      <c r="D513" s="15" t="s">
        <v>1749</v>
      </c>
      <c r="E513" s="15" t="s">
        <v>758</v>
      </c>
      <c r="F513" s="15" t="s">
        <v>758</v>
      </c>
      <c r="G513" s="15" t="s">
        <v>758</v>
      </c>
      <c r="H513" s="15" t="s">
        <v>758</v>
      </c>
      <c r="I513" s="15" t="s">
        <v>2895</v>
      </c>
      <c r="J513" s="15" t="s">
        <v>755</v>
      </c>
      <c r="K513" s="15" t="s">
        <v>2895</v>
      </c>
      <c r="L513" s="15" t="s">
        <v>755</v>
      </c>
      <c r="M513" s="15" t="str">
        <f t="shared" si="7"/>
        <v>insert into dbo.LifeInsJobCode (JobCode,JobGrade,JobDescription,JobGroupCode1,JobGroupName1,JobGroupCode2,JobGroupName2,CreateTime,Creator,ModifyTime,Modifier) VALUES ('08100070','1','打版師','','','','',getdate(),'Alvin',getdate(),'Alvin')</v>
      </c>
    </row>
    <row r="514" spans="2:13" ht="13.8">
      <c r="B514" s="15" t="s">
        <v>1750</v>
      </c>
      <c r="C514" s="15">
        <v>2</v>
      </c>
      <c r="D514" s="15" t="s">
        <v>3291</v>
      </c>
      <c r="E514" s="15" t="s">
        <v>758</v>
      </c>
      <c r="F514" s="15" t="s">
        <v>758</v>
      </c>
      <c r="G514" s="15" t="s">
        <v>758</v>
      </c>
      <c r="H514" s="15" t="s">
        <v>758</v>
      </c>
      <c r="I514" s="15" t="s">
        <v>2895</v>
      </c>
      <c r="J514" s="15" t="s">
        <v>755</v>
      </c>
      <c r="K514" s="15" t="s">
        <v>2895</v>
      </c>
      <c r="L514" s="15" t="s">
        <v>755</v>
      </c>
      <c r="M514" s="15" t="str">
        <f t="shared" ref="M514:M577" si="8">$M$1 &amp; " VALUES ('"&amp;B514&amp;"','"&amp;C514&amp;"','"&amp;D514&amp;"','"&amp;E514&amp;"','"&amp;F514&amp;"','"&amp;G514&amp;"','"&amp;H514&amp;"',"&amp;I514&amp;",'"&amp;J514&amp;"',"&amp;K514&amp;",'"&amp;L514&amp;"')"</f>
        <v>insert into dbo.LifeInsJobCode (JobCode,JobGrade,JobDescription,JobGroupCode1,JobGroupName1,JobGroupCode2,JobGroupName2,CreateTime,Creator,ModifyTime,Modifier) VALUES ('08100080','2','負責人(需現場指導或實際參與工作)','','','','',getdate(),'Alvin',getdate(),'Alvin')</v>
      </c>
    </row>
    <row r="515" spans="2:13" ht="13.8">
      <c r="B515" s="15" t="s">
        <v>1751</v>
      </c>
      <c r="C515" s="15">
        <v>2</v>
      </c>
      <c r="D515" s="15" t="s">
        <v>1752</v>
      </c>
      <c r="E515" s="15" t="s">
        <v>758</v>
      </c>
      <c r="F515" s="15" t="s">
        <v>758</v>
      </c>
      <c r="G515" s="15" t="s">
        <v>758</v>
      </c>
      <c r="H515" s="15" t="s">
        <v>758</v>
      </c>
      <c r="I515" s="15" t="s">
        <v>2895</v>
      </c>
      <c r="J515" s="15" t="s">
        <v>755</v>
      </c>
      <c r="K515" s="15" t="s">
        <v>2895</v>
      </c>
      <c r="L515" s="15" t="s">
        <v>755</v>
      </c>
      <c r="M515" s="15" t="str">
        <f t="shared" si="8"/>
        <v>insert into dbo.LifeInsJobCode (JobCode,JobGrade,JobDescription,JobGroupCode1,JobGroupName1,JobGroupCode2,JobGroupName2,CreateTime,Creator,ModifyTime,Modifier) VALUES ('08100090','2','針織工人','','','','',getdate(),'Alvin',getdate(),'Alvin')</v>
      </c>
    </row>
    <row r="516" spans="2:13" ht="13.8">
      <c r="B516" s="15" t="s">
        <v>1753</v>
      </c>
      <c r="C516" s="15">
        <v>2</v>
      </c>
      <c r="D516" s="15" t="s">
        <v>1508</v>
      </c>
      <c r="E516" s="15" t="s">
        <v>758</v>
      </c>
      <c r="F516" s="15" t="s">
        <v>758</v>
      </c>
      <c r="G516" s="15" t="s">
        <v>758</v>
      </c>
      <c r="H516" s="15" t="s">
        <v>758</v>
      </c>
      <c r="I516" s="15" t="s">
        <v>2895</v>
      </c>
      <c r="J516" s="15" t="s">
        <v>755</v>
      </c>
      <c r="K516" s="15" t="s">
        <v>2895</v>
      </c>
      <c r="L516" s="15" t="s">
        <v>755</v>
      </c>
      <c r="M516" s="15" t="str">
        <f t="shared" si="8"/>
        <v>insert into dbo.LifeInsJobCode (JobCode,JobGrade,JobDescription,JobGroupCode1,JobGroupName1,JobGroupCode2,JobGroupName2,CreateTime,Creator,ModifyTime,Modifier) VALUES ('08100100','2','品管人員','','','','',getdate(),'Alvin',getdate(),'Alvin')</v>
      </c>
    </row>
    <row r="517" spans="2:13" ht="13.8">
      <c r="B517" s="15" t="s">
        <v>1754</v>
      </c>
      <c r="C517" s="15">
        <v>2</v>
      </c>
      <c r="D517" s="15" t="s">
        <v>3301</v>
      </c>
      <c r="E517" s="15" t="s">
        <v>758</v>
      </c>
      <c r="F517" s="15" t="s">
        <v>758</v>
      </c>
      <c r="G517" s="15" t="s">
        <v>758</v>
      </c>
      <c r="H517" s="15" t="s">
        <v>758</v>
      </c>
      <c r="I517" s="15" t="s">
        <v>2895</v>
      </c>
      <c r="J517" s="15" t="s">
        <v>755</v>
      </c>
      <c r="K517" s="15" t="s">
        <v>2895</v>
      </c>
      <c r="L517" s="15" t="s">
        <v>755</v>
      </c>
      <c r="M517" s="15" t="str">
        <f t="shared" si="8"/>
        <v>insert into dbo.LifeInsJobCode (JobCode,JobGrade,JobDescription,JobGroupCode1,JobGroupName1,JobGroupCode2,JobGroupName2,CreateTime,Creator,ModifyTime,Modifier) VALUES ('08100110','2','成衣(毛衣、針織)代工','','','','',getdate(),'Alvin',getdate(),'Alvin')</v>
      </c>
    </row>
    <row r="518" spans="2:13" ht="13.8">
      <c r="B518" s="15" t="s">
        <v>1755</v>
      </c>
      <c r="C518" s="15">
        <v>4</v>
      </c>
      <c r="D518" s="15" t="s">
        <v>1756</v>
      </c>
      <c r="E518" s="15" t="s">
        <v>758</v>
      </c>
      <c r="F518" s="15" t="s">
        <v>758</v>
      </c>
      <c r="G518" s="15" t="s">
        <v>758</v>
      </c>
      <c r="H518" s="15" t="s">
        <v>758</v>
      </c>
      <c r="I518" s="15" t="s">
        <v>2895</v>
      </c>
      <c r="J518" s="15" t="s">
        <v>755</v>
      </c>
      <c r="K518" s="15" t="s">
        <v>2895</v>
      </c>
      <c r="L518" s="15" t="s">
        <v>755</v>
      </c>
      <c r="M518" s="15" t="str">
        <f t="shared" si="8"/>
        <v>insert into dbo.LifeInsJobCode (JobCode,JobGrade,JobDescription,JobGroupCode1,JobGroupName1,JobGroupCode2,JobGroupName2,CreateTime,Creator,ModifyTime,Modifier) VALUES ('08100120','4','機械維修','','','','',getdate(),'Alvin',getdate(),'Alvin')</v>
      </c>
    </row>
    <row r="519" spans="2:13" ht="13.8">
      <c r="B519" s="15" t="s">
        <v>1757</v>
      </c>
      <c r="C519" s="15">
        <v>2</v>
      </c>
      <c r="D519" s="15" t="s">
        <v>1758</v>
      </c>
      <c r="E519" s="15" t="s">
        <v>758</v>
      </c>
      <c r="F519" s="15" t="s">
        <v>758</v>
      </c>
      <c r="G519" s="15" t="s">
        <v>758</v>
      </c>
      <c r="H519" s="15" t="s">
        <v>758</v>
      </c>
      <c r="I519" s="15" t="s">
        <v>2895</v>
      </c>
      <c r="J519" s="15" t="s">
        <v>755</v>
      </c>
      <c r="K519" s="15" t="s">
        <v>2895</v>
      </c>
      <c r="L519" s="15" t="s">
        <v>755</v>
      </c>
      <c r="M519" s="15" t="str">
        <f t="shared" si="8"/>
        <v>insert into dbo.LifeInsJobCode (JobCode,JobGrade,JobDescription,JobGroupCode1,JobGroupName1,JobGroupCode2,JobGroupName2,CreateTime,Creator,ModifyTime,Modifier) VALUES ('08100130','2','紡紗工人','','','','',getdate(),'Alvin',getdate(),'Alvin')</v>
      </c>
    </row>
    <row r="520" spans="2:13" ht="13.8">
      <c r="B520" s="15" t="s">
        <v>1759</v>
      </c>
      <c r="C520" s="15">
        <v>3</v>
      </c>
      <c r="D520" s="15" t="s">
        <v>1495</v>
      </c>
      <c r="E520" s="15" t="s">
        <v>758</v>
      </c>
      <c r="F520" s="15" t="s">
        <v>758</v>
      </c>
      <c r="G520" s="15" t="s">
        <v>1760</v>
      </c>
      <c r="H520" s="15" t="s">
        <v>1761</v>
      </c>
      <c r="I520" s="15" t="s">
        <v>2895</v>
      </c>
      <c r="J520" s="15" t="s">
        <v>755</v>
      </c>
      <c r="K520" s="15" t="s">
        <v>2895</v>
      </c>
      <c r="L520" s="15" t="s">
        <v>755</v>
      </c>
      <c r="M520" s="15" t="str">
        <f t="shared" si="8"/>
        <v>insert into dbo.LifeInsJobCode (JobCode,JobGrade,JobDescription,JobGroupCode1,JobGroupName1,JobGroupCode2,JobGroupName2,CreateTime,Creator,ModifyTime,Modifier) VALUES ('08110010','3','技師','','','0811','造紙工業',getdate(),'Alvin',getdate(),'Alvin')</v>
      </c>
    </row>
    <row r="521" spans="2:13" ht="13.8">
      <c r="B521" s="15" t="s">
        <v>1762</v>
      </c>
      <c r="C521" s="15">
        <v>3</v>
      </c>
      <c r="D521" s="15" t="s">
        <v>1763</v>
      </c>
      <c r="E521" s="15" t="s">
        <v>758</v>
      </c>
      <c r="F521" s="15" t="s">
        <v>758</v>
      </c>
      <c r="G521" s="15" t="s">
        <v>758</v>
      </c>
      <c r="H521" s="15" t="s">
        <v>758</v>
      </c>
      <c r="I521" s="15" t="s">
        <v>2895</v>
      </c>
      <c r="J521" s="15" t="s">
        <v>755</v>
      </c>
      <c r="K521" s="15" t="s">
        <v>2895</v>
      </c>
      <c r="L521" s="15" t="s">
        <v>755</v>
      </c>
      <c r="M521" s="15" t="str">
        <f t="shared" si="8"/>
        <v>insert into dbo.LifeInsJobCode (JobCode,JobGrade,JobDescription,JobGroupCode1,JobGroupName1,JobGroupCode2,JobGroupName2,CreateTime,Creator,ModifyTime,Modifier) VALUES ('08110020','3','監工、領班','','','','',getdate(),'Alvin',getdate(),'Alvin')</v>
      </c>
    </row>
    <row r="522" spans="2:13" ht="13.8">
      <c r="B522" s="15" t="s">
        <v>1764</v>
      </c>
      <c r="C522" s="15">
        <v>4</v>
      </c>
      <c r="D522" s="15" t="s">
        <v>1765</v>
      </c>
      <c r="E522" s="15" t="s">
        <v>758</v>
      </c>
      <c r="F522" s="15" t="s">
        <v>758</v>
      </c>
      <c r="G522" s="15" t="s">
        <v>758</v>
      </c>
      <c r="H522" s="15" t="s">
        <v>758</v>
      </c>
      <c r="I522" s="15" t="s">
        <v>2895</v>
      </c>
      <c r="J522" s="15" t="s">
        <v>755</v>
      </c>
      <c r="K522" s="15" t="s">
        <v>2895</v>
      </c>
      <c r="L522" s="15" t="s">
        <v>755</v>
      </c>
      <c r="M522" s="15" t="str">
        <f t="shared" si="8"/>
        <v>insert into dbo.LifeInsJobCode (JobCode,JobGrade,JobDescription,JobGroupCode1,JobGroupName1,JobGroupCode2,JobGroupName2,CreateTime,Creator,ModifyTime,Modifier) VALUES ('08110030','4','造紙廠工人','','','','',getdate(),'Alvin',getdate(),'Alvin')</v>
      </c>
    </row>
    <row r="523" spans="2:13" ht="13.8">
      <c r="B523" s="15" t="s">
        <v>1766</v>
      </c>
      <c r="C523" s="15">
        <v>5</v>
      </c>
      <c r="D523" s="15" t="s">
        <v>1767</v>
      </c>
      <c r="E523" s="15" t="s">
        <v>758</v>
      </c>
      <c r="F523" s="15" t="s">
        <v>758</v>
      </c>
      <c r="G523" s="15" t="s">
        <v>758</v>
      </c>
      <c r="H523" s="15" t="s">
        <v>758</v>
      </c>
      <c r="I523" s="15" t="s">
        <v>2895</v>
      </c>
      <c r="J523" s="15" t="s">
        <v>755</v>
      </c>
      <c r="K523" s="15" t="s">
        <v>2895</v>
      </c>
      <c r="L523" s="15" t="s">
        <v>755</v>
      </c>
      <c r="M523" s="15" t="str">
        <f t="shared" si="8"/>
        <v>insert into dbo.LifeInsJobCode (JobCode,JobGrade,JobDescription,JobGroupCode1,JobGroupName1,JobGroupCode2,JobGroupName2,CreateTime,Creator,ModifyTime,Modifier) VALUES ('08110040','5','紙漿廠工人','','','','',getdate(),'Alvin',getdate(),'Alvin')</v>
      </c>
    </row>
    <row r="524" spans="2:13" ht="13.8">
      <c r="B524" s="15" t="s">
        <v>1768</v>
      </c>
      <c r="C524" s="15">
        <v>4</v>
      </c>
      <c r="D524" s="15" t="s">
        <v>1769</v>
      </c>
      <c r="E524" s="15" t="s">
        <v>758</v>
      </c>
      <c r="F524" s="15" t="s">
        <v>758</v>
      </c>
      <c r="G524" s="15" t="s">
        <v>758</v>
      </c>
      <c r="H524" s="15" t="s">
        <v>758</v>
      </c>
      <c r="I524" s="15" t="s">
        <v>2895</v>
      </c>
      <c r="J524" s="15" t="s">
        <v>755</v>
      </c>
      <c r="K524" s="15" t="s">
        <v>2895</v>
      </c>
      <c r="L524" s="15" t="s">
        <v>755</v>
      </c>
      <c r="M524" s="15" t="str">
        <f t="shared" si="8"/>
        <v>insert into dbo.LifeInsJobCode (JobCode,JobGrade,JobDescription,JobGroupCode1,JobGroupName1,JobGroupCode2,JobGroupName2,CreateTime,Creator,ModifyTime,Modifier) VALUES ('08110050','4','紙箱製造工人','','','','',getdate(),'Alvin',getdate(),'Alvin')</v>
      </c>
    </row>
    <row r="525" spans="2:13" ht="13.8">
      <c r="B525" s="15" t="s">
        <v>1770</v>
      </c>
      <c r="C525" s="15">
        <v>2</v>
      </c>
      <c r="D525" s="15" t="s">
        <v>1771</v>
      </c>
      <c r="E525" s="15" t="s">
        <v>758</v>
      </c>
      <c r="F525" s="15" t="s">
        <v>758</v>
      </c>
      <c r="G525" s="15" t="s">
        <v>758</v>
      </c>
      <c r="H525" s="15" t="s">
        <v>758</v>
      </c>
      <c r="I525" s="15" t="s">
        <v>2895</v>
      </c>
      <c r="J525" s="15" t="s">
        <v>755</v>
      </c>
      <c r="K525" s="15" t="s">
        <v>2895</v>
      </c>
      <c r="L525" s="15" t="s">
        <v>755</v>
      </c>
      <c r="M525" s="15" t="str">
        <f t="shared" si="8"/>
        <v>insert into dbo.LifeInsJobCode (JobCode,JobGrade,JobDescription,JobGroupCode1,JobGroupName1,JobGroupCode2,JobGroupName2,CreateTime,Creator,ModifyTime,Modifier) VALUES ('08110060','2','紙箱包裝工人','','','','',getdate(),'Alvin',getdate(),'Alvin')</v>
      </c>
    </row>
    <row r="526" spans="2:13" ht="13.8">
      <c r="B526" s="15" t="s">
        <v>1772</v>
      </c>
      <c r="C526" s="15">
        <v>2</v>
      </c>
      <c r="D526" s="15" t="s">
        <v>3336</v>
      </c>
      <c r="E526" s="15" t="s">
        <v>758</v>
      </c>
      <c r="F526" s="15" t="s">
        <v>758</v>
      </c>
      <c r="G526" s="15" t="s">
        <v>758</v>
      </c>
      <c r="H526" s="15" t="s">
        <v>758</v>
      </c>
      <c r="I526" s="15" t="s">
        <v>2895</v>
      </c>
      <c r="J526" s="15" t="s">
        <v>755</v>
      </c>
      <c r="K526" s="15" t="s">
        <v>2895</v>
      </c>
      <c r="L526" s="15" t="s">
        <v>755</v>
      </c>
      <c r="M526" s="15" t="str">
        <f t="shared" si="8"/>
        <v>insert into dbo.LifeInsJobCode (JobCode,JobGrade,JobDescription,JobGroupCode1,JobGroupName1,JobGroupCode2,JobGroupName2,CreateTime,Creator,ModifyTime,Modifier) VALUES ('08110070','2','紙盒黏貼工人','','','','',getdate(),'Alvin',getdate(),'Alvin')</v>
      </c>
    </row>
    <row r="527" spans="2:13" ht="13.8">
      <c r="B527" s="15" t="s">
        <v>1773</v>
      </c>
      <c r="C527" s="15">
        <v>2</v>
      </c>
      <c r="D527" s="15" t="s">
        <v>1508</v>
      </c>
      <c r="E527" s="15" t="s">
        <v>758</v>
      </c>
      <c r="F527" s="15" t="s">
        <v>758</v>
      </c>
      <c r="G527" s="15" t="s">
        <v>758</v>
      </c>
      <c r="H527" s="15" t="s">
        <v>758</v>
      </c>
      <c r="I527" s="15" t="s">
        <v>2895</v>
      </c>
      <c r="J527" s="15" t="s">
        <v>755</v>
      </c>
      <c r="K527" s="15" t="s">
        <v>2895</v>
      </c>
      <c r="L527" s="15" t="s">
        <v>755</v>
      </c>
      <c r="M527" s="15" t="str">
        <f t="shared" si="8"/>
        <v>insert into dbo.LifeInsJobCode (JobCode,JobGrade,JobDescription,JobGroupCode1,JobGroupName1,JobGroupCode2,JobGroupName2,CreateTime,Creator,ModifyTime,Modifier) VALUES ('08110080','2','品管人員','','','','',getdate(),'Alvin',getdate(),'Alvin')</v>
      </c>
    </row>
    <row r="528" spans="2:13" ht="13.8">
      <c r="B528" s="15" t="s">
        <v>1774</v>
      </c>
      <c r="C528" s="15">
        <v>3</v>
      </c>
      <c r="D528" s="15" t="s">
        <v>1775</v>
      </c>
      <c r="E528" s="15" t="s">
        <v>758</v>
      </c>
      <c r="F528" s="15" t="s">
        <v>758</v>
      </c>
      <c r="G528" s="15" t="s">
        <v>758</v>
      </c>
      <c r="H528" s="15" t="s">
        <v>758</v>
      </c>
      <c r="I528" s="15" t="s">
        <v>2895</v>
      </c>
      <c r="J528" s="15" t="s">
        <v>755</v>
      </c>
      <c r="K528" s="15" t="s">
        <v>2895</v>
      </c>
      <c r="L528" s="15" t="s">
        <v>755</v>
      </c>
      <c r="M528" s="15" t="str">
        <f t="shared" si="8"/>
        <v>insert into dbo.LifeInsJobCode (JobCode,JobGrade,JobDescription,JobGroupCode1,JobGroupName1,JobGroupCode2,JobGroupName2,CreateTime,Creator,ModifyTime,Modifier) VALUES ('08110090','3','裁紙工人','','','','',getdate(),'Alvin',getdate(),'Alvin')</v>
      </c>
    </row>
    <row r="529" spans="2:13" ht="13.8">
      <c r="B529" s="15" t="s">
        <v>1776</v>
      </c>
      <c r="C529" s="15">
        <v>3</v>
      </c>
      <c r="D529" s="15" t="s">
        <v>1495</v>
      </c>
      <c r="E529" s="15" t="s">
        <v>758</v>
      </c>
      <c r="F529" s="15" t="s">
        <v>758</v>
      </c>
      <c r="G529" s="15" t="s">
        <v>1777</v>
      </c>
      <c r="H529" s="15" t="s">
        <v>1778</v>
      </c>
      <c r="I529" s="15" t="s">
        <v>2895</v>
      </c>
      <c r="J529" s="15" t="s">
        <v>755</v>
      </c>
      <c r="K529" s="15" t="s">
        <v>2895</v>
      </c>
      <c r="L529" s="15" t="s">
        <v>755</v>
      </c>
      <c r="M529" s="15" t="str">
        <f t="shared" si="8"/>
        <v>insert into dbo.LifeInsJobCode (JobCode,JobGrade,JobDescription,JobGroupCode1,JobGroupName1,JobGroupCode2,JobGroupName2,CreateTime,Creator,ModifyTime,Modifier) VALUES ('08120010','3','技師','','','0812','傢俱製造業',getdate(),'Alvin',getdate(),'Alvin')</v>
      </c>
    </row>
    <row r="530" spans="2:13" ht="13.8">
      <c r="B530" s="15" t="s">
        <v>1779</v>
      </c>
      <c r="C530" s="15">
        <v>3</v>
      </c>
      <c r="D530" s="15" t="s">
        <v>1424</v>
      </c>
      <c r="E530" s="15" t="s">
        <v>758</v>
      </c>
      <c r="F530" s="15" t="s">
        <v>758</v>
      </c>
      <c r="G530" s="15" t="s">
        <v>758</v>
      </c>
      <c r="H530" s="15" t="s">
        <v>758</v>
      </c>
      <c r="I530" s="15" t="s">
        <v>2895</v>
      </c>
      <c r="J530" s="15" t="s">
        <v>755</v>
      </c>
      <c r="K530" s="15" t="s">
        <v>2895</v>
      </c>
      <c r="L530" s="15" t="s">
        <v>755</v>
      </c>
      <c r="M530" s="15" t="str">
        <f t="shared" si="8"/>
        <v>insert into dbo.LifeInsJobCode (JobCode,JobGrade,JobDescription,JobGroupCode1,JobGroupName1,JobGroupCode2,JobGroupName2,CreateTime,Creator,ModifyTime,Modifier) VALUES ('08120020','3','領班、監工','','','','',getdate(),'Alvin',getdate(),'Alvin')</v>
      </c>
    </row>
    <row r="531" spans="2:13" ht="13.8">
      <c r="B531" s="15" t="s">
        <v>1780</v>
      </c>
      <c r="C531" s="15">
        <v>3</v>
      </c>
      <c r="D531" s="15" t="s">
        <v>1781</v>
      </c>
      <c r="E531" s="15" t="s">
        <v>758</v>
      </c>
      <c r="F531" s="15" t="s">
        <v>758</v>
      </c>
      <c r="G531" s="15" t="s">
        <v>758</v>
      </c>
      <c r="H531" s="15" t="s">
        <v>758</v>
      </c>
      <c r="I531" s="15" t="s">
        <v>2895</v>
      </c>
      <c r="J531" s="15" t="s">
        <v>755</v>
      </c>
      <c r="K531" s="15" t="s">
        <v>2895</v>
      </c>
      <c r="L531" s="15" t="s">
        <v>755</v>
      </c>
      <c r="M531" s="15" t="str">
        <f t="shared" si="8"/>
        <v>insert into dbo.LifeInsJobCode (JobCode,JobGrade,JobDescription,JobGroupCode1,JobGroupName1,JobGroupCode2,JobGroupName2,CreateTime,Creator,ModifyTime,Modifier) VALUES ('08120030','3','木製傢俱製造工人','','','','',getdate(),'Alvin',getdate(),'Alvin')</v>
      </c>
    </row>
    <row r="532" spans="2:13" ht="13.8">
      <c r="B532" s="15" t="s">
        <v>1782</v>
      </c>
      <c r="C532" s="15">
        <v>3</v>
      </c>
      <c r="D532" s="15" t="s">
        <v>1783</v>
      </c>
      <c r="E532" s="15" t="s">
        <v>758</v>
      </c>
      <c r="F532" s="15" t="s">
        <v>758</v>
      </c>
      <c r="G532" s="15" t="s">
        <v>758</v>
      </c>
      <c r="H532" s="15" t="s">
        <v>758</v>
      </c>
      <c r="I532" s="15" t="s">
        <v>2895</v>
      </c>
      <c r="J532" s="15" t="s">
        <v>755</v>
      </c>
      <c r="K532" s="15" t="s">
        <v>2895</v>
      </c>
      <c r="L532" s="15" t="s">
        <v>755</v>
      </c>
      <c r="M532" s="15" t="str">
        <f t="shared" si="8"/>
        <v>insert into dbo.LifeInsJobCode (JobCode,JobGrade,JobDescription,JobGroupCode1,JobGroupName1,JobGroupCode2,JobGroupName2,CreateTime,Creator,ModifyTime,Modifier) VALUES ('08120040','3','木製傢俱修理工','','','','',getdate(),'Alvin',getdate(),'Alvin')</v>
      </c>
    </row>
    <row r="533" spans="2:13" ht="13.8">
      <c r="B533" s="15" t="s">
        <v>1784</v>
      </c>
      <c r="C533" s="15">
        <v>4</v>
      </c>
      <c r="D533" s="15" t="s">
        <v>1785</v>
      </c>
      <c r="E533" s="15" t="s">
        <v>758</v>
      </c>
      <c r="F533" s="15" t="s">
        <v>758</v>
      </c>
      <c r="G533" s="15" t="s">
        <v>758</v>
      </c>
      <c r="H533" s="15" t="s">
        <v>758</v>
      </c>
      <c r="I533" s="15" t="s">
        <v>2895</v>
      </c>
      <c r="J533" s="15" t="s">
        <v>755</v>
      </c>
      <c r="K533" s="15" t="s">
        <v>2895</v>
      </c>
      <c r="L533" s="15" t="s">
        <v>755</v>
      </c>
      <c r="M533" s="15" t="str">
        <f t="shared" si="8"/>
        <v>insert into dbo.LifeInsJobCode (JobCode,JobGrade,JobDescription,JobGroupCode1,JobGroupName1,JobGroupCode2,JobGroupName2,CreateTime,Creator,ModifyTime,Modifier) VALUES ('08120050','4','金屬傢俱製造工人','','','','',getdate(),'Alvin',getdate(),'Alvin')</v>
      </c>
    </row>
    <row r="534" spans="2:13" ht="13.8">
      <c r="B534" s="15" t="s">
        <v>1786</v>
      </c>
      <c r="C534" s="15">
        <v>3</v>
      </c>
      <c r="D534" s="15" t="s">
        <v>1787</v>
      </c>
      <c r="E534" s="15" t="s">
        <v>758</v>
      </c>
      <c r="F534" s="15" t="s">
        <v>758</v>
      </c>
      <c r="G534" s="15" t="s">
        <v>758</v>
      </c>
      <c r="H534" s="15" t="s">
        <v>758</v>
      </c>
      <c r="I534" s="15" t="s">
        <v>2895</v>
      </c>
      <c r="J534" s="15" t="s">
        <v>755</v>
      </c>
      <c r="K534" s="15" t="s">
        <v>2895</v>
      </c>
      <c r="L534" s="15" t="s">
        <v>755</v>
      </c>
      <c r="M534" s="15" t="str">
        <f t="shared" si="8"/>
        <v>insert into dbo.LifeInsJobCode (JobCode,JobGrade,JobDescription,JobGroupCode1,JobGroupName1,JobGroupCode2,JobGroupName2,CreateTime,Creator,ModifyTime,Modifier) VALUES ('08120060','3','金屬傢俱修理工','','','','',getdate(),'Alvin',getdate(),'Alvin')</v>
      </c>
    </row>
    <row r="535" spans="2:13" ht="13.8">
      <c r="B535" s="15" t="s">
        <v>1788</v>
      </c>
      <c r="C535" s="15">
        <v>1</v>
      </c>
      <c r="D535" s="15" t="s">
        <v>1741</v>
      </c>
      <c r="E535" s="15" t="s">
        <v>758</v>
      </c>
      <c r="F535" s="15" t="s">
        <v>758</v>
      </c>
      <c r="G535" s="15" t="s">
        <v>758</v>
      </c>
      <c r="H535" s="15" t="s">
        <v>758</v>
      </c>
      <c r="I535" s="15" t="s">
        <v>2895</v>
      </c>
      <c r="J535" s="15" t="s">
        <v>755</v>
      </c>
      <c r="K535" s="15" t="s">
        <v>2895</v>
      </c>
      <c r="L535" s="15" t="s">
        <v>755</v>
      </c>
      <c r="M535" s="15" t="str">
        <f t="shared" si="8"/>
        <v>insert into dbo.LifeInsJobCode (JobCode,JobGrade,JobDescription,JobGroupCode1,JobGroupName1,JobGroupCode2,JobGroupName2,CreateTime,Creator,ModifyTime,Modifier) VALUES ('08120070','1','設計師','','','','',getdate(),'Alvin',getdate(),'Alvin')</v>
      </c>
    </row>
    <row r="536" spans="2:13" ht="13.8">
      <c r="B536" s="15" t="s">
        <v>1789</v>
      </c>
      <c r="C536" s="15">
        <v>2</v>
      </c>
      <c r="D536" s="15" t="s">
        <v>1508</v>
      </c>
      <c r="E536" s="15" t="s">
        <v>758</v>
      </c>
      <c r="F536" s="15" t="s">
        <v>758</v>
      </c>
      <c r="G536" s="15" t="s">
        <v>758</v>
      </c>
      <c r="H536" s="15" t="s">
        <v>758</v>
      </c>
      <c r="I536" s="15" t="s">
        <v>2895</v>
      </c>
      <c r="J536" s="15" t="s">
        <v>755</v>
      </c>
      <c r="K536" s="15" t="s">
        <v>2895</v>
      </c>
      <c r="L536" s="15" t="s">
        <v>755</v>
      </c>
      <c r="M536" s="15" t="str">
        <f t="shared" si="8"/>
        <v>insert into dbo.LifeInsJobCode (JobCode,JobGrade,JobDescription,JobGroupCode1,JobGroupName1,JobGroupCode2,JobGroupName2,CreateTime,Creator,ModifyTime,Modifier) VALUES ('08120080','2','品管人員','','','','',getdate(),'Alvin',getdate(),'Alvin')</v>
      </c>
    </row>
    <row r="537" spans="2:13" ht="13.8">
      <c r="B537" s="15" t="s">
        <v>1790</v>
      </c>
      <c r="C537" s="15">
        <v>3</v>
      </c>
      <c r="D537" s="15" t="s">
        <v>3302</v>
      </c>
      <c r="E537" s="15" t="s">
        <v>758</v>
      </c>
      <c r="F537" s="15" t="s">
        <v>758</v>
      </c>
      <c r="G537" s="15" t="s">
        <v>758</v>
      </c>
      <c r="H537" s="15" t="s">
        <v>758</v>
      </c>
      <c r="I537" s="15" t="s">
        <v>2895</v>
      </c>
      <c r="J537" s="15" t="s">
        <v>755</v>
      </c>
      <c r="K537" s="15" t="s">
        <v>2895</v>
      </c>
      <c r="L537" s="15" t="s">
        <v>755</v>
      </c>
      <c r="M537" s="15" t="str">
        <f t="shared" si="8"/>
        <v>insert into dbo.LifeInsJobCode (JobCode,JobGrade,JobDescription,JobGroupCode1,JobGroupName1,JobGroupCode2,JobGroupName2,CreateTime,Creator,ModifyTime,Modifier) VALUES ('08120090','3','傢俱油漆工(噴漆、烤漆)','','','','',getdate(),'Alvin',getdate(),'Alvin')</v>
      </c>
    </row>
    <row r="538" spans="2:13" ht="13.8">
      <c r="B538" s="15" t="s">
        <v>1791</v>
      </c>
      <c r="C538" s="15">
        <v>3</v>
      </c>
      <c r="D538" s="15" t="s">
        <v>1792</v>
      </c>
      <c r="E538" s="15" t="s">
        <v>758</v>
      </c>
      <c r="F538" s="15" t="s">
        <v>758</v>
      </c>
      <c r="G538" s="15" t="s">
        <v>758</v>
      </c>
      <c r="H538" s="15" t="s">
        <v>758</v>
      </c>
      <c r="I538" s="15" t="s">
        <v>2895</v>
      </c>
      <c r="J538" s="15" t="s">
        <v>755</v>
      </c>
      <c r="K538" s="15" t="s">
        <v>2895</v>
      </c>
      <c r="L538" s="15" t="s">
        <v>755</v>
      </c>
      <c r="M538" s="15" t="str">
        <f t="shared" si="8"/>
        <v>insert into dbo.LifeInsJobCode (JobCode,JobGrade,JobDescription,JobGroupCode1,JobGroupName1,JobGroupCode2,JobGroupName2,CreateTime,Creator,ModifyTime,Modifier) VALUES ('08120100','3','傢俱運送、組裝工人','','','','',getdate(),'Alvin',getdate(),'Alvin')</v>
      </c>
    </row>
    <row r="539" spans="2:13" ht="13.8">
      <c r="B539" s="15" t="s">
        <v>1793</v>
      </c>
      <c r="C539" s="15">
        <v>4</v>
      </c>
      <c r="D539" s="15" t="s">
        <v>1794</v>
      </c>
      <c r="E539" s="15" t="s">
        <v>758</v>
      </c>
      <c r="F539" s="15" t="s">
        <v>758</v>
      </c>
      <c r="G539" s="15" t="s">
        <v>758</v>
      </c>
      <c r="H539" s="15" t="s">
        <v>758</v>
      </c>
      <c r="I539" s="15" t="s">
        <v>2895</v>
      </c>
      <c r="J539" s="15" t="s">
        <v>755</v>
      </c>
      <c r="K539" s="15" t="s">
        <v>2895</v>
      </c>
      <c r="L539" s="15" t="s">
        <v>755</v>
      </c>
      <c r="M539" s="15" t="str">
        <f t="shared" si="8"/>
        <v>insert into dbo.LifeInsJobCode (JobCode,JobGrade,JobDescription,JobGroupCode1,JobGroupName1,JobGroupCode2,JobGroupName2,CreateTime,Creator,ModifyTime,Modifier) VALUES ('08120110','4','石材傢俱製造、修理工','','','','',getdate(),'Alvin',getdate(),'Alvin')</v>
      </c>
    </row>
    <row r="540" spans="2:13" ht="13.8">
      <c r="B540" s="15" t="s">
        <v>1795</v>
      </c>
      <c r="C540" s="15">
        <v>2</v>
      </c>
      <c r="D540" s="15" t="s">
        <v>1796</v>
      </c>
      <c r="E540" s="15" t="s">
        <v>758</v>
      </c>
      <c r="F540" s="15" t="s">
        <v>758</v>
      </c>
      <c r="G540" s="15" t="s">
        <v>1797</v>
      </c>
      <c r="H540" s="15" t="s">
        <v>1798</v>
      </c>
      <c r="I540" s="15" t="s">
        <v>2895</v>
      </c>
      <c r="J540" s="15" t="s">
        <v>755</v>
      </c>
      <c r="K540" s="15" t="s">
        <v>2895</v>
      </c>
      <c r="L540" s="15" t="s">
        <v>755</v>
      </c>
      <c r="M540" s="15" t="str">
        <f t="shared" si="8"/>
        <v>insert into dbo.LifeInsJobCode (JobCode,JobGrade,JobDescription,JobGroupCode1,JobGroupName1,JobGroupCode2,JobGroupName2,CreateTime,Creator,ModifyTime,Modifier) VALUES ('08130010','2','竹木製手工藝品之加工工人','','','0813','手工藝品業',getdate(),'Alvin',getdate(),'Alvin')</v>
      </c>
    </row>
    <row r="541" spans="2:13" ht="13.8">
      <c r="B541" s="15" t="s">
        <v>1799</v>
      </c>
      <c r="C541" s="15">
        <v>2</v>
      </c>
      <c r="D541" s="15" t="s">
        <v>1800</v>
      </c>
      <c r="E541" s="15" t="s">
        <v>758</v>
      </c>
      <c r="F541" s="15" t="s">
        <v>758</v>
      </c>
      <c r="G541" s="15" t="s">
        <v>758</v>
      </c>
      <c r="H541" s="15" t="s">
        <v>758</v>
      </c>
      <c r="I541" s="15" t="s">
        <v>2895</v>
      </c>
      <c r="J541" s="15" t="s">
        <v>755</v>
      </c>
      <c r="K541" s="15" t="s">
        <v>2895</v>
      </c>
      <c r="L541" s="15" t="s">
        <v>755</v>
      </c>
      <c r="M541" s="15" t="str">
        <f t="shared" si="8"/>
        <v>insert into dbo.LifeInsJobCode (JobCode,JobGrade,JobDescription,JobGroupCode1,JobGroupName1,JobGroupCode2,JobGroupName2,CreateTime,Creator,ModifyTime,Modifier) VALUES ('08130020','2','竹木製手工藝品之雕刻工人','','','','',getdate(),'Alvin',getdate(),'Alvin')</v>
      </c>
    </row>
    <row r="542" spans="2:13" ht="13.8">
      <c r="B542" s="15" t="s">
        <v>1801</v>
      </c>
      <c r="C542" s="15">
        <v>3</v>
      </c>
      <c r="D542" s="15" t="s">
        <v>1802</v>
      </c>
      <c r="E542" s="15" t="s">
        <v>758</v>
      </c>
      <c r="F542" s="15" t="s">
        <v>758</v>
      </c>
      <c r="G542" s="15" t="s">
        <v>758</v>
      </c>
      <c r="H542" s="15" t="s">
        <v>758</v>
      </c>
      <c r="I542" s="15" t="s">
        <v>2895</v>
      </c>
      <c r="J542" s="15" t="s">
        <v>755</v>
      </c>
      <c r="K542" s="15" t="s">
        <v>2895</v>
      </c>
      <c r="L542" s="15" t="s">
        <v>755</v>
      </c>
      <c r="M542" s="15" t="str">
        <f t="shared" si="8"/>
        <v>insert into dbo.LifeInsJobCode (JobCode,JobGrade,JobDescription,JobGroupCode1,JobGroupName1,JobGroupCode2,JobGroupName2,CreateTime,Creator,ModifyTime,Modifier) VALUES ('08130030','3','金屬手工藝品之加工工人','','','','',getdate(),'Alvin',getdate(),'Alvin')</v>
      </c>
    </row>
    <row r="543" spans="2:13" ht="13.8">
      <c r="B543" s="15" t="s">
        <v>1803</v>
      </c>
      <c r="C543" s="15">
        <v>3</v>
      </c>
      <c r="D543" s="15" t="s">
        <v>1804</v>
      </c>
      <c r="E543" s="15" t="s">
        <v>758</v>
      </c>
      <c r="F543" s="15" t="s">
        <v>758</v>
      </c>
      <c r="G543" s="15" t="s">
        <v>758</v>
      </c>
      <c r="H543" s="15" t="s">
        <v>758</v>
      </c>
      <c r="I543" s="15" t="s">
        <v>2895</v>
      </c>
      <c r="J543" s="15" t="s">
        <v>755</v>
      </c>
      <c r="K543" s="15" t="s">
        <v>2895</v>
      </c>
      <c r="L543" s="15" t="s">
        <v>755</v>
      </c>
      <c r="M543" s="15" t="str">
        <f t="shared" si="8"/>
        <v>insert into dbo.LifeInsJobCode (JobCode,JobGrade,JobDescription,JobGroupCode1,JobGroupName1,JobGroupCode2,JobGroupName2,CreateTime,Creator,ModifyTime,Modifier) VALUES ('08130040','3','金屬手工藝品之雕刻工人','','','','',getdate(),'Alvin',getdate(),'Alvin')</v>
      </c>
    </row>
    <row r="544" spans="2:13" ht="13.8">
      <c r="B544" s="15" t="s">
        <v>1805</v>
      </c>
      <c r="C544" s="15">
        <v>1</v>
      </c>
      <c r="D544" s="15" t="s">
        <v>1806</v>
      </c>
      <c r="E544" s="15" t="s">
        <v>758</v>
      </c>
      <c r="F544" s="15" t="s">
        <v>758</v>
      </c>
      <c r="G544" s="15" t="s">
        <v>758</v>
      </c>
      <c r="H544" s="15" t="s">
        <v>758</v>
      </c>
      <c r="I544" s="15" t="s">
        <v>2895</v>
      </c>
      <c r="J544" s="15" t="s">
        <v>755</v>
      </c>
      <c r="K544" s="15" t="s">
        <v>2895</v>
      </c>
      <c r="L544" s="15" t="s">
        <v>755</v>
      </c>
      <c r="M544" s="15" t="str">
        <f t="shared" si="8"/>
        <v>insert into dbo.LifeInsJobCode (JobCode,JobGrade,JobDescription,JobGroupCode1,JobGroupName1,JobGroupCode2,JobGroupName2,CreateTime,Creator,ModifyTime,Modifier) VALUES ('08130050','1','布類紙品工藝品之加工工人','','','','',getdate(),'Alvin',getdate(),'Alvin')</v>
      </c>
    </row>
    <row r="545" spans="2:13" ht="13.8">
      <c r="B545" s="15" t="s">
        <v>1807</v>
      </c>
      <c r="C545" s="15">
        <v>3</v>
      </c>
      <c r="D545" s="15" t="s">
        <v>1808</v>
      </c>
      <c r="E545" s="15" t="s">
        <v>758</v>
      </c>
      <c r="F545" s="15" t="s">
        <v>758</v>
      </c>
      <c r="G545" s="15" t="s">
        <v>758</v>
      </c>
      <c r="H545" s="15" t="s">
        <v>758</v>
      </c>
      <c r="I545" s="15" t="s">
        <v>2895</v>
      </c>
      <c r="J545" s="15" t="s">
        <v>755</v>
      </c>
      <c r="K545" s="15" t="s">
        <v>2895</v>
      </c>
      <c r="L545" s="15" t="s">
        <v>755</v>
      </c>
      <c r="M545" s="15" t="str">
        <f t="shared" si="8"/>
        <v>insert into dbo.LifeInsJobCode (JobCode,JobGrade,JobDescription,JobGroupCode1,JobGroupName1,JobGroupCode2,JobGroupName2,CreateTime,Creator,ModifyTime,Modifier) VALUES ('08130060','3','礦石手工藝品加工人員','','','','',getdate(),'Alvin',getdate(),'Alvin')</v>
      </c>
    </row>
    <row r="546" spans="2:13" ht="13.8">
      <c r="B546" s="15" t="s">
        <v>1809</v>
      </c>
      <c r="C546" s="15">
        <v>2</v>
      </c>
      <c r="D546" s="15" t="s">
        <v>1810</v>
      </c>
      <c r="E546" s="15" t="s">
        <v>758</v>
      </c>
      <c r="F546" s="15" t="s">
        <v>758</v>
      </c>
      <c r="G546" s="15" t="s">
        <v>758</v>
      </c>
      <c r="H546" s="15" t="s">
        <v>758</v>
      </c>
      <c r="I546" s="15" t="s">
        <v>2895</v>
      </c>
      <c r="J546" s="15" t="s">
        <v>755</v>
      </c>
      <c r="K546" s="15" t="s">
        <v>2895</v>
      </c>
      <c r="L546" s="15" t="s">
        <v>755</v>
      </c>
      <c r="M546" s="15" t="str">
        <f t="shared" si="8"/>
        <v>insert into dbo.LifeInsJobCode (JobCode,JobGrade,JobDescription,JobGroupCode1,JobGroupName1,JobGroupCode2,JobGroupName2,CreateTime,Creator,ModifyTime,Modifier) VALUES ('08130070','2','珠寶加工工人','','','','',getdate(),'Alvin',getdate(),'Alvin')</v>
      </c>
    </row>
    <row r="547" spans="2:13" ht="13.8">
      <c r="B547" s="15" t="s">
        <v>1811</v>
      </c>
      <c r="C547" s="15">
        <v>2</v>
      </c>
      <c r="D547" s="15" t="s">
        <v>1812</v>
      </c>
      <c r="E547" s="15" t="s">
        <v>758</v>
      </c>
      <c r="F547" s="15" t="s">
        <v>758</v>
      </c>
      <c r="G547" s="15" t="s">
        <v>758</v>
      </c>
      <c r="H547" s="15" t="s">
        <v>758</v>
      </c>
      <c r="I547" s="15" t="s">
        <v>2895</v>
      </c>
      <c r="J547" s="15" t="s">
        <v>755</v>
      </c>
      <c r="K547" s="15" t="s">
        <v>2895</v>
      </c>
      <c r="L547" s="15" t="s">
        <v>755</v>
      </c>
      <c r="M547" s="15" t="str">
        <f t="shared" si="8"/>
        <v>insert into dbo.LifeInsJobCode (JobCode,JobGrade,JobDescription,JobGroupCode1,JobGroupName1,JobGroupCode2,JobGroupName2,CreateTime,Creator,ModifyTime,Modifier) VALUES ('08130080','2','皮革手工藝品加工','','','','',getdate(),'Alvin',getdate(),'Alvin')</v>
      </c>
    </row>
    <row r="548" spans="2:13" ht="13.8">
      <c r="B548" s="15" t="s">
        <v>1813</v>
      </c>
      <c r="C548" s="15">
        <v>3</v>
      </c>
      <c r="D548" s="15" t="s">
        <v>1814</v>
      </c>
      <c r="E548" s="15" t="s">
        <v>758</v>
      </c>
      <c r="F548" s="15" t="s">
        <v>758</v>
      </c>
      <c r="G548" s="15" t="s">
        <v>758</v>
      </c>
      <c r="H548" s="15" t="s">
        <v>758</v>
      </c>
      <c r="I548" s="15" t="s">
        <v>2895</v>
      </c>
      <c r="J548" s="15" t="s">
        <v>755</v>
      </c>
      <c r="K548" s="15" t="s">
        <v>2895</v>
      </c>
      <c r="L548" s="15" t="s">
        <v>755</v>
      </c>
      <c r="M548" s="15" t="str">
        <f t="shared" si="8"/>
        <v>insert into dbo.LifeInsJobCode (JobCode,JobGrade,JobDescription,JobGroupCode1,JobGroupName1,JobGroupCode2,JobGroupName2,CreateTime,Creator,ModifyTime,Modifier) VALUES ('08130090','3','陶瓷廠工人','','','','',getdate(),'Alvin',getdate(),'Alvin')</v>
      </c>
    </row>
    <row r="549" spans="2:13" ht="13.8">
      <c r="B549" s="15" t="s">
        <v>1815</v>
      </c>
      <c r="C549" s="15">
        <v>3</v>
      </c>
      <c r="D549" s="15" t="s">
        <v>1495</v>
      </c>
      <c r="E549" s="15" t="s">
        <v>758</v>
      </c>
      <c r="F549" s="15" t="s">
        <v>758</v>
      </c>
      <c r="G549" s="15" t="s">
        <v>1816</v>
      </c>
      <c r="H549" s="15" t="s">
        <v>1817</v>
      </c>
      <c r="I549" s="15" t="s">
        <v>2895</v>
      </c>
      <c r="J549" s="15" t="s">
        <v>755</v>
      </c>
      <c r="K549" s="15" t="s">
        <v>2895</v>
      </c>
      <c r="L549" s="15" t="s">
        <v>755</v>
      </c>
      <c r="M549" s="15" t="str">
        <f t="shared" si="8"/>
        <v>insert into dbo.LifeInsJobCode (JobCode,JobGrade,JobDescription,JobGroupCode1,JobGroupName1,JobGroupCode2,JobGroupName2,CreateTime,Creator,ModifyTime,Modifier) VALUES ('08140010','3','技師','','','0814','電線電纜業',getdate(),'Alvin',getdate(),'Alvin')</v>
      </c>
    </row>
    <row r="550" spans="2:13" ht="13.8">
      <c r="B550" s="15" t="s">
        <v>1818</v>
      </c>
      <c r="C550" s="15">
        <v>4</v>
      </c>
      <c r="D550" s="15" t="s">
        <v>915</v>
      </c>
      <c r="E550" s="15" t="s">
        <v>758</v>
      </c>
      <c r="F550" s="15" t="s">
        <v>758</v>
      </c>
      <c r="G550" s="15" t="s">
        <v>758</v>
      </c>
      <c r="H550" s="15" t="s">
        <v>758</v>
      </c>
      <c r="I550" s="15" t="s">
        <v>2895</v>
      </c>
      <c r="J550" s="15" t="s">
        <v>755</v>
      </c>
      <c r="K550" s="15" t="s">
        <v>2895</v>
      </c>
      <c r="L550" s="15" t="s">
        <v>755</v>
      </c>
      <c r="M550" s="15" t="str">
        <f t="shared" si="8"/>
        <v>insert into dbo.LifeInsJobCode (JobCode,JobGrade,JobDescription,JobGroupCode1,JobGroupName1,JobGroupCode2,JobGroupName2,CreateTime,Creator,ModifyTime,Modifier) VALUES ('08140020','4','工人','','','','',getdate(),'Alvin',getdate(),'Alvin')</v>
      </c>
    </row>
    <row r="551" spans="2:13" ht="13.8">
      <c r="B551" s="15" t="s">
        <v>1819</v>
      </c>
      <c r="C551" s="15">
        <v>3</v>
      </c>
      <c r="D551" s="15" t="s">
        <v>1820</v>
      </c>
      <c r="E551" s="15" t="s">
        <v>758</v>
      </c>
      <c r="F551" s="15" t="s">
        <v>758</v>
      </c>
      <c r="G551" s="15" t="s">
        <v>1821</v>
      </c>
      <c r="H551" s="15" t="s">
        <v>1822</v>
      </c>
      <c r="I551" s="15" t="s">
        <v>2895</v>
      </c>
      <c r="J551" s="15" t="s">
        <v>755</v>
      </c>
      <c r="K551" s="15" t="s">
        <v>2895</v>
      </c>
      <c r="L551" s="15" t="s">
        <v>755</v>
      </c>
      <c r="M551" s="15" t="str">
        <f t="shared" si="8"/>
        <v>insert into dbo.LifeInsJobCode (JobCode,JobGrade,JobDescription,JobGroupCode1,JobGroupName1,JobGroupCode2,JobGroupName2,CreateTime,Creator,ModifyTime,Modifier) VALUES ('08150010','3','冰塊製造','','','0815','食品飲料製造業',getdate(),'Alvin',getdate(),'Alvin')</v>
      </c>
    </row>
    <row r="552" spans="2:13" ht="13.8">
      <c r="B552" s="15" t="s">
        <v>1823</v>
      </c>
      <c r="C552" s="15">
        <v>2</v>
      </c>
      <c r="D552" s="15" t="s">
        <v>1495</v>
      </c>
      <c r="E552" s="15" t="s">
        <v>758</v>
      </c>
      <c r="F552" s="15" t="s">
        <v>758</v>
      </c>
      <c r="G552" s="15" t="s">
        <v>758</v>
      </c>
      <c r="H552" s="15" t="s">
        <v>758</v>
      </c>
      <c r="I552" s="15" t="s">
        <v>2895</v>
      </c>
      <c r="J552" s="15" t="s">
        <v>755</v>
      </c>
      <c r="K552" s="15" t="s">
        <v>2895</v>
      </c>
      <c r="L552" s="15" t="s">
        <v>755</v>
      </c>
      <c r="M552" s="15" t="str">
        <f t="shared" si="8"/>
        <v>insert into dbo.LifeInsJobCode (JobCode,JobGrade,JobDescription,JobGroupCode1,JobGroupName1,JobGroupCode2,JobGroupName2,CreateTime,Creator,ModifyTime,Modifier) VALUES ('08150020','2','技師','','','','',getdate(),'Alvin',getdate(),'Alvin')</v>
      </c>
    </row>
    <row r="553" spans="2:13" ht="13.8">
      <c r="B553" s="15" t="s">
        <v>1824</v>
      </c>
      <c r="C553" s="15">
        <v>3</v>
      </c>
      <c r="D553" s="15" t="s">
        <v>1744</v>
      </c>
      <c r="E553" s="15" t="s">
        <v>758</v>
      </c>
      <c r="F553" s="15" t="s">
        <v>758</v>
      </c>
      <c r="G553" s="15" t="s">
        <v>758</v>
      </c>
      <c r="H553" s="15" t="s">
        <v>758</v>
      </c>
      <c r="I553" s="15" t="s">
        <v>2895</v>
      </c>
      <c r="J553" s="15" t="s">
        <v>755</v>
      </c>
      <c r="K553" s="15" t="s">
        <v>2895</v>
      </c>
      <c r="L553" s="15" t="s">
        <v>755</v>
      </c>
      <c r="M553" s="15" t="str">
        <f t="shared" si="8"/>
        <v>insert into dbo.LifeInsJobCode (JobCode,JobGrade,JobDescription,JobGroupCode1,JobGroupName1,JobGroupCode2,JobGroupName2,CreateTime,Creator,ModifyTime,Modifier) VALUES ('08150030','3','製造工人','','','','',getdate(),'Alvin',getdate(),'Alvin')</v>
      </c>
    </row>
    <row r="554" spans="2:13" ht="13.8">
      <c r="B554" s="15" t="s">
        <v>1825</v>
      </c>
      <c r="C554" s="15">
        <v>3</v>
      </c>
      <c r="D554" s="15" t="s">
        <v>1826</v>
      </c>
      <c r="E554" s="15" t="s">
        <v>758</v>
      </c>
      <c r="F554" s="15" t="s">
        <v>758</v>
      </c>
      <c r="G554" s="15" t="s">
        <v>758</v>
      </c>
      <c r="H554" s="15" t="s">
        <v>758</v>
      </c>
      <c r="I554" s="15" t="s">
        <v>2895</v>
      </c>
      <c r="J554" s="15" t="s">
        <v>755</v>
      </c>
      <c r="K554" s="15" t="s">
        <v>2895</v>
      </c>
      <c r="L554" s="15" t="s">
        <v>755</v>
      </c>
      <c r="M554" s="15" t="str">
        <f t="shared" si="8"/>
        <v>insert into dbo.LifeInsJobCode (JobCode,JobGrade,JobDescription,JobGroupCode1,JobGroupName1,JobGroupCode2,JobGroupName2,CreateTime,Creator,ModifyTime,Modifier) VALUES ('08150040','3','碾米廠操作人員','','','','',getdate(),'Alvin',getdate(),'Alvin')</v>
      </c>
    </row>
    <row r="555" spans="2:13" ht="13.8">
      <c r="B555" s="15" t="s">
        <v>1827</v>
      </c>
      <c r="C555" s="15">
        <v>2</v>
      </c>
      <c r="D555" s="15" t="s">
        <v>1828</v>
      </c>
      <c r="E555" s="15" t="s">
        <v>758</v>
      </c>
      <c r="F555" s="15" t="s">
        <v>758</v>
      </c>
      <c r="G555" s="15" t="s">
        <v>758</v>
      </c>
      <c r="H555" s="15" t="s">
        <v>758</v>
      </c>
      <c r="I555" s="15" t="s">
        <v>2895</v>
      </c>
      <c r="J555" s="15" t="s">
        <v>755</v>
      </c>
      <c r="K555" s="15" t="s">
        <v>2895</v>
      </c>
      <c r="L555" s="15" t="s">
        <v>755</v>
      </c>
      <c r="M555" s="15" t="str">
        <f t="shared" si="8"/>
        <v>insert into dbo.LifeInsJobCode (JobCode,JobGrade,JobDescription,JobGroupCode1,JobGroupName1,JobGroupCode2,JobGroupName2,CreateTime,Creator,ModifyTime,Modifier) VALUES ('08150050','2','麵包師父','','','','',getdate(),'Alvin',getdate(),'Alvin')</v>
      </c>
    </row>
    <row r="556" spans="2:13" ht="13.8">
      <c r="B556" s="15" t="s">
        <v>1829</v>
      </c>
      <c r="C556" s="15">
        <v>2</v>
      </c>
      <c r="D556" s="15" t="s">
        <v>1830</v>
      </c>
      <c r="E556" s="15" t="s">
        <v>758</v>
      </c>
      <c r="F556" s="15" t="s">
        <v>758</v>
      </c>
      <c r="G556" s="15" t="s">
        <v>758</v>
      </c>
      <c r="H556" s="15" t="s">
        <v>758</v>
      </c>
      <c r="I556" s="15" t="s">
        <v>2895</v>
      </c>
      <c r="J556" s="15" t="s">
        <v>755</v>
      </c>
      <c r="K556" s="15" t="s">
        <v>2895</v>
      </c>
      <c r="L556" s="15" t="s">
        <v>755</v>
      </c>
      <c r="M556" s="15" t="str">
        <f t="shared" si="8"/>
        <v>insert into dbo.LifeInsJobCode (JobCode,JobGrade,JobDescription,JobGroupCode1,JobGroupName1,JobGroupCode2,JobGroupName2,CreateTime,Creator,ModifyTime,Modifier) VALUES ('08150060','2','製麵工人','','','','',getdate(),'Alvin',getdate(),'Alvin')</v>
      </c>
    </row>
    <row r="557" spans="2:13" ht="13.8">
      <c r="B557" s="15" t="s">
        <v>1831</v>
      </c>
      <c r="C557" s="15">
        <v>2</v>
      </c>
      <c r="D557" s="15" t="s">
        <v>1508</v>
      </c>
      <c r="E557" s="15" t="s">
        <v>758</v>
      </c>
      <c r="F557" s="15" t="s">
        <v>758</v>
      </c>
      <c r="G557" s="15" t="s">
        <v>758</v>
      </c>
      <c r="H557" s="15" t="s">
        <v>758</v>
      </c>
      <c r="I557" s="15" t="s">
        <v>2895</v>
      </c>
      <c r="J557" s="15" t="s">
        <v>755</v>
      </c>
      <c r="K557" s="15" t="s">
        <v>2895</v>
      </c>
      <c r="L557" s="15" t="s">
        <v>755</v>
      </c>
      <c r="M557" s="15" t="str">
        <f t="shared" si="8"/>
        <v>insert into dbo.LifeInsJobCode (JobCode,JobGrade,JobDescription,JobGroupCode1,JobGroupName1,JobGroupCode2,JobGroupName2,CreateTime,Creator,ModifyTime,Modifier) VALUES ('08150070','2','品管人員','','','','',getdate(),'Alvin',getdate(),'Alvin')</v>
      </c>
    </row>
    <row r="558" spans="2:13" ht="13.8">
      <c r="B558" s="15" t="s">
        <v>1832</v>
      </c>
      <c r="C558" s="15">
        <v>2</v>
      </c>
      <c r="D558" s="15" t="s">
        <v>1833</v>
      </c>
      <c r="E558" s="15" t="s">
        <v>758</v>
      </c>
      <c r="F558" s="15" t="s">
        <v>758</v>
      </c>
      <c r="G558" s="15" t="s">
        <v>758</v>
      </c>
      <c r="H558" s="15" t="s">
        <v>758</v>
      </c>
      <c r="I558" s="15" t="s">
        <v>2895</v>
      </c>
      <c r="J558" s="15" t="s">
        <v>755</v>
      </c>
      <c r="K558" s="15" t="s">
        <v>2895</v>
      </c>
      <c r="L558" s="15" t="s">
        <v>755</v>
      </c>
      <c r="M558" s="15" t="str">
        <f t="shared" si="8"/>
        <v>insert into dbo.LifeInsJobCode (JobCode,JobGrade,JobDescription,JobGroupCode1,JobGroupName1,JobGroupCode2,JobGroupName2,CreateTime,Creator,ModifyTime,Modifier) VALUES ('08150080','2','食品加工工人','','','','',getdate(),'Alvin',getdate(),'Alvin')</v>
      </c>
    </row>
    <row r="559" spans="2:13" ht="13.8">
      <c r="B559" s="15" t="s">
        <v>1834</v>
      </c>
      <c r="C559" s="15">
        <v>2</v>
      </c>
      <c r="D559" s="15" t="s">
        <v>1835</v>
      </c>
      <c r="E559" s="15" t="s">
        <v>758</v>
      </c>
      <c r="F559" s="15" t="s">
        <v>758</v>
      </c>
      <c r="G559" s="15" t="s">
        <v>758</v>
      </c>
      <c r="H559" s="15" t="s">
        <v>758</v>
      </c>
      <c r="I559" s="15" t="s">
        <v>2895</v>
      </c>
      <c r="J559" s="15" t="s">
        <v>755</v>
      </c>
      <c r="K559" s="15" t="s">
        <v>2895</v>
      </c>
      <c r="L559" s="15" t="s">
        <v>755</v>
      </c>
      <c r="M559" s="15" t="str">
        <f t="shared" si="8"/>
        <v>insert into dbo.LifeInsJobCode (JobCode,JobGrade,JobDescription,JobGroupCode1,JobGroupName1,JobGroupCode2,JobGroupName2,CreateTime,Creator,ModifyTime,Modifier) VALUES ('08150090','2','包裝工','','','','',getdate(),'Alvin',getdate(),'Alvin')</v>
      </c>
    </row>
    <row r="560" spans="2:13" ht="13.8">
      <c r="B560" s="15" t="s">
        <v>1836</v>
      </c>
      <c r="C560" s="15">
        <v>3</v>
      </c>
      <c r="D560" s="15" t="s">
        <v>1837</v>
      </c>
      <c r="E560" s="15" t="s">
        <v>758</v>
      </c>
      <c r="F560" s="15" t="s">
        <v>758</v>
      </c>
      <c r="G560" s="15" t="s">
        <v>758</v>
      </c>
      <c r="H560" s="15" t="s">
        <v>758</v>
      </c>
      <c r="I560" s="15" t="s">
        <v>2895</v>
      </c>
      <c r="J560" s="15" t="s">
        <v>755</v>
      </c>
      <c r="K560" s="15" t="s">
        <v>2895</v>
      </c>
      <c r="L560" s="15" t="s">
        <v>755</v>
      </c>
      <c r="M560" s="15" t="str">
        <f t="shared" si="8"/>
        <v>insert into dbo.LifeInsJobCode (JobCode,JobGrade,JobDescription,JobGroupCode1,JobGroupName1,JobGroupCode2,JobGroupName2,CreateTime,Creator,ModifyTime,Modifier) VALUES ('08150100','3','煙、酒製造工人','','','','',getdate(),'Alvin',getdate(),'Alvin')</v>
      </c>
    </row>
    <row r="561" spans="2:13" ht="13.8">
      <c r="B561" s="15" t="s">
        <v>1838</v>
      </c>
      <c r="C561" s="15">
        <v>2</v>
      </c>
      <c r="D561" s="15" t="s">
        <v>1424</v>
      </c>
      <c r="E561" s="15" t="s">
        <v>758</v>
      </c>
      <c r="F561" s="15" t="s">
        <v>758</v>
      </c>
      <c r="G561" s="15" t="s">
        <v>758</v>
      </c>
      <c r="H561" s="15" t="s">
        <v>758</v>
      </c>
      <c r="I561" s="15" t="s">
        <v>2895</v>
      </c>
      <c r="J561" s="15" t="s">
        <v>755</v>
      </c>
      <c r="K561" s="15" t="s">
        <v>2895</v>
      </c>
      <c r="L561" s="15" t="s">
        <v>755</v>
      </c>
      <c r="M561" s="15" t="str">
        <f t="shared" si="8"/>
        <v>insert into dbo.LifeInsJobCode (JobCode,JobGrade,JobDescription,JobGroupCode1,JobGroupName1,JobGroupCode2,JobGroupName2,CreateTime,Creator,ModifyTime,Modifier) VALUES ('08150110','2','領班、監工','','','','',getdate(),'Alvin',getdate(),'Alvin')</v>
      </c>
    </row>
    <row r="562" spans="2:13" ht="13.8">
      <c r="B562" s="15" t="s">
        <v>1839</v>
      </c>
      <c r="C562" s="15">
        <v>2</v>
      </c>
      <c r="D562" s="15" t="s">
        <v>1840</v>
      </c>
      <c r="E562" s="15" t="s">
        <v>758</v>
      </c>
      <c r="F562" s="15" t="s">
        <v>758</v>
      </c>
      <c r="G562" s="15" t="s">
        <v>758</v>
      </c>
      <c r="H562" s="15" t="s">
        <v>758</v>
      </c>
      <c r="I562" s="15" t="s">
        <v>2895</v>
      </c>
      <c r="J562" s="15" t="s">
        <v>755</v>
      </c>
      <c r="K562" s="15" t="s">
        <v>2895</v>
      </c>
      <c r="L562" s="15" t="s">
        <v>755</v>
      </c>
      <c r="M562" s="15" t="str">
        <f t="shared" si="8"/>
        <v>insert into dbo.LifeInsJobCode (JobCode,JobGrade,JobDescription,JobGroupCode1,JobGroupName1,JobGroupCode2,JobGroupName2,CreateTime,Creator,ModifyTime,Modifier) VALUES ('08150120','2','酒廠化驗人員','','','','',getdate(),'Alvin',getdate(),'Alvin')</v>
      </c>
    </row>
    <row r="563" spans="2:13" ht="13.8">
      <c r="B563" s="15" t="s">
        <v>1841</v>
      </c>
      <c r="C563" s="15">
        <v>4</v>
      </c>
      <c r="D563" s="15" t="s">
        <v>1842</v>
      </c>
      <c r="E563" s="15" t="s">
        <v>758</v>
      </c>
      <c r="F563" s="15" t="s">
        <v>758</v>
      </c>
      <c r="G563" s="15" t="s">
        <v>758</v>
      </c>
      <c r="H563" s="15" t="s">
        <v>758</v>
      </c>
      <c r="I563" s="15" t="s">
        <v>2895</v>
      </c>
      <c r="J563" s="15" t="s">
        <v>755</v>
      </c>
      <c r="K563" s="15" t="s">
        <v>2895</v>
      </c>
      <c r="L563" s="15" t="s">
        <v>755</v>
      </c>
      <c r="M563" s="15" t="str">
        <f t="shared" si="8"/>
        <v>insert into dbo.LifeInsJobCode (JobCode,JobGrade,JobDescription,JobGroupCode1,JobGroupName1,JobGroupCode2,JobGroupName2,CreateTime,Creator,ModifyTime,Modifier) VALUES ('08150130','4','煙酒廠機械操作','','','','',getdate(),'Alvin',getdate(),'Alvin')</v>
      </c>
    </row>
    <row r="564" spans="2:13" ht="13.8">
      <c r="B564" s="15" t="s">
        <v>1843</v>
      </c>
      <c r="C564" s="15">
        <v>4</v>
      </c>
      <c r="D564" s="15" t="s">
        <v>1844</v>
      </c>
      <c r="E564" s="15" t="s">
        <v>758</v>
      </c>
      <c r="F564" s="15" t="s">
        <v>758</v>
      </c>
      <c r="G564" s="15" t="s">
        <v>758</v>
      </c>
      <c r="H564" s="15" t="s">
        <v>758</v>
      </c>
      <c r="I564" s="15" t="s">
        <v>2895</v>
      </c>
      <c r="J564" s="15" t="s">
        <v>755</v>
      </c>
      <c r="K564" s="15" t="s">
        <v>2895</v>
      </c>
      <c r="L564" s="15" t="s">
        <v>755</v>
      </c>
      <c r="M564" s="15" t="str">
        <f t="shared" si="8"/>
        <v>insert into dbo.LifeInsJobCode (JobCode,JobGrade,JobDescription,JobGroupCode1,JobGroupName1,JobGroupCode2,JobGroupName2,CreateTime,Creator,ModifyTime,Modifier) VALUES ('08150140','4','煙酒廠機械維修人員','','','','',getdate(),'Alvin',getdate(),'Alvin')</v>
      </c>
    </row>
    <row r="565" spans="2:13" ht="13.8">
      <c r="B565" s="15" t="s">
        <v>1845</v>
      </c>
      <c r="C565" s="15">
        <v>2</v>
      </c>
      <c r="D565" s="15" t="s">
        <v>1495</v>
      </c>
      <c r="E565" s="15" t="s">
        <v>758</v>
      </c>
      <c r="F565" s="15" t="s">
        <v>758</v>
      </c>
      <c r="G565" s="15" t="s">
        <v>1846</v>
      </c>
      <c r="H565" s="15" t="s">
        <v>1847</v>
      </c>
      <c r="I565" s="15" t="s">
        <v>2895</v>
      </c>
      <c r="J565" s="15" t="s">
        <v>755</v>
      </c>
      <c r="K565" s="15" t="s">
        <v>2895</v>
      </c>
      <c r="L565" s="15" t="s">
        <v>755</v>
      </c>
      <c r="M565" s="15" t="str">
        <f t="shared" si="8"/>
        <v>insert into dbo.LifeInsJobCode (JobCode,JobGrade,JobDescription,JobGroupCode1,JobGroupName1,JobGroupCode2,JobGroupName2,CreateTime,Creator,ModifyTime,Modifier) VALUES ('08160010','2','技師','','','0816','家電製造業',getdate(),'Alvin',getdate(),'Alvin')</v>
      </c>
    </row>
    <row r="566" spans="2:13" ht="13.8">
      <c r="B566" s="15" t="s">
        <v>1848</v>
      </c>
      <c r="C566" s="15">
        <v>4</v>
      </c>
      <c r="D566" s="15" t="s">
        <v>1849</v>
      </c>
      <c r="E566" s="15" t="s">
        <v>758</v>
      </c>
      <c r="F566" s="15" t="s">
        <v>758</v>
      </c>
      <c r="G566" s="15" t="s">
        <v>758</v>
      </c>
      <c r="H566" s="15" t="s">
        <v>758</v>
      </c>
      <c r="I566" s="15" t="s">
        <v>2895</v>
      </c>
      <c r="J566" s="15" t="s">
        <v>755</v>
      </c>
      <c r="K566" s="15" t="s">
        <v>2895</v>
      </c>
      <c r="L566" s="15" t="s">
        <v>755</v>
      </c>
      <c r="M566" s="15" t="str">
        <f t="shared" si="8"/>
        <v>insert into dbo.LifeInsJobCode (JobCode,JobGrade,JobDescription,JobGroupCode1,JobGroupName1,JobGroupCode2,JobGroupName2,CreateTime,Creator,ModifyTime,Modifier) VALUES ('08160020','4','一般製造工人','','','','',getdate(),'Alvin',getdate(),'Alvin')</v>
      </c>
    </row>
    <row r="567" spans="2:13" ht="13.8">
      <c r="B567" s="15" t="s">
        <v>1850</v>
      </c>
      <c r="C567" s="15">
        <v>3</v>
      </c>
      <c r="D567" s="15" t="s">
        <v>1517</v>
      </c>
      <c r="E567" s="15" t="s">
        <v>758</v>
      </c>
      <c r="F567" s="15" t="s">
        <v>758</v>
      </c>
      <c r="G567" s="15" t="s">
        <v>758</v>
      </c>
      <c r="H567" s="15" t="s">
        <v>758</v>
      </c>
      <c r="I567" s="15" t="s">
        <v>2895</v>
      </c>
      <c r="J567" s="15" t="s">
        <v>755</v>
      </c>
      <c r="K567" s="15" t="s">
        <v>2895</v>
      </c>
      <c r="L567" s="15" t="s">
        <v>755</v>
      </c>
      <c r="M567" s="15" t="str">
        <f t="shared" si="8"/>
        <v>insert into dbo.LifeInsJobCode (JobCode,JobGrade,JobDescription,JobGroupCode1,JobGroupName1,JobGroupCode2,JobGroupName2,CreateTime,Creator,ModifyTime,Modifier) VALUES ('08160030','3','裝配工','','','','',getdate(),'Alvin',getdate(),'Alvin')</v>
      </c>
    </row>
    <row r="568" spans="2:13" ht="13.8">
      <c r="B568" s="15" t="s">
        <v>1851</v>
      </c>
      <c r="C568" s="15">
        <v>3</v>
      </c>
      <c r="D568" s="15" t="s">
        <v>1835</v>
      </c>
      <c r="E568" s="15" t="s">
        <v>758</v>
      </c>
      <c r="F568" s="15" t="s">
        <v>758</v>
      </c>
      <c r="G568" s="15" t="s">
        <v>758</v>
      </c>
      <c r="H568" s="15" t="s">
        <v>758</v>
      </c>
      <c r="I568" s="15" t="s">
        <v>2895</v>
      </c>
      <c r="J568" s="15" t="s">
        <v>755</v>
      </c>
      <c r="K568" s="15" t="s">
        <v>2895</v>
      </c>
      <c r="L568" s="15" t="s">
        <v>755</v>
      </c>
      <c r="M568" s="15" t="str">
        <f t="shared" si="8"/>
        <v>insert into dbo.LifeInsJobCode (JobCode,JobGrade,JobDescription,JobGroupCode1,JobGroupName1,JobGroupCode2,JobGroupName2,CreateTime,Creator,ModifyTime,Modifier) VALUES ('08160040','3','包裝工','','','','',getdate(),'Alvin',getdate(),'Alvin')</v>
      </c>
    </row>
    <row r="569" spans="2:13" ht="13.8">
      <c r="B569" s="15" t="s">
        <v>1852</v>
      </c>
      <c r="C569" s="15">
        <v>5</v>
      </c>
      <c r="D569" s="15" t="s">
        <v>1519</v>
      </c>
      <c r="E569" s="15" t="s">
        <v>758</v>
      </c>
      <c r="F569" s="15" t="s">
        <v>758</v>
      </c>
      <c r="G569" s="15" t="s">
        <v>758</v>
      </c>
      <c r="H569" s="15" t="s">
        <v>758</v>
      </c>
      <c r="I569" s="15" t="s">
        <v>2895</v>
      </c>
      <c r="J569" s="15" t="s">
        <v>755</v>
      </c>
      <c r="K569" s="15" t="s">
        <v>2895</v>
      </c>
      <c r="L569" s="15" t="s">
        <v>755</v>
      </c>
      <c r="M569" s="15" t="str">
        <f t="shared" si="8"/>
        <v>insert into dbo.LifeInsJobCode (JobCode,JobGrade,JobDescription,JobGroupCode1,JobGroupName1,JobGroupCode2,JobGroupName2,CreateTime,Creator,ModifyTime,Modifier) VALUES ('08160050','5','焊接工','','','','',getdate(),'Alvin',getdate(),'Alvin')</v>
      </c>
    </row>
    <row r="570" spans="2:13" ht="13.8">
      <c r="B570" s="15" t="s">
        <v>1853</v>
      </c>
      <c r="C570" s="15">
        <v>5</v>
      </c>
      <c r="D570" s="15" t="s">
        <v>1539</v>
      </c>
      <c r="E570" s="15" t="s">
        <v>758</v>
      </c>
      <c r="F570" s="15" t="s">
        <v>758</v>
      </c>
      <c r="G570" s="15" t="s">
        <v>758</v>
      </c>
      <c r="H570" s="15" t="s">
        <v>758</v>
      </c>
      <c r="I570" s="15" t="s">
        <v>2895</v>
      </c>
      <c r="J570" s="15" t="s">
        <v>755</v>
      </c>
      <c r="K570" s="15" t="s">
        <v>2895</v>
      </c>
      <c r="L570" s="15" t="s">
        <v>755</v>
      </c>
      <c r="M570" s="15" t="str">
        <f t="shared" si="8"/>
        <v>insert into dbo.LifeInsJobCode (JobCode,JobGrade,JobDescription,JobGroupCode1,JobGroupName1,JobGroupCode2,JobGroupName2,CreateTime,Creator,ModifyTime,Modifier) VALUES ('08160060','5','沖床工','','','','',getdate(),'Alvin',getdate(),'Alvin')</v>
      </c>
    </row>
    <row r="571" spans="2:13" ht="13.8">
      <c r="B571" s="15" t="s">
        <v>1854</v>
      </c>
      <c r="C571" s="15">
        <v>5</v>
      </c>
      <c r="D571" s="15" t="s">
        <v>1537</v>
      </c>
      <c r="E571" s="15" t="s">
        <v>758</v>
      </c>
      <c r="F571" s="15" t="s">
        <v>758</v>
      </c>
      <c r="G571" s="15" t="s">
        <v>758</v>
      </c>
      <c r="H571" s="15" t="s">
        <v>758</v>
      </c>
      <c r="I571" s="15" t="s">
        <v>2895</v>
      </c>
      <c r="J571" s="15" t="s">
        <v>755</v>
      </c>
      <c r="K571" s="15" t="s">
        <v>2895</v>
      </c>
      <c r="L571" s="15" t="s">
        <v>755</v>
      </c>
      <c r="M571" s="15" t="str">
        <f t="shared" si="8"/>
        <v>insert into dbo.LifeInsJobCode (JobCode,JobGrade,JobDescription,JobGroupCode1,JobGroupName1,JobGroupCode2,JobGroupName2,CreateTime,Creator,ModifyTime,Modifier) VALUES ('08160070','5','剪床工','','','','',getdate(),'Alvin',getdate(),'Alvin')</v>
      </c>
    </row>
    <row r="572" spans="2:13" ht="13.8">
      <c r="B572" s="15" t="s">
        <v>1855</v>
      </c>
      <c r="C572" s="15">
        <v>5</v>
      </c>
      <c r="D572" s="15" t="s">
        <v>1535</v>
      </c>
      <c r="E572" s="15" t="s">
        <v>758</v>
      </c>
      <c r="F572" s="15" t="s">
        <v>758</v>
      </c>
      <c r="G572" s="15" t="s">
        <v>758</v>
      </c>
      <c r="H572" s="15" t="s">
        <v>758</v>
      </c>
      <c r="I572" s="15" t="s">
        <v>2895</v>
      </c>
      <c r="J572" s="15" t="s">
        <v>755</v>
      </c>
      <c r="K572" s="15" t="s">
        <v>2895</v>
      </c>
      <c r="L572" s="15" t="s">
        <v>755</v>
      </c>
      <c r="M572" s="15" t="str">
        <f t="shared" si="8"/>
        <v>insert into dbo.LifeInsJobCode (JobCode,JobGrade,JobDescription,JobGroupCode1,JobGroupName1,JobGroupCode2,JobGroupName2,CreateTime,Creator,ModifyTime,Modifier) VALUES ('08160080','5','銑床工','','','','',getdate(),'Alvin',getdate(),'Alvin')</v>
      </c>
    </row>
    <row r="573" spans="2:13" ht="13.8">
      <c r="B573" s="15" t="s">
        <v>1856</v>
      </c>
      <c r="C573" s="15">
        <v>5</v>
      </c>
      <c r="D573" s="15" t="s">
        <v>1523</v>
      </c>
      <c r="E573" s="15" t="s">
        <v>758</v>
      </c>
      <c r="F573" s="15" t="s">
        <v>758</v>
      </c>
      <c r="G573" s="15" t="s">
        <v>758</v>
      </c>
      <c r="H573" s="15" t="s">
        <v>758</v>
      </c>
      <c r="I573" s="15" t="s">
        <v>2895</v>
      </c>
      <c r="J573" s="15" t="s">
        <v>755</v>
      </c>
      <c r="K573" s="15" t="s">
        <v>2895</v>
      </c>
      <c r="L573" s="15" t="s">
        <v>755</v>
      </c>
      <c r="M573" s="15" t="str">
        <f t="shared" si="8"/>
        <v>insert into dbo.LifeInsJobCode (JobCode,JobGrade,JobDescription,JobGroupCode1,JobGroupName1,JobGroupCode2,JobGroupName2,CreateTime,Creator,ModifyTime,Modifier) VALUES ('08160090','5','鑄造工','','','','',getdate(),'Alvin',getdate(),'Alvin')</v>
      </c>
    </row>
    <row r="574" spans="2:13" ht="13.8">
      <c r="B574" s="15" t="s">
        <v>1857</v>
      </c>
      <c r="C574" s="15">
        <v>4</v>
      </c>
      <c r="D574" s="15" t="s">
        <v>3287</v>
      </c>
      <c r="E574" s="15" t="s">
        <v>758</v>
      </c>
      <c r="F574" s="15" t="s">
        <v>758</v>
      </c>
      <c r="G574" s="15" t="s">
        <v>758</v>
      </c>
      <c r="H574" s="15" t="s">
        <v>758</v>
      </c>
      <c r="I574" s="15" t="s">
        <v>2895</v>
      </c>
      <c r="J574" s="15" t="s">
        <v>755</v>
      </c>
      <c r="K574" s="15" t="s">
        <v>2895</v>
      </c>
      <c r="L574" s="15" t="s">
        <v>755</v>
      </c>
      <c r="M574" s="15" t="str">
        <f t="shared" si="8"/>
        <v>insert into dbo.LifeInsJobCode (JobCode,JobGrade,JobDescription,JobGroupCode1,JobGroupName1,JobGroupCode2,JobGroupName2,CreateTime,Creator,ModifyTime,Modifier) VALUES ('08160100','4','車床工(全自動)','','','','',getdate(),'Alvin',getdate(),'Alvin')</v>
      </c>
    </row>
    <row r="575" spans="2:13" ht="13.8">
      <c r="B575" s="15" t="s">
        <v>1858</v>
      </c>
      <c r="C575" s="15">
        <v>5</v>
      </c>
      <c r="D575" s="15" t="s">
        <v>3288</v>
      </c>
      <c r="E575" s="15" t="s">
        <v>758</v>
      </c>
      <c r="F575" s="15" t="s">
        <v>758</v>
      </c>
      <c r="G575" s="15" t="s">
        <v>758</v>
      </c>
      <c r="H575" s="15" t="s">
        <v>758</v>
      </c>
      <c r="I575" s="15" t="s">
        <v>2895</v>
      </c>
      <c r="J575" s="15" t="s">
        <v>755</v>
      </c>
      <c r="K575" s="15" t="s">
        <v>2895</v>
      </c>
      <c r="L575" s="15" t="s">
        <v>755</v>
      </c>
      <c r="M575" s="15" t="str">
        <f t="shared" si="8"/>
        <v>insert into dbo.LifeInsJobCode (JobCode,JobGrade,JobDescription,JobGroupCode1,JobGroupName1,JobGroupCode2,JobGroupName2,CreateTime,Creator,ModifyTime,Modifier) VALUES ('08160110','5','車床工(其他)','','','','',getdate(),'Alvin',getdate(),'Alvin')</v>
      </c>
    </row>
    <row r="576" spans="2:13" ht="13.8">
      <c r="B576" s="15" t="s">
        <v>1859</v>
      </c>
      <c r="C576" s="15">
        <v>2</v>
      </c>
      <c r="D576" s="15" t="s">
        <v>1508</v>
      </c>
      <c r="E576" s="15" t="s">
        <v>758</v>
      </c>
      <c r="F576" s="15" t="s">
        <v>758</v>
      </c>
      <c r="G576" s="15" t="s">
        <v>758</v>
      </c>
      <c r="H576" s="15" t="s">
        <v>758</v>
      </c>
      <c r="I576" s="15" t="s">
        <v>2895</v>
      </c>
      <c r="J576" s="15" t="s">
        <v>755</v>
      </c>
      <c r="K576" s="15" t="s">
        <v>2895</v>
      </c>
      <c r="L576" s="15" t="s">
        <v>755</v>
      </c>
      <c r="M576" s="15" t="str">
        <f t="shared" si="8"/>
        <v>insert into dbo.LifeInsJobCode (JobCode,JobGrade,JobDescription,JobGroupCode1,JobGroupName1,JobGroupCode2,JobGroupName2,CreateTime,Creator,ModifyTime,Modifier) VALUES ('08160120','2','品管人員','','','','',getdate(),'Alvin',getdate(),'Alvin')</v>
      </c>
    </row>
    <row r="577" spans="2:13" ht="13.8">
      <c r="B577" s="15" t="s">
        <v>1860</v>
      </c>
      <c r="C577" s="15">
        <v>3</v>
      </c>
      <c r="D577" s="15" t="s">
        <v>1861</v>
      </c>
      <c r="E577" s="15" t="s">
        <v>758</v>
      </c>
      <c r="F577" s="15" t="s">
        <v>758</v>
      </c>
      <c r="G577" s="15" t="s">
        <v>758</v>
      </c>
      <c r="H577" s="15" t="s">
        <v>758</v>
      </c>
      <c r="I577" s="15" t="s">
        <v>2895</v>
      </c>
      <c r="J577" s="15" t="s">
        <v>755</v>
      </c>
      <c r="K577" s="15" t="s">
        <v>2895</v>
      </c>
      <c r="L577" s="15" t="s">
        <v>755</v>
      </c>
      <c r="M577" s="15" t="str">
        <f t="shared" si="8"/>
        <v>insert into dbo.LifeInsJobCode (JobCode,JobGrade,JobDescription,JobGroupCode1,JobGroupName1,JobGroupCode2,JobGroupName2,CreateTime,Creator,ModifyTime,Modifier) VALUES ('08160130','3','家電維修人員','','','','',getdate(),'Alvin',getdate(),'Alvin')</v>
      </c>
    </row>
    <row r="578" spans="2:13" ht="13.8">
      <c r="B578" s="15" t="s">
        <v>1862</v>
      </c>
      <c r="C578" s="15">
        <v>3</v>
      </c>
      <c r="D578" s="15" t="s">
        <v>1543</v>
      </c>
      <c r="E578" s="15" t="s">
        <v>758</v>
      </c>
      <c r="F578" s="15" t="s">
        <v>758</v>
      </c>
      <c r="G578" s="15" t="s">
        <v>1863</v>
      </c>
      <c r="H578" s="15" t="s">
        <v>1864</v>
      </c>
      <c r="I578" s="15" t="s">
        <v>2895</v>
      </c>
      <c r="J578" s="15" t="s">
        <v>755</v>
      </c>
      <c r="K578" s="15" t="s">
        <v>2895</v>
      </c>
      <c r="L578" s="15" t="s">
        <v>755</v>
      </c>
      <c r="M578" s="15" t="str">
        <f t="shared" ref="M578:M641" si="9">$M$1 &amp; " VALUES ('"&amp;B578&amp;"','"&amp;C578&amp;"','"&amp;D578&amp;"','"&amp;E578&amp;"','"&amp;F578&amp;"','"&amp;G578&amp;"','"&amp;H578&amp;"',"&amp;I578&amp;",'"&amp;J578&amp;"',"&amp;K578&amp;",'"&amp;L578&amp;"')"</f>
        <v>insert into dbo.LifeInsJobCode (JobCode,JobGrade,JobDescription,JobGroupCode1,JobGroupName1,JobGroupCode2,JobGroupName2,CreateTime,Creator,ModifyTime,Modifier) VALUES ('08170010','3','品管人員、工安人員','','','0817','玻璃及琉璃製造業',getdate(),'Alvin',getdate(),'Alvin')</v>
      </c>
    </row>
    <row r="579" spans="2:13" ht="13.8">
      <c r="B579" s="15" t="s">
        <v>1865</v>
      </c>
      <c r="C579" s="15">
        <v>3</v>
      </c>
      <c r="D579" s="15" t="s">
        <v>1495</v>
      </c>
      <c r="E579" s="15" t="s">
        <v>758</v>
      </c>
      <c r="F579" s="15" t="s">
        <v>758</v>
      </c>
      <c r="G579" s="15" t="s">
        <v>758</v>
      </c>
      <c r="H579" s="15" t="s">
        <v>758</v>
      </c>
      <c r="I579" s="15" t="s">
        <v>2895</v>
      </c>
      <c r="J579" s="15" t="s">
        <v>755</v>
      </c>
      <c r="K579" s="15" t="s">
        <v>2895</v>
      </c>
      <c r="L579" s="15" t="s">
        <v>755</v>
      </c>
      <c r="M579" s="15" t="str">
        <f t="shared" si="9"/>
        <v>insert into dbo.LifeInsJobCode (JobCode,JobGrade,JobDescription,JobGroupCode1,JobGroupName1,JobGroupCode2,JobGroupName2,CreateTime,Creator,ModifyTime,Modifier) VALUES ('08170020','3','技師','','','','',getdate(),'Alvin',getdate(),'Alvin')</v>
      </c>
    </row>
    <row r="580" spans="2:13" ht="13.8">
      <c r="B580" s="15" t="s">
        <v>1866</v>
      </c>
      <c r="C580" s="15">
        <v>3</v>
      </c>
      <c r="D580" s="15" t="s">
        <v>1424</v>
      </c>
      <c r="E580" s="15" t="s">
        <v>758</v>
      </c>
      <c r="F580" s="15" t="s">
        <v>758</v>
      </c>
      <c r="G580" s="15" t="s">
        <v>758</v>
      </c>
      <c r="H580" s="15" t="s">
        <v>758</v>
      </c>
      <c r="I580" s="15" t="s">
        <v>2895</v>
      </c>
      <c r="J580" s="15" t="s">
        <v>755</v>
      </c>
      <c r="K580" s="15" t="s">
        <v>2895</v>
      </c>
      <c r="L580" s="15" t="s">
        <v>755</v>
      </c>
      <c r="M580" s="15" t="str">
        <f t="shared" si="9"/>
        <v>insert into dbo.LifeInsJobCode (JobCode,JobGrade,JobDescription,JobGroupCode1,JobGroupName1,JobGroupCode2,JobGroupName2,CreateTime,Creator,ModifyTime,Modifier) VALUES ('08170030','3','領班、監工','','','','',getdate(),'Alvin',getdate(),'Alvin')</v>
      </c>
    </row>
    <row r="581" spans="2:13" ht="13.8">
      <c r="B581" s="15" t="s">
        <v>1867</v>
      </c>
      <c r="C581" s="15">
        <v>4</v>
      </c>
      <c r="D581" s="15" t="s">
        <v>1868</v>
      </c>
      <c r="E581" s="15" t="s">
        <v>758</v>
      </c>
      <c r="F581" s="15" t="s">
        <v>758</v>
      </c>
      <c r="G581" s="15" t="s">
        <v>758</v>
      </c>
      <c r="H581" s="15" t="s">
        <v>758</v>
      </c>
      <c r="I581" s="15" t="s">
        <v>2895</v>
      </c>
      <c r="J581" s="15" t="s">
        <v>755</v>
      </c>
      <c r="K581" s="15" t="s">
        <v>2895</v>
      </c>
      <c r="L581" s="15" t="s">
        <v>755</v>
      </c>
      <c r="M581" s="15" t="str">
        <f t="shared" si="9"/>
        <v>insert into dbo.LifeInsJobCode (JobCode,JobGrade,JobDescription,JobGroupCode1,JobGroupName1,JobGroupCode2,JobGroupName2,CreateTime,Creator,ModifyTime,Modifier) VALUES ('08170040','4','玻璃、琉璃製造工人','','','','',getdate(),'Alvin',getdate(),'Alvin')</v>
      </c>
    </row>
    <row r="582" spans="2:13" ht="13.8">
      <c r="B582" s="15" t="s">
        <v>1869</v>
      </c>
      <c r="C582" s="15">
        <v>2</v>
      </c>
      <c r="D582" s="15" t="s">
        <v>3337</v>
      </c>
      <c r="E582" s="15" t="s">
        <v>758</v>
      </c>
      <c r="F582" s="15" t="s">
        <v>758</v>
      </c>
      <c r="G582" s="15" t="s">
        <v>1870</v>
      </c>
      <c r="H582" s="15" t="s">
        <v>1871</v>
      </c>
      <c r="I582" s="15" t="s">
        <v>2895</v>
      </c>
      <c r="J582" s="15" t="s">
        <v>755</v>
      </c>
      <c r="K582" s="15" t="s">
        <v>2895</v>
      </c>
      <c r="L582" s="15" t="s">
        <v>755</v>
      </c>
      <c r="M582" s="15" t="str">
        <f t="shared" si="9"/>
        <v>insert into dbo.LifeInsJobCode (JobCode,JobGrade,JobDescription,JobGroupCode1,JobGroupName1,JobGroupCode2,JobGroupName2,CreateTime,Creator,ModifyTime,Modifier) VALUES ('08180010','2','技師、品管人員','','','0818','皮革製品製造業',getdate(),'Alvin',getdate(),'Alvin')</v>
      </c>
    </row>
    <row r="583" spans="2:13" ht="13.8">
      <c r="B583" s="15" t="s">
        <v>1872</v>
      </c>
      <c r="C583" s="15">
        <v>2</v>
      </c>
      <c r="D583" s="15" t="s">
        <v>1744</v>
      </c>
      <c r="E583" s="15" t="s">
        <v>758</v>
      </c>
      <c r="F583" s="15" t="s">
        <v>758</v>
      </c>
      <c r="G583" s="15" t="s">
        <v>758</v>
      </c>
      <c r="H583" s="15" t="s">
        <v>758</v>
      </c>
      <c r="I583" s="15" t="s">
        <v>2895</v>
      </c>
      <c r="J583" s="15" t="s">
        <v>755</v>
      </c>
      <c r="K583" s="15" t="s">
        <v>2895</v>
      </c>
      <c r="L583" s="15" t="s">
        <v>755</v>
      </c>
      <c r="M583" s="15" t="str">
        <f t="shared" si="9"/>
        <v>insert into dbo.LifeInsJobCode (JobCode,JobGrade,JobDescription,JobGroupCode1,JobGroupName1,JobGroupCode2,JobGroupName2,CreateTime,Creator,ModifyTime,Modifier) VALUES ('08180020','2','製造工人','','','','',getdate(),'Alvin',getdate(),'Alvin')</v>
      </c>
    </row>
    <row r="584" spans="2:13" ht="13.8">
      <c r="B584" s="15" t="s">
        <v>1873</v>
      </c>
      <c r="C584" s="15">
        <v>2</v>
      </c>
      <c r="D584" s="15" t="s">
        <v>3303</v>
      </c>
      <c r="E584" s="15" t="s">
        <v>758</v>
      </c>
      <c r="F584" s="15" t="s">
        <v>758</v>
      </c>
      <c r="G584" s="15" t="s">
        <v>1874</v>
      </c>
      <c r="H584" s="15" t="s">
        <v>1875</v>
      </c>
      <c r="I584" s="15" t="s">
        <v>2895</v>
      </c>
      <c r="J584" s="15" t="s">
        <v>755</v>
      </c>
      <c r="K584" s="15" t="s">
        <v>2895</v>
      </c>
      <c r="L584" s="15" t="s">
        <v>755</v>
      </c>
      <c r="M584" s="15" t="str">
        <f t="shared" si="9"/>
        <v>insert into dbo.LifeInsJobCode (JobCode,JobGrade,JobDescription,JobGroupCode1,JobGroupName1,JobGroupCode2,JobGroupName2,CreateTime,Creator,ModifyTime,Modifier) VALUES ('08190010','2','倉管人員(不搬貨)','','','0819','其他製造業',getdate(),'Alvin',getdate(),'Alvin')</v>
      </c>
    </row>
    <row r="585" spans="2:13" ht="13.8">
      <c r="B585" s="15" t="s">
        <v>1876</v>
      </c>
      <c r="C585" s="15">
        <v>3</v>
      </c>
      <c r="D585" s="15" t="s">
        <v>3304</v>
      </c>
      <c r="E585" s="15" t="s">
        <v>758</v>
      </c>
      <c r="F585" s="15" t="s">
        <v>758</v>
      </c>
      <c r="G585" s="15" t="s">
        <v>758</v>
      </c>
      <c r="H585" s="15" t="s">
        <v>758</v>
      </c>
      <c r="I585" s="15" t="s">
        <v>2895</v>
      </c>
      <c r="J585" s="15" t="s">
        <v>755</v>
      </c>
      <c r="K585" s="15" t="s">
        <v>2895</v>
      </c>
      <c r="L585" s="15" t="s">
        <v>755</v>
      </c>
      <c r="M585" s="15" t="str">
        <f t="shared" si="9"/>
        <v>insert into dbo.LifeInsJobCode (JobCode,JobGrade,JobDescription,JobGroupCode1,JobGroupName1,JobGroupCode2,JobGroupName2,CreateTime,Creator,ModifyTime,Modifier) VALUES ('08190011','3','倉管人員(搬貨)','','','','',getdate(),'Alvin',getdate(),'Alvin')</v>
      </c>
    </row>
    <row r="586" spans="2:13" ht="13.8">
      <c r="B586" s="15" t="s">
        <v>1877</v>
      </c>
      <c r="C586" s="15">
        <v>2</v>
      </c>
      <c r="D586" s="15" t="s">
        <v>3338</v>
      </c>
      <c r="E586" s="15" t="s">
        <v>758</v>
      </c>
      <c r="F586" s="15" t="s">
        <v>758</v>
      </c>
      <c r="G586" s="15" t="s">
        <v>758</v>
      </c>
      <c r="H586" s="15" t="s">
        <v>758</v>
      </c>
      <c r="I586" s="15" t="s">
        <v>2895</v>
      </c>
      <c r="J586" s="15" t="s">
        <v>755</v>
      </c>
      <c r="K586" s="15" t="s">
        <v>2895</v>
      </c>
      <c r="L586" s="15" t="s">
        <v>755</v>
      </c>
      <c r="M586" s="15" t="str">
        <f t="shared" si="9"/>
        <v>insert into dbo.LifeInsJobCode (JobCode,JobGrade,JobDescription,JobGroupCode1,JobGroupName1,JobGroupCode2,JobGroupName2,CreateTime,Creator,ModifyTime,Modifier) VALUES ('08190020','2','樂器安裝組合維修人員','','','','',getdate(),'Alvin',getdate(),'Alvin')</v>
      </c>
    </row>
    <row r="587" spans="2:13" ht="13.8">
      <c r="B587" s="15" t="s">
        <v>1878</v>
      </c>
      <c r="C587" s="15">
        <v>2</v>
      </c>
      <c r="D587" s="15" t="s">
        <v>3339</v>
      </c>
      <c r="E587" s="15" t="s">
        <v>758</v>
      </c>
      <c r="F587" s="15" t="s">
        <v>758</v>
      </c>
      <c r="G587" s="15" t="s">
        <v>758</v>
      </c>
      <c r="H587" s="15" t="s">
        <v>758</v>
      </c>
      <c r="I587" s="15" t="s">
        <v>2895</v>
      </c>
      <c r="J587" s="15" t="s">
        <v>755</v>
      </c>
      <c r="K587" s="15" t="s">
        <v>2895</v>
      </c>
      <c r="L587" s="15" t="s">
        <v>755</v>
      </c>
      <c r="M587" s="15" t="str">
        <f t="shared" si="9"/>
        <v>insert into dbo.LifeInsJobCode (JobCode,JobGrade,JobDescription,JobGroupCode1,JobGroupName1,JobGroupCode2,JobGroupName2,CreateTime,Creator,ModifyTime,Modifier) VALUES ('08190030','2','中藥材加工人員','','','','',getdate(),'Alvin',getdate(),'Alvin')</v>
      </c>
    </row>
    <row r="588" spans="2:13" ht="13.8">
      <c r="B588" s="15" t="s">
        <v>1879</v>
      </c>
      <c r="C588" s="15">
        <v>2</v>
      </c>
      <c r="D588" s="15" t="s">
        <v>1880</v>
      </c>
      <c r="E588" s="15" t="s">
        <v>758</v>
      </c>
      <c r="F588" s="15" t="s">
        <v>758</v>
      </c>
      <c r="G588" s="15" t="s">
        <v>758</v>
      </c>
      <c r="H588" s="15" t="s">
        <v>758</v>
      </c>
      <c r="I588" s="15" t="s">
        <v>2895</v>
      </c>
      <c r="J588" s="15" t="s">
        <v>755</v>
      </c>
      <c r="K588" s="15" t="s">
        <v>2895</v>
      </c>
      <c r="L588" s="15" t="s">
        <v>755</v>
      </c>
      <c r="M588" s="15" t="str">
        <f t="shared" si="9"/>
        <v>insert into dbo.LifeInsJobCode (JobCode,JobGrade,JobDescription,JobGroupCode1,JobGroupName1,JobGroupCode2,JobGroupName2,CreateTime,Creator,ModifyTime,Modifier) VALUES ('08190040','2','鑰匙加工人員、刻印加工人員','','','','',getdate(),'Alvin',getdate(),'Alvin')</v>
      </c>
    </row>
    <row r="589" spans="2:13" ht="13.8">
      <c r="B589" s="15" t="s">
        <v>1881</v>
      </c>
      <c r="C589" s="15">
        <v>2</v>
      </c>
      <c r="D589" s="15" t="s">
        <v>3340</v>
      </c>
      <c r="E589" s="15" t="s">
        <v>758</v>
      </c>
      <c r="F589" s="15" t="s">
        <v>758</v>
      </c>
      <c r="G589" s="15" t="s">
        <v>758</v>
      </c>
      <c r="H589" s="15" t="s">
        <v>758</v>
      </c>
      <c r="I589" s="15" t="s">
        <v>2895</v>
      </c>
      <c r="J589" s="15" t="s">
        <v>755</v>
      </c>
      <c r="K589" s="15" t="s">
        <v>2895</v>
      </c>
      <c r="L589" s="15" t="s">
        <v>755</v>
      </c>
      <c r="M589" s="15" t="str">
        <f t="shared" si="9"/>
        <v>insert into dbo.LifeInsJobCode (JobCode,JobGrade,JobDescription,JobGroupCode1,JobGroupName1,JobGroupCode2,JobGroupName2,CreateTime,Creator,ModifyTime,Modifier) VALUES ('08190050','2','化妝品製造工人','','','','',getdate(),'Alvin',getdate(),'Alvin')</v>
      </c>
    </row>
    <row r="590" spans="2:13" ht="13.8">
      <c r="B590" s="15" t="s">
        <v>1882</v>
      </c>
      <c r="C590" s="15">
        <v>3</v>
      </c>
      <c r="D590" s="15" t="s">
        <v>1883</v>
      </c>
      <c r="E590" s="15" t="s">
        <v>758</v>
      </c>
      <c r="F590" s="15" t="s">
        <v>758</v>
      </c>
      <c r="G590" s="15" t="s">
        <v>758</v>
      </c>
      <c r="H590" s="15" t="s">
        <v>758</v>
      </c>
      <c r="I590" s="15" t="s">
        <v>2895</v>
      </c>
      <c r="J590" s="15" t="s">
        <v>755</v>
      </c>
      <c r="K590" s="15" t="s">
        <v>2895</v>
      </c>
      <c r="L590" s="15" t="s">
        <v>755</v>
      </c>
      <c r="M590" s="15" t="str">
        <f t="shared" si="9"/>
        <v>insert into dbo.LifeInsJobCode (JobCode,JobGrade,JobDescription,JobGroupCode1,JobGroupName1,JobGroupCode2,JobGroupName2,CreateTime,Creator,ModifyTime,Modifier) VALUES ('08190060','3','木炭製造工','','','','',getdate(),'Alvin',getdate(),'Alvin')</v>
      </c>
    </row>
    <row r="591" spans="2:13" ht="13.8">
      <c r="B591" s="15" t="s">
        <v>1884</v>
      </c>
      <c r="C591" s="15">
        <v>3</v>
      </c>
      <c r="D591" s="15" t="s">
        <v>1885</v>
      </c>
      <c r="E591" s="15" t="s">
        <v>758</v>
      </c>
      <c r="F591" s="15" t="s">
        <v>758</v>
      </c>
      <c r="G591" s="15" t="s">
        <v>758</v>
      </c>
      <c r="H591" s="15" t="s">
        <v>758</v>
      </c>
      <c r="I591" s="15" t="s">
        <v>2895</v>
      </c>
      <c r="J591" s="15" t="s">
        <v>755</v>
      </c>
      <c r="K591" s="15" t="s">
        <v>2895</v>
      </c>
      <c r="L591" s="15" t="s">
        <v>755</v>
      </c>
      <c r="M591" s="15" t="str">
        <f t="shared" si="9"/>
        <v>insert into dbo.LifeInsJobCode (JobCode,JobGrade,JobDescription,JobGroupCode1,JobGroupName1,JobGroupCode2,JobGroupName2,CreateTime,Creator,ModifyTime,Modifier) VALUES ('08190070','3','木雕人員','','','','',getdate(),'Alvin',getdate(),'Alvin')</v>
      </c>
    </row>
    <row r="592" spans="2:13" ht="13.8">
      <c r="B592" s="15" t="s">
        <v>1886</v>
      </c>
      <c r="C592" s="15">
        <v>3</v>
      </c>
      <c r="D592" s="15" t="s">
        <v>1887</v>
      </c>
      <c r="E592" s="15" t="s">
        <v>758</v>
      </c>
      <c r="F592" s="15" t="s">
        <v>758</v>
      </c>
      <c r="G592" s="15" t="s">
        <v>758</v>
      </c>
      <c r="H592" s="15" t="s">
        <v>758</v>
      </c>
      <c r="I592" s="15" t="s">
        <v>2895</v>
      </c>
      <c r="J592" s="15" t="s">
        <v>755</v>
      </c>
      <c r="K592" s="15" t="s">
        <v>2895</v>
      </c>
      <c r="L592" s="15" t="s">
        <v>755</v>
      </c>
      <c r="M592" s="15" t="str">
        <f t="shared" si="9"/>
        <v>insert into dbo.LifeInsJobCode (JobCode,JobGrade,JobDescription,JobGroupCode1,JobGroupName1,JobGroupCode2,JobGroupName2,CreateTime,Creator,ModifyTime,Modifier) VALUES ('08190080','3','香燭製造工','','','','',getdate(),'Alvin',getdate(),'Alvin')</v>
      </c>
    </row>
    <row r="593" spans="2:13" ht="13.8">
      <c r="B593" s="15" t="s">
        <v>1888</v>
      </c>
      <c r="C593" s="15">
        <v>3</v>
      </c>
      <c r="D593" s="15" t="s">
        <v>1889</v>
      </c>
      <c r="E593" s="15" t="s">
        <v>758</v>
      </c>
      <c r="F593" s="15" t="s">
        <v>758</v>
      </c>
      <c r="G593" s="15" t="s">
        <v>758</v>
      </c>
      <c r="H593" s="15" t="s">
        <v>758</v>
      </c>
      <c r="I593" s="15" t="s">
        <v>2895</v>
      </c>
      <c r="J593" s="15" t="s">
        <v>755</v>
      </c>
      <c r="K593" s="15" t="s">
        <v>2895</v>
      </c>
      <c r="L593" s="15" t="s">
        <v>755</v>
      </c>
      <c r="M593" s="15" t="str">
        <f t="shared" si="9"/>
        <v>insert into dbo.LifeInsJobCode (JobCode,JobGrade,JobDescription,JobGroupCode1,JobGroupName1,JobGroupCode2,JobGroupName2,CreateTime,Creator,ModifyTime,Modifier) VALUES ('08190090','3','醫療器材裝修工','','','','',getdate(),'Alvin',getdate(),'Alvin')</v>
      </c>
    </row>
    <row r="594" spans="2:13" ht="13.8">
      <c r="B594" s="15" t="s">
        <v>1890</v>
      </c>
      <c r="C594" s="15">
        <v>4</v>
      </c>
      <c r="D594" s="15" t="s">
        <v>1891</v>
      </c>
      <c r="E594" s="15" t="s">
        <v>758</v>
      </c>
      <c r="F594" s="15" t="s">
        <v>758</v>
      </c>
      <c r="G594" s="15" t="s">
        <v>758</v>
      </c>
      <c r="H594" s="15" t="s">
        <v>758</v>
      </c>
      <c r="I594" s="15" t="s">
        <v>2895</v>
      </c>
      <c r="J594" s="15" t="s">
        <v>755</v>
      </c>
      <c r="K594" s="15" t="s">
        <v>2895</v>
      </c>
      <c r="L594" s="15" t="s">
        <v>755</v>
      </c>
      <c r="M594" s="15" t="str">
        <f t="shared" si="9"/>
        <v>insert into dbo.LifeInsJobCode (JobCode,JobGrade,JobDescription,JobGroupCode1,JobGroupName1,JobGroupCode2,JobGroupName2,CreateTime,Creator,ModifyTime,Modifier) VALUES ('08190100','4','工廠機器維修人員','','','','',getdate(),'Alvin',getdate(),'Alvin')</v>
      </c>
    </row>
    <row r="595" spans="2:13" ht="13.8">
      <c r="B595" s="15" t="s">
        <v>1892</v>
      </c>
      <c r="C595" s="15">
        <v>1</v>
      </c>
      <c r="D595" s="15" t="s">
        <v>308</v>
      </c>
      <c r="E595" s="15" t="s">
        <v>1893</v>
      </c>
      <c r="F595" s="15" t="s">
        <v>1894</v>
      </c>
      <c r="G595" s="15" t="s">
        <v>1895</v>
      </c>
      <c r="H595" s="15" t="s">
        <v>1896</v>
      </c>
      <c r="I595" s="15" t="s">
        <v>2895</v>
      </c>
      <c r="J595" s="15" t="s">
        <v>755</v>
      </c>
      <c r="K595" s="15" t="s">
        <v>2895</v>
      </c>
      <c r="L595" s="15" t="s">
        <v>755</v>
      </c>
      <c r="M595" s="15" t="str">
        <f t="shared" si="9"/>
        <v>insert into dbo.LifeInsJobCode (JobCode,JobGrade,JobDescription,JobGroupCode1,JobGroupName1,JobGroupCode2,JobGroupName2,CreateTime,Creator,ModifyTime,Modifier) VALUES ('09010010','1','內勤人員','09','新聞廣告業','0901','新聞業、雜誌業',getdate(),'Alvin',getdate(),'Alvin')</v>
      </c>
    </row>
    <row r="596" spans="2:13" ht="13.8">
      <c r="B596" s="15" t="s">
        <v>1897</v>
      </c>
      <c r="C596" s="15">
        <v>2</v>
      </c>
      <c r="D596" s="15" t="s">
        <v>1898</v>
      </c>
      <c r="E596" s="15" t="s">
        <v>758</v>
      </c>
      <c r="F596" s="15" t="s">
        <v>758</v>
      </c>
      <c r="G596" s="15" t="s">
        <v>758</v>
      </c>
      <c r="H596" s="15" t="s">
        <v>758</v>
      </c>
      <c r="I596" s="15" t="s">
        <v>2895</v>
      </c>
      <c r="J596" s="15" t="s">
        <v>755</v>
      </c>
      <c r="K596" s="15" t="s">
        <v>2895</v>
      </c>
      <c r="L596" s="15" t="s">
        <v>755</v>
      </c>
      <c r="M596" s="15" t="str">
        <f t="shared" si="9"/>
        <v>insert into dbo.LifeInsJobCode (JobCode,JobGrade,JobDescription,JobGroupCode1,JobGroupName1,JobGroupCode2,JobGroupName2,CreateTime,Creator,ModifyTime,Modifier) VALUES ('09010020','2','外勤記者','','','','',getdate(),'Alvin',getdate(),'Alvin')</v>
      </c>
    </row>
    <row r="597" spans="2:13" ht="13.8">
      <c r="B597" s="15" t="s">
        <v>1899</v>
      </c>
      <c r="C597" s="15">
        <v>2</v>
      </c>
      <c r="D597" s="15" t="s">
        <v>1900</v>
      </c>
      <c r="E597" s="15" t="s">
        <v>758</v>
      </c>
      <c r="F597" s="15" t="s">
        <v>758</v>
      </c>
      <c r="G597" s="15" t="s">
        <v>758</v>
      </c>
      <c r="H597" s="15" t="s">
        <v>758</v>
      </c>
      <c r="I597" s="15" t="s">
        <v>2895</v>
      </c>
      <c r="J597" s="15" t="s">
        <v>755</v>
      </c>
      <c r="K597" s="15" t="s">
        <v>2895</v>
      </c>
      <c r="L597" s="15" t="s">
        <v>755</v>
      </c>
      <c r="M597" s="15" t="str">
        <f t="shared" si="9"/>
        <v>insert into dbo.LifeInsJobCode (JobCode,JobGrade,JobDescription,JobGroupCode1,JobGroupName1,JobGroupCode2,JobGroupName2,CreateTime,Creator,ModifyTime,Modifier) VALUES ('09010030','2','攝影記者','','','','',getdate(),'Alvin',getdate(),'Alvin')</v>
      </c>
    </row>
    <row r="598" spans="2:13" ht="13.8">
      <c r="B598" s="15" t="s">
        <v>1901</v>
      </c>
      <c r="C598" s="15">
        <v>7</v>
      </c>
      <c r="D598" s="15" t="s">
        <v>1902</v>
      </c>
      <c r="E598" s="15" t="s">
        <v>758</v>
      </c>
      <c r="F598" s="15" t="s">
        <v>758</v>
      </c>
      <c r="G598" s="15" t="s">
        <v>758</v>
      </c>
      <c r="H598" s="15" t="s">
        <v>758</v>
      </c>
      <c r="I598" s="15" t="s">
        <v>2895</v>
      </c>
      <c r="J598" s="15" t="s">
        <v>755</v>
      </c>
      <c r="K598" s="15" t="s">
        <v>2895</v>
      </c>
      <c r="L598" s="15" t="s">
        <v>755</v>
      </c>
      <c r="M598" s="15" t="str">
        <f t="shared" si="9"/>
        <v>insert into dbo.LifeInsJobCode (JobCode,JobGrade,JobDescription,JobGroupCode1,JobGroupName1,JobGroupCode2,JobGroupName2,CreateTime,Creator,ModifyTime,Modifier) VALUES ('09010040','7','戰地記者','','','','',getdate(),'Alvin',getdate(),'Alvin')</v>
      </c>
    </row>
    <row r="599" spans="2:13" ht="13.8">
      <c r="B599" s="15" t="s">
        <v>1903</v>
      </c>
      <c r="C599" s="15">
        <v>2</v>
      </c>
      <c r="D599" s="15" t="s">
        <v>1904</v>
      </c>
      <c r="E599" s="15" t="s">
        <v>758</v>
      </c>
      <c r="F599" s="15" t="s">
        <v>758</v>
      </c>
      <c r="G599" s="15" t="s">
        <v>758</v>
      </c>
      <c r="H599" s="15" t="s">
        <v>758</v>
      </c>
      <c r="I599" s="15" t="s">
        <v>2895</v>
      </c>
      <c r="J599" s="15" t="s">
        <v>755</v>
      </c>
      <c r="K599" s="15" t="s">
        <v>2895</v>
      </c>
      <c r="L599" s="15" t="s">
        <v>755</v>
      </c>
      <c r="M599" s="15" t="str">
        <f t="shared" si="9"/>
        <v>insert into dbo.LifeInsJobCode (JobCode,JobGrade,JobDescription,JobGroupCode1,JobGroupName1,JobGroupCode2,JobGroupName2,CreateTime,Creator,ModifyTime,Modifier) VALUES ('09010050','2','推銷員','','','','',getdate(),'Alvin',getdate(),'Alvin')</v>
      </c>
    </row>
    <row r="600" spans="2:13" ht="13.8">
      <c r="B600" s="15" t="s">
        <v>1905</v>
      </c>
      <c r="C600" s="15">
        <v>2</v>
      </c>
      <c r="D600" s="15" t="s">
        <v>1906</v>
      </c>
      <c r="E600" s="15" t="s">
        <v>758</v>
      </c>
      <c r="F600" s="15" t="s">
        <v>758</v>
      </c>
      <c r="G600" s="15" t="s">
        <v>758</v>
      </c>
      <c r="H600" s="15" t="s">
        <v>758</v>
      </c>
      <c r="I600" s="15" t="s">
        <v>2895</v>
      </c>
      <c r="J600" s="15" t="s">
        <v>755</v>
      </c>
      <c r="K600" s="15" t="s">
        <v>2895</v>
      </c>
      <c r="L600" s="15" t="s">
        <v>755</v>
      </c>
      <c r="M600" s="15" t="str">
        <f t="shared" si="9"/>
        <v>insert into dbo.LifeInsJobCode (JobCode,JobGrade,JobDescription,JobGroupCode1,JobGroupName1,JobGroupCode2,JobGroupName2,CreateTime,Creator,ModifyTime,Modifier) VALUES ('09010060','2','排版、製版工','','','','',getdate(),'Alvin',getdate(),'Alvin')</v>
      </c>
    </row>
    <row r="601" spans="2:13" ht="13.8">
      <c r="B601" s="15" t="s">
        <v>1907</v>
      </c>
      <c r="C601" s="15">
        <v>1</v>
      </c>
      <c r="D601" s="15" t="s">
        <v>1908</v>
      </c>
      <c r="E601" s="15" t="s">
        <v>758</v>
      </c>
      <c r="F601" s="15" t="s">
        <v>758</v>
      </c>
      <c r="G601" s="15" t="s">
        <v>758</v>
      </c>
      <c r="H601" s="15" t="s">
        <v>758</v>
      </c>
      <c r="I601" s="15" t="s">
        <v>2895</v>
      </c>
      <c r="J601" s="15" t="s">
        <v>755</v>
      </c>
      <c r="K601" s="15" t="s">
        <v>2895</v>
      </c>
      <c r="L601" s="15" t="s">
        <v>755</v>
      </c>
      <c r="M601" s="15" t="str">
        <f t="shared" si="9"/>
        <v>insert into dbo.LifeInsJobCode (JobCode,JobGrade,JobDescription,JobGroupCode1,JobGroupName1,JobGroupCode2,JobGroupName2,CreateTime,Creator,ModifyTime,Modifier) VALUES ('09010061','1','電腦排版工','','','','',getdate(),'Alvin',getdate(),'Alvin')</v>
      </c>
    </row>
    <row r="602" spans="2:13" ht="13.8">
      <c r="B602" s="15" t="s">
        <v>1909</v>
      </c>
      <c r="C602" s="15">
        <v>2</v>
      </c>
      <c r="D602" s="15" t="s">
        <v>1910</v>
      </c>
      <c r="E602" s="15" t="s">
        <v>758</v>
      </c>
      <c r="F602" s="15" t="s">
        <v>758</v>
      </c>
      <c r="G602" s="15" t="s">
        <v>758</v>
      </c>
      <c r="H602" s="15" t="s">
        <v>758</v>
      </c>
      <c r="I602" s="15" t="s">
        <v>2895</v>
      </c>
      <c r="J602" s="15" t="s">
        <v>755</v>
      </c>
      <c r="K602" s="15" t="s">
        <v>2895</v>
      </c>
      <c r="L602" s="15" t="s">
        <v>755</v>
      </c>
      <c r="M602" s="15" t="str">
        <f t="shared" si="9"/>
        <v>insert into dbo.LifeInsJobCode (JobCode,JobGrade,JobDescription,JobGroupCode1,JobGroupName1,JobGroupCode2,JobGroupName2,CreateTime,Creator,ModifyTime,Modifier) VALUES ('09010070','2','裝訂工','','','','',getdate(),'Alvin',getdate(),'Alvin')</v>
      </c>
    </row>
    <row r="603" spans="2:13" ht="13.8">
      <c r="B603" s="15" t="s">
        <v>1911</v>
      </c>
      <c r="C603" s="15">
        <v>2</v>
      </c>
      <c r="D603" s="15" t="s">
        <v>1912</v>
      </c>
      <c r="E603" s="15" t="s">
        <v>758</v>
      </c>
      <c r="F603" s="15" t="s">
        <v>758</v>
      </c>
      <c r="G603" s="15" t="s">
        <v>758</v>
      </c>
      <c r="H603" s="15" t="s">
        <v>758</v>
      </c>
      <c r="I603" s="15" t="s">
        <v>2895</v>
      </c>
      <c r="J603" s="15" t="s">
        <v>755</v>
      </c>
      <c r="K603" s="15" t="s">
        <v>2895</v>
      </c>
      <c r="L603" s="15" t="s">
        <v>755</v>
      </c>
      <c r="M603" s="15" t="str">
        <f t="shared" si="9"/>
        <v>insert into dbo.LifeInsJobCode (JobCode,JobGrade,JobDescription,JobGroupCode1,JobGroupName1,JobGroupCode2,JobGroupName2,CreateTime,Creator,ModifyTime,Modifier) VALUES ('09010080','2','印刷工','','','','',getdate(),'Alvin',getdate(),'Alvin')</v>
      </c>
    </row>
    <row r="604" spans="2:13" ht="13.8">
      <c r="B604" s="15" t="s">
        <v>1913</v>
      </c>
      <c r="C604" s="15">
        <v>2</v>
      </c>
      <c r="D604" s="15" t="s">
        <v>1914</v>
      </c>
      <c r="E604" s="15" t="s">
        <v>758</v>
      </c>
      <c r="F604" s="15" t="s">
        <v>758</v>
      </c>
      <c r="G604" s="15" t="s">
        <v>758</v>
      </c>
      <c r="H604" s="15" t="s">
        <v>758</v>
      </c>
      <c r="I604" s="15" t="s">
        <v>2895</v>
      </c>
      <c r="J604" s="15" t="s">
        <v>755</v>
      </c>
      <c r="K604" s="15" t="s">
        <v>2895</v>
      </c>
      <c r="L604" s="15" t="s">
        <v>755</v>
      </c>
      <c r="M604" s="15" t="str">
        <f t="shared" si="9"/>
        <v>insert into dbo.LifeInsJobCode (JobCode,JobGrade,JobDescription,JobGroupCode1,JobGroupName1,JobGroupCode2,JobGroupName2,CreateTime,Creator,ModifyTime,Modifier) VALUES ('09010090','2','送貨員','','','','',getdate(),'Alvin',getdate(),'Alvin')</v>
      </c>
    </row>
    <row r="605" spans="2:13" ht="13.8">
      <c r="B605" s="15" t="s">
        <v>1915</v>
      </c>
      <c r="C605" s="15">
        <v>3</v>
      </c>
      <c r="D605" s="15" t="s">
        <v>1916</v>
      </c>
      <c r="E605" s="15" t="s">
        <v>758</v>
      </c>
      <c r="F605" s="15" t="s">
        <v>758</v>
      </c>
      <c r="G605" s="15" t="s">
        <v>758</v>
      </c>
      <c r="H605" s="15" t="s">
        <v>758</v>
      </c>
      <c r="I605" s="15" t="s">
        <v>2895</v>
      </c>
      <c r="J605" s="15" t="s">
        <v>755</v>
      </c>
      <c r="K605" s="15" t="s">
        <v>2895</v>
      </c>
      <c r="L605" s="15" t="s">
        <v>755</v>
      </c>
      <c r="M605" s="15" t="str">
        <f t="shared" si="9"/>
        <v>insert into dbo.LifeInsJobCode (JobCode,JobGrade,JobDescription,JobGroupCode1,JobGroupName1,JobGroupCode2,JobGroupName2,CreateTime,Creator,ModifyTime,Modifier) VALUES ('09010100','3','送報員','','','','',getdate(),'Alvin',getdate(),'Alvin')</v>
      </c>
    </row>
    <row r="606" spans="2:13" ht="13.8">
      <c r="B606" s="15" t="s">
        <v>1917</v>
      </c>
      <c r="C606" s="15">
        <v>3</v>
      </c>
      <c r="D606" s="15" t="s">
        <v>1775</v>
      </c>
      <c r="E606" s="15" t="s">
        <v>758</v>
      </c>
      <c r="F606" s="15" t="s">
        <v>758</v>
      </c>
      <c r="G606" s="15" t="s">
        <v>758</v>
      </c>
      <c r="H606" s="15" t="s">
        <v>758</v>
      </c>
      <c r="I606" s="15" t="s">
        <v>2895</v>
      </c>
      <c r="J606" s="15" t="s">
        <v>755</v>
      </c>
      <c r="K606" s="15" t="s">
        <v>2895</v>
      </c>
      <c r="L606" s="15" t="s">
        <v>755</v>
      </c>
      <c r="M606" s="15" t="str">
        <f t="shared" si="9"/>
        <v>insert into dbo.LifeInsJobCode (JobCode,JobGrade,JobDescription,JobGroupCode1,JobGroupName1,JobGroupCode2,JobGroupName2,CreateTime,Creator,ModifyTime,Modifier) VALUES ('09010110','3','裁紙工人','','','','',getdate(),'Alvin',getdate(),'Alvin')</v>
      </c>
    </row>
    <row r="607" spans="2:13" ht="13.8">
      <c r="B607" s="15" t="s">
        <v>1918</v>
      </c>
      <c r="C607" s="15">
        <v>1</v>
      </c>
      <c r="D607" s="15" t="s">
        <v>1067</v>
      </c>
      <c r="E607" s="15" t="s">
        <v>758</v>
      </c>
      <c r="F607" s="15" t="s">
        <v>758</v>
      </c>
      <c r="G607" s="15" t="s">
        <v>1919</v>
      </c>
      <c r="H607" s="15" t="s">
        <v>1920</v>
      </c>
      <c r="I607" s="15" t="s">
        <v>2895</v>
      </c>
      <c r="J607" s="15" t="s">
        <v>755</v>
      </c>
      <c r="K607" s="15" t="s">
        <v>2895</v>
      </c>
      <c r="L607" s="15" t="s">
        <v>755</v>
      </c>
      <c r="M607" s="15" t="str">
        <f t="shared" si="9"/>
        <v>insert into dbo.LifeInsJobCode (JobCode,JobGrade,JobDescription,JobGroupCode1,JobGroupName1,JobGroupCode2,JobGroupName2,CreateTime,Creator,ModifyTime,Modifier) VALUES ('09020010','1','一般內勤人員','','','0902','廣告業',getdate(),'Alvin',getdate(),'Alvin')</v>
      </c>
    </row>
    <row r="608" spans="2:13" ht="13.8">
      <c r="B608" s="15" t="s">
        <v>1921</v>
      </c>
      <c r="C608" s="15">
        <v>2</v>
      </c>
      <c r="D608" s="15" t="s">
        <v>1922</v>
      </c>
      <c r="E608" s="15" t="s">
        <v>758</v>
      </c>
      <c r="F608" s="15" t="s">
        <v>758</v>
      </c>
      <c r="G608" s="15" t="s">
        <v>758</v>
      </c>
      <c r="H608" s="15" t="s">
        <v>758</v>
      </c>
      <c r="I608" s="15" t="s">
        <v>2895</v>
      </c>
      <c r="J608" s="15" t="s">
        <v>755</v>
      </c>
      <c r="K608" s="15" t="s">
        <v>2895</v>
      </c>
      <c r="L608" s="15" t="s">
        <v>755</v>
      </c>
      <c r="M608" s="15" t="str">
        <f t="shared" si="9"/>
        <v>insert into dbo.LifeInsJobCode (JobCode,JobGrade,JobDescription,JobGroupCode1,JobGroupName1,JobGroupCode2,JobGroupName2,CreateTime,Creator,ModifyTime,Modifier) VALUES ('09020020','2','業務員、AE公關','','','','',getdate(),'Alvin',getdate(),'Alvin')</v>
      </c>
    </row>
    <row r="609" spans="2:13" ht="13.8">
      <c r="B609" s="15" t="s">
        <v>1923</v>
      </c>
      <c r="C609" s="15">
        <v>2</v>
      </c>
      <c r="D609" s="15" t="s">
        <v>1924</v>
      </c>
      <c r="E609" s="15" t="s">
        <v>758</v>
      </c>
      <c r="F609" s="15" t="s">
        <v>758</v>
      </c>
      <c r="G609" s="15" t="s">
        <v>758</v>
      </c>
      <c r="H609" s="15" t="s">
        <v>758</v>
      </c>
      <c r="I609" s="15" t="s">
        <v>2895</v>
      </c>
      <c r="J609" s="15" t="s">
        <v>755</v>
      </c>
      <c r="K609" s="15" t="s">
        <v>2895</v>
      </c>
      <c r="L609" s="15" t="s">
        <v>755</v>
      </c>
      <c r="M609" s="15" t="str">
        <f t="shared" si="9"/>
        <v>insert into dbo.LifeInsJobCode (JobCode,JobGrade,JobDescription,JobGroupCode1,JobGroupName1,JobGroupCode2,JobGroupName2,CreateTime,Creator,ModifyTime,Modifier) VALUES ('09020030','2','廣告影片之拍攝錄製人員','','','','',getdate(),'Alvin',getdate(),'Alvin')</v>
      </c>
    </row>
    <row r="610" spans="2:13" ht="13.8">
      <c r="B610" s="15" t="s">
        <v>1925</v>
      </c>
      <c r="C610" s="15">
        <v>5</v>
      </c>
      <c r="D610" s="15" t="s">
        <v>1926</v>
      </c>
      <c r="E610" s="15" t="s">
        <v>758</v>
      </c>
      <c r="F610" s="15" t="s">
        <v>758</v>
      </c>
      <c r="G610" s="15" t="s">
        <v>758</v>
      </c>
      <c r="H610" s="15" t="s">
        <v>758</v>
      </c>
      <c r="I610" s="15" t="s">
        <v>2895</v>
      </c>
      <c r="J610" s="15" t="s">
        <v>755</v>
      </c>
      <c r="K610" s="15" t="s">
        <v>2895</v>
      </c>
      <c r="L610" s="15" t="s">
        <v>755</v>
      </c>
      <c r="M610" s="15" t="str">
        <f t="shared" si="9"/>
        <v>insert into dbo.LifeInsJobCode (JobCode,JobGrade,JobDescription,JobGroupCode1,JobGroupName1,JobGroupCode2,JobGroupName2,CreateTime,Creator,ModifyTime,Modifier) VALUES ('09020040','5','戶外廣告招牌製作架設人員','','','','',getdate(),'Alvin',getdate(),'Alvin')</v>
      </c>
    </row>
    <row r="611" spans="2:13" ht="13.8">
      <c r="B611" s="15" t="s">
        <v>1927</v>
      </c>
      <c r="C611" s="15">
        <v>2</v>
      </c>
      <c r="D611" s="15" t="s">
        <v>3305</v>
      </c>
      <c r="E611" s="15" t="s">
        <v>758</v>
      </c>
      <c r="F611" s="15" t="s">
        <v>758</v>
      </c>
      <c r="G611" s="15" t="s">
        <v>758</v>
      </c>
      <c r="H611" s="15" t="s">
        <v>758</v>
      </c>
      <c r="I611" s="15" t="s">
        <v>2895</v>
      </c>
      <c r="J611" s="15" t="s">
        <v>755</v>
      </c>
      <c r="K611" s="15" t="s">
        <v>2895</v>
      </c>
      <c r="L611" s="15" t="s">
        <v>755</v>
      </c>
      <c r="M611" s="15" t="str">
        <f t="shared" si="9"/>
        <v>insert into dbo.LifeInsJobCode (JobCode,JobGrade,JobDescription,JobGroupCode1,JobGroupName1,JobGroupCode2,JobGroupName2,CreateTime,Creator,ModifyTime,Modifier) VALUES ('09020050','2','廣告招牌繪製人員(地面工作)','','','','',getdate(),'Alvin',getdate(),'Alvin')</v>
      </c>
    </row>
    <row r="612" spans="2:13" ht="13.8">
      <c r="B612" s="15" t="s">
        <v>1928</v>
      </c>
      <c r="C612" s="15">
        <v>2</v>
      </c>
      <c r="D612" s="15" t="s">
        <v>1929</v>
      </c>
      <c r="E612" s="15" t="s">
        <v>758</v>
      </c>
      <c r="F612" s="15" t="s">
        <v>758</v>
      </c>
      <c r="G612" s="15" t="s">
        <v>758</v>
      </c>
      <c r="H612" s="15" t="s">
        <v>758</v>
      </c>
      <c r="I612" s="15" t="s">
        <v>2895</v>
      </c>
      <c r="J612" s="15" t="s">
        <v>755</v>
      </c>
      <c r="K612" s="15" t="s">
        <v>2895</v>
      </c>
      <c r="L612" s="15" t="s">
        <v>755</v>
      </c>
      <c r="M612" s="15" t="str">
        <f t="shared" si="9"/>
        <v>insert into dbo.LifeInsJobCode (JobCode,JobGrade,JobDescription,JobGroupCode1,JobGroupName1,JobGroupCode2,JobGroupName2,CreateTime,Creator,ModifyTime,Modifier) VALUES ('09020060','2','廣告旗幟製作','','','','',getdate(),'Alvin',getdate(),'Alvin')</v>
      </c>
    </row>
    <row r="613" spans="2:13" ht="13.8">
      <c r="B613" s="15" t="s">
        <v>1930</v>
      </c>
      <c r="C613" s="15">
        <v>2</v>
      </c>
      <c r="D613" s="15" t="s">
        <v>1931</v>
      </c>
      <c r="E613" s="15" t="s">
        <v>758</v>
      </c>
      <c r="F613" s="15" t="s">
        <v>758</v>
      </c>
      <c r="G613" s="15" t="s">
        <v>758</v>
      </c>
      <c r="H613" s="15" t="s">
        <v>758</v>
      </c>
      <c r="I613" s="15" t="s">
        <v>2895</v>
      </c>
      <c r="J613" s="15" t="s">
        <v>755</v>
      </c>
      <c r="K613" s="15" t="s">
        <v>2895</v>
      </c>
      <c r="L613" s="15" t="s">
        <v>755</v>
      </c>
      <c r="M613" s="15" t="str">
        <f t="shared" si="9"/>
        <v>insert into dbo.LifeInsJobCode (JobCode,JobGrade,JobDescription,JobGroupCode1,JobGroupName1,JobGroupCode2,JobGroupName2,CreateTime,Creator,ModifyTime,Modifier) VALUES ('09020070','2','獎牌紀念品製作','','','','',getdate(),'Alvin',getdate(),'Alvin')</v>
      </c>
    </row>
    <row r="614" spans="2:13" ht="13.8">
      <c r="B614" s="15" t="s">
        <v>1932</v>
      </c>
      <c r="C614" s="15">
        <v>3</v>
      </c>
      <c r="D614" s="15" t="s">
        <v>1933</v>
      </c>
      <c r="E614" s="15" t="s">
        <v>758</v>
      </c>
      <c r="F614" s="15" t="s">
        <v>758</v>
      </c>
      <c r="G614" s="15" t="s">
        <v>758</v>
      </c>
      <c r="H614" s="15" t="s">
        <v>758</v>
      </c>
      <c r="I614" s="15" t="s">
        <v>2895</v>
      </c>
      <c r="J614" s="15" t="s">
        <v>755</v>
      </c>
      <c r="K614" s="15" t="s">
        <v>2895</v>
      </c>
      <c r="L614" s="15" t="s">
        <v>755</v>
      </c>
      <c r="M614" s="15" t="str">
        <f t="shared" si="9"/>
        <v>insert into dbo.LifeInsJobCode (JobCode,JobGrade,JobDescription,JobGroupCode1,JobGroupName1,JobGroupCode2,JobGroupName2,CreateTime,Creator,ModifyTime,Modifier) VALUES ('09020080','3','道路號誌、標誌製造工','','','','',getdate(),'Alvin',getdate(),'Alvin')</v>
      </c>
    </row>
    <row r="615" spans="2:13" ht="13.8">
      <c r="B615" s="15" t="s">
        <v>1934</v>
      </c>
      <c r="C615" s="15">
        <v>1</v>
      </c>
      <c r="D615" s="15" t="s">
        <v>1935</v>
      </c>
      <c r="E615" s="15" t="s">
        <v>1936</v>
      </c>
      <c r="F615" s="15" t="s">
        <v>1937</v>
      </c>
      <c r="G615" s="15" t="s">
        <v>1938</v>
      </c>
      <c r="H615" s="15" t="s">
        <v>1939</v>
      </c>
      <c r="I615" s="15" t="s">
        <v>2895</v>
      </c>
      <c r="J615" s="15" t="s">
        <v>755</v>
      </c>
      <c r="K615" s="15" t="s">
        <v>2895</v>
      </c>
      <c r="L615" s="15" t="s">
        <v>755</v>
      </c>
      <c r="M615" s="15" t="str">
        <f t="shared" si="9"/>
        <v>insert into dbo.LifeInsJobCode (JobCode,JobGrade,JobDescription,JobGroupCode1,JobGroupName1,JobGroupCode2,JobGroupName2,CreateTime,Creator,ModifyTime,Modifier) VALUES ('10010010','1','一般醫務行政人員','10','衛生保健業','1001','醫院',getdate(),'Alvin',getdate(),'Alvin')</v>
      </c>
    </row>
    <row r="616" spans="2:13" ht="13.8">
      <c r="B616" s="15" t="s">
        <v>1940</v>
      </c>
      <c r="C616" s="15">
        <v>1</v>
      </c>
      <c r="D616" s="15" t="s">
        <v>1941</v>
      </c>
      <c r="E616" s="15" t="s">
        <v>758</v>
      </c>
      <c r="F616" s="15" t="s">
        <v>758</v>
      </c>
      <c r="G616" s="15" t="s">
        <v>758</v>
      </c>
      <c r="H616" s="15" t="s">
        <v>758</v>
      </c>
      <c r="I616" s="15" t="s">
        <v>2895</v>
      </c>
      <c r="J616" s="15" t="s">
        <v>755</v>
      </c>
      <c r="K616" s="15" t="s">
        <v>2895</v>
      </c>
      <c r="L616" s="15" t="s">
        <v>755</v>
      </c>
      <c r="M616" s="15" t="str">
        <f t="shared" si="9"/>
        <v>insert into dbo.LifeInsJobCode (JobCode,JobGrade,JobDescription,JobGroupCode1,JobGroupName1,JobGroupCode2,JobGroupName2,CreateTime,Creator,ModifyTime,Modifier) VALUES ('10010020','1','一般醫師、護士及藥劑師','','','','',getdate(),'Alvin',getdate(),'Alvin')</v>
      </c>
    </row>
    <row r="617" spans="2:13" ht="13.8">
      <c r="B617" s="15" t="s">
        <v>1942</v>
      </c>
      <c r="C617" s="15">
        <v>3</v>
      </c>
      <c r="D617" s="15" t="s">
        <v>1943</v>
      </c>
      <c r="E617" s="15" t="s">
        <v>758</v>
      </c>
      <c r="F617" s="15" t="s">
        <v>758</v>
      </c>
      <c r="G617" s="15" t="s">
        <v>758</v>
      </c>
      <c r="H617" s="15" t="s">
        <v>758</v>
      </c>
      <c r="I617" s="15" t="s">
        <v>2895</v>
      </c>
      <c r="J617" s="15" t="s">
        <v>755</v>
      </c>
      <c r="K617" s="15" t="s">
        <v>2895</v>
      </c>
      <c r="L617" s="15" t="s">
        <v>755</v>
      </c>
      <c r="M617" s="15" t="str">
        <f t="shared" si="9"/>
        <v>insert into dbo.LifeInsJobCode (JobCode,JobGrade,JobDescription,JobGroupCode1,JobGroupName1,JobGroupCode2,JobGroupName2,CreateTime,Creator,ModifyTime,Modifier) VALUES ('10010030','3','精神病科醫師、看護及護士','','','','',getdate(),'Alvin',getdate(),'Alvin')</v>
      </c>
    </row>
    <row r="618" spans="2:13" ht="13.8">
      <c r="B618" s="15" t="s">
        <v>1944</v>
      </c>
      <c r="C618" s="15">
        <v>2</v>
      </c>
      <c r="D618" s="15" t="s">
        <v>1945</v>
      </c>
      <c r="E618" s="15" t="s">
        <v>758</v>
      </c>
      <c r="F618" s="15" t="s">
        <v>758</v>
      </c>
      <c r="G618" s="15" t="s">
        <v>758</v>
      </c>
      <c r="H618" s="15" t="s">
        <v>758</v>
      </c>
      <c r="I618" s="15" t="s">
        <v>2895</v>
      </c>
      <c r="J618" s="15" t="s">
        <v>755</v>
      </c>
      <c r="K618" s="15" t="s">
        <v>2895</v>
      </c>
      <c r="L618" s="15" t="s">
        <v>755</v>
      </c>
      <c r="M618" s="15" t="str">
        <f t="shared" si="9"/>
        <v>insert into dbo.LifeInsJobCode (JobCode,JobGrade,JobDescription,JobGroupCode1,JobGroupName1,JobGroupCode2,JobGroupName2,CreateTime,Creator,ModifyTime,Modifier) VALUES ('10010040','2','獸醫','','','','',getdate(),'Alvin',getdate(),'Alvin')</v>
      </c>
    </row>
    <row r="619" spans="2:13" ht="13.8">
      <c r="B619" s="15" t="s">
        <v>1946</v>
      </c>
      <c r="C619" s="15">
        <v>2</v>
      </c>
      <c r="D619" s="15" t="s">
        <v>1947</v>
      </c>
      <c r="E619" s="15" t="s">
        <v>758</v>
      </c>
      <c r="F619" s="15" t="s">
        <v>758</v>
      </c>
      <c r="G619" s="15" t="s">
        <v>758</v>
      </c>
      <c r="H619" s="15" t="s">
        <v>758</v>
      </c>
      <c r="I619" s="15" t="s">
        <v>2895</v>
      </c>
      <c r="J619" s="15" t="s">
        <v>755</v>
      </c>
      <c r="K619" s="15" t="s">
        <v>2895</v>
      </c>
      <c r="L619" s="15" t="s">
        <v>755</v>
      </c>
      <c r="M619" s="15" t="str">
        <f t="shared" si="9"/>
        <v>insert into dbo.LifeInsJobCode (JobCode,JobGrade,JobDescription,JobGroupCode1,JobGroupName1,JobGroupCode2,JobGroupName2,CreateTime,Creator,ModifyTime,Modifier) VALUES ('10010050','2','醫院炊事','','','','',getdate(),'Alvin',getdate(),'Alvin')</v>
      </c>
    </row>
    <row r="620" spans="2:13" ht="13.8">
      <c r="B620" s="15" t="s">
        <v>1948</v>
      </c>
      <c r="C620" s="15">
        <v>2</v>
      </c>
      <c r="D620" s="15" t="s">
        <v>1949</v>
      </c>
      <c r="E620" s="15" t="s">
        <v>758</v>
      </c>
      <c r="F620" s="15" t="s">
        <v>758</v>
      </c>
      <c r="G620" s="15" t="s">
        <v>758</v>
      </c>
      <c r="H620" s="15" t="s">
        <v>758</v>
      </c>
      <c r="I620" s="15" t="s">
        <v>2895</v>
      </c>
      <c r="J620" s="15" t="s">
        <v>755</v>
      </c>
      <c r="K620" s="15" t="s">
        <v>2895</v>
      </c>
      <c r="L620" s="15" t="s">
        <v>755</v>
      </c>
      <c r="M620" s="15" t="str">
        <f t="shared" si="9"/>
        <v>insert into dbo.LifeInsJobCode (JobCode,JobGrade,JobDescription,JobGroupCode1,JobGroupName1,JobGroupCode2,JobGroupName2,CreateTime,Creator,ModifyTime,Modifier) VALUES ('10010060','2','雜工','','','','',getdate(),'Alvin',getdate(),'Alvin')</v>
      </c>
    </row>
    <row r="621" spans="2:13" ht="13.8">
      <c r="B621" s="15" t="s">
        <v>1950</v>
      </c>
      <c r="C621" s="15">
        <v>2</v>
      </c>
      <c r="D621" s="15" t="s">
        <v>1280</v>
      </c>
      <c r="E621" s="15" t="s">
        <v>758</v>
      </c>
      <c r="F621" s="15" t="s">
        <v>758</v>
      </c>
      <c r="G621" s="15" t="s">
        <v>758</v>
      </c>
      <c r="H621" s="15" t="s">
        <v>758</v>
      </c>
      <c r="I621" s="15" t="s">
        <v>2895</v>
      </c>
      <c r="J621" s="15" t="s">
        <v>755</v>
      </c>
      <c r="K621" s="15" t="s">
        <v>2895</v>
      </c>
      <c r="L621" s="15" t="s">
        <v>755</v>
      </c>
      <c r="M621" s="15" t="str">
        <f t="shared" si="9"/>
        <v>insert into dbo.LifeInsJobCode (JobCode,JobGrade,JobDescription,JobGroupCode1,JobGroupName1,JobGroupCode2,JobGroupName2,CreateTime,Creator,ModifyTime,Modifier) VALUES ('10010070','2','清潔工','','','','',getdate(),'Alvin',getdate(),'Alvin')</v>
      </c>
    </row>
    <row r="622" spans="2:13" ht="13.8">
      <c r="B622" s="15" t="s">
        <v>1951</v>
      </c>
      <c r="C622" s="15">
        <v>2</v>
      </c>
      <c r="D622" s="15" t="s">
        <v>1952</v>
      </c>
      <c r="E622" s="15" t="s">
        <v>758</v>
      </c>
      <c r="F622" s="15" t="s">
        <v>758</v>
      </c>
      <c r="G622" s="15" t="s">
        <v>758</v>
      </c>
      <c r="H622" s="15" t="s">
        <v>758</v>
      </c>
      <c r="I622" s="15" t="s">
        <v>2895</v>
      </c>
      <c r="J622" s="15" t="s">
        <v>755</v>
      </c>
      <c r="K622" s="15" t="s">
        <v>2895</v>
      </c>
      <c r="L622" s="15" t="s">
        <v>755</v>
      </c>
      <c r="M622" s="15" t="str">
        <f t="shared" si="9"/>
        <v>insert into dbo.LifeInsJobCode (JobCode,JobGrade,JobDescription,JobGroupCode1,JobGroupName1,JobGroupCode2,JobGroupName2,CreateTime,Creator,ModifyTime,Modifier) VALUES ('10010080','2','一般看護人員','','','','',getdate(),'Alvin',getdate(),'Alvin')</v>
      </c>
    </row>
    <row r="623" spans="2:13" ht="13.8">
      <c r="B623" s="15" t="s">
        <v>1953</v>
      </c>
      <c r="C623" s="15">
        <v>1</v>
      </c>
      <c r="D623" s="15" t="s">
        <v>1954</v>
      </c>
      <c r="E623" s="15" t="s">
        <v>758</v>
      </c>
      <c r="F623" s="15" t="s">
        <v>758</v>
      </c>
      <c r="G623" s="15" t="s">
        <v>758</v>
      </c>
      <c r="H623" s="15" t="s">
        <v>758</v>
      </c>
      <c r="I623" s="15" t="s">
        <v>2895</v>
      </c>
      <c r="J623" s="15" t="s">
        <v>755</v>
      </c>
      <c r="K623" s="15" t="s">
        <v>2895</v>
      </c>
      <c r="L623" s="15" t="s">
        <v>755</v>
      </c>
      <c r="M623" s="15" t="str">
        <f t="shared" si="9"/>
        <v>insert into dbo.LifeInsJobCode (JobCode,JobGrade,JobDescription,JobGroupCode1,JobGroupName1,JobGroupCode2,JobGroupName2,CreateTime,Creator,ModifyTime,Modifier) VALUES ('10010090','1','物理、職能(復健)治療師','','','','',getdate(),'Alvin',getdate(),'Alvin')</v>
      </c>
    </row>
    <row r="624" spans="2:13" ht="13.8">
      <c r="B624" s="15" t="s">
        <v>1955</v>
      </c>
      <c r="C624" s="15">
        <v>1</v>
      </c>
      <c r="D624" s="15" t="s">
        <v>1956</v>
      </c>
      <c r="E624" s="15" t="s">
        <v>758</v>
      </c>
      <c r="F624" s="15" t="s">
        <v>758</v>
      </c>
      <c r="G624" s="15" t="s">
        <v>1957</v>
      </c>
      <c r="H624" s="15" t="s">
        <v>1958</v>
      </c>
      <c r="I624" s="15" t="s">
        <v>2895</v>
      </c>
      <c r="J624" s="15" t="s">
        <v>755</v>
      </c>
      <c r="K624" s="15" t="s">
        <v>2895</v>
      </c>
      <c r="L624" s="15" t="s">
        <v>755</v>
      </c>
      <c r="M624" s="15" t="str">
        <f t="shared" si="9"/>
        <v>insert into dbo.LifeInsJobCode (JobCode,JobGrade,JobDescription,JobGroupCode1,JobGroupName1,JobGroupCode2,JobGroupName2,CreateTime,Creator,ModifyTime,Modifier) VALUES ('10020010','1','醫學及病理檢驗人員','','','1002','保健人員',getdate(),'Alvin',getdate(),'Alvin')</v>
      </c>
    </row>
    <row r="625" spans="2:13" ht="13.8">
      <c r="B625" s="15" t="s">
        <v>1959</v>
      </c>
      <c r="C625" s="15">
        <v>1</v>
      </c>
      <c r="D625" s="15" t="s">
        <v>1960</v>
      </c>
      <c r="E625" s="15" t="s">
        <v>758</v>
      </c>
      <c r="F625" s="15" t="s">
        <v>758</v>
      </c>
      <c r="G625" s="15" t="s">
        <v>758</v>
      </c>
      <c r="H625" s="15" t="s">
        <v>758</v>
      </c>
      <c r="I625" s="15" t="s">
        <v>2895</v>
      </c>
      <c r="J625" s="15" t="s">
        <v>755</v>
      </c>
      <c r="K625" s="15" t="s">
        <v>2895</v>
      </c>
      <c r="L625" s="15" t="s">
        <v>755</v>
      </c>
      <c r="M625" s="15" t="str">
        <f t="shared" si="9"/>
        <v>insert into dbo.LifeInsJobCode (JobCode,JobGrade,JobDescription,JobGroupCode1,JobGroupName1,JobGroupCode2,JobGroupName2,CreateTime,Creator,ModifyTime,Modifier) VALUES ('10020020','1','分析員','','','','',getdate(),'Alvin',getdate(),'Alvin')</v>
      </c>
    </row>
    <row r="626" spans="2:13" ht="13.8">
      <c r="B626" s="15" t="s">
        <v>1961</v>
      </c>
      <c r="C626" s="15">
        <v>2</v>
      </c>
      <c r="D626" s="15" t="s">
        <v>1962</v>
      </c>
      <c r="E626" s="15" t="s">
        <v>758</v>
      </c>
      <c r="F626" s="15" t="s">
        <v>758</v>
      </c>
      <c r="G626" s="15" t="s">
        <v>758</v>
      </c>
      <c r="H626" s="15" t="s">
        <v>758</v>
      </c>
      <c r="I626" s="15" t="s">
        <v>2895</v>
      </c>
      <c r="J626" s="15" t="s">
        <v>755</v>
      </c>
      <c r="K626" s="15" t="s">
        <v>2895</v>
      </c>
      <c r="L626" s="15" t="s">
        <v>755</v>
      </c>
      <c r="M626" s="15" t="str">
        <f t="shared" si="9"/>
        <v>insert into dbo.LifeInsJobCode (JobCode,JobGrade,JobDescription,JobGroupCode1,JobGroupName1,JobGroupCode2,JobGroupName2,CreateTime,Creator,ModifyTime,Modifier) VALUES ('10020030','2','放射線之技術人員','','','','',getdate(),'Alvin',getdate(),'Alvin')</v>
      </c>
    </row>
    <row r="627" spans="2:13" ht="13.8">
      <c r="B627" s="15" t="s">
        <v>1963</v>
      </c>
      <c r="C627" s="15">
        <v>4</v>
      </c>
      <c r="D627" s="15" t="s">
        <v>1964</v>
      </c>
      <c r="E627" s="15" t="s">
        <v>758</v>
      </c>
      <c r="F627" s="15" t="s">
        <v>758</v>
      </c>
      <c r="G627" s="15" t="s">
        <v>758</v>
      </c>
      <c r="H627" s="15" t="s">
        <v>758</v>
      </c>
      <c r="I627" s="15" t="s">
        <v>2895</v>
      </c>
      <c r="J627" s="15" t="s">
        <v>755</v>
      </c>
      <c r="K627" s="15" t="s">
        <v>2895</v>
      </c>
      <c r="L627" s="15" t="s">
        <v>755</v>
      </c>
      <c r="M627" s="15" t="str">
        <f t="shared" si="9"/>
        <v>insert into dbo.LifeInsJobCode (JobCode,JobGrade,JobDescription,JobGroupCode1,JobGroupName1,JobGroupCode2,JobGroupName2,CreateTime,Creator,ModifyTime,Modifier) VALUES ('10020040','4','放射線之修護人員','','','','',getdate(),'Alvin',getdate(),'Alvin')</v>
      </c>
    </row>
    <row r="628" spans="2:13" ht="13.8">
      <c r="B628" s="15" t="s">
        <v>1965</v>
      </c>
      <c r="C628" s="15">
        <v>2</v>
      </c>
      <c r="D628" s="15" t="s">
        <v>1966</v>
      </c>
      <c r="E628" s="15" t="s">
        <v>758</v>
      </c>
      <c r="F628" s="15" t="s">
        <v>758</v>
      </c>
      <c r="G628" s="15" t="s">
        <v>758</v>
      </c>
      <c r="H628" s="15" t="s">
        <v>758</v>
      </c>
      <c r="I628" s="15" t="s">
        <v>2895</v>
      </c>
      <c r="J628" s="15" t="s">
        <v>755</v>
      </c>
      <c r="K628" s="15" t="s">
        <v>2895</v>
      </c>
      <c r="L628" s="15" t="s">
        <v>755</v>
      </c>
      <c r="M628" s="15" t="str">
        <f t="shared" si="9"/>
        <v>insert into dbo.LifeInsJobCode (JobCode,JobGrade,JobDescription,JobGroupCode1,JobGroupName1,JobGroupCode2,JobGroupName2,CreateTime,Creator,ModifyTime,Modifier) VALUES ('10020050','2','助產士','','','','',getdate(),'Alvin',getdate(),'Alvin')</v>
      </c>
    </row>
    <row r="629" spans="2:13" ht="13.8">
      <c r="B629" s="15" t="s">
        <v>1967</v>
      </c>
      <c r="C629" s="15">
        <v>2</v>
      </c>
      <c r="D629" s="15" t="s">
        <v>1968</v>
      </c>
      <c r="E629" s="15" t="s">
        <v>758</v>
      </c>
      <c r="F629" s="15" t="s">
        <v>758</v>
      </c>
      <c r="G629" s="15" t="s">
        <v>758</v>
      </c>
      <c r="H629" s="15" t="s">
        <v>758</v>
      </c>
      <c r="I629" s="15" t="s">
        <v>2895</v>
      </c>
      <c r="J629" s="15" t="s">
        <v>755</v>
      </c>
      <c r="K629" s="15" t="s">
        <v>2895</v>
      </c>
      <c r="L629" s="15" t="s">
        <v>755</v>
      </c>
      <c r="M629" s="15" t="str">
        <f t="shared" si="9"/>
        <v>insert into dbo.LifeInsJobCode (JobCode,JobGrade,JobDescription,JobGroupCode1,JobGroupName1,JobGroupCode2,JobGroupName2,CreateTime,Creator,ModifyTime,Modifier) VALUES ('10020060','2','跌打損傷治療人員(接骨、氣功推拿)','','','','',getdate(),'Alvin',getdate(),'Alvin')</v>
      </c>
    </row>
    <row r="630" spans="2:13" ht="13.8">
      <c r="B630" s="15" t="s">
        <v>1969</v>
      </c>
      <c r="C630" s="15">
        <v>2</v>
      </c>
      <c r="D630" s="15" t="s">
        <v>1970</v>
      </c>
      <c r="E630" s="15" t="s">
        <v>758</v>
      </c>
      <c r="F630" s="15" t="s">
        <v>758</v>
      </c>
      <c r="G630" s="15" t="s">
        <v>758</v>
      </c>
      <c r="H630" s="15" t="s">
        <v>758</v>
      </c>
      <c r="I630" s="15" t="s">
        <v>2895</v>
      </c>
      <c r="J630" s="15" t="s">
        <v>755</v>
      </c>
      <c r="K630" s="15" t="s">
        <v>2895</v>
      </c>
      <c r="L630" s="15" t="s">
        <v>755</v>
      </c>
      <c r="M630" s="15" t="str">
        <f t="shared" si="9"/>
        <v>insert into dbo.LifeInsJobCode (JobCode,JobGrade,JobDescription,JobGroupCode1,JobGroupName1,JobGroupCode2,JobGroupName2,CreateTime,Creator,ModifyTime,Modifier) VALUES ('10020070','2','監獄、看守所醫生、護理人員','','','','',getdate(),'Alvin',getdate(),'Alvin')</v>
      </c>
    </row>
    <row r="631" spans="2:13" ht="13.8">
      <c r="B631" s="15" t="s">
        <v>1971</v>
      </c>
      <c r="C631" s="15">
        <v>1</v>
      </c>
      <c r="D631" s="15" t="s">
        <v>3341</v>
      </c>
      <c r="E631" s="15" t="s">
        <v>758</v>
      </c>
      <c r="F631" s="15" t="s">
        <v>758</v>
      </c>
      <c r="G631" s="15" t="s">
        <v>758</v>
      </c>
      <c r="H631" s="15" t="s">
        <v>758</v>
      </c>
      <c r="I631" s="15" t="s">
        <v>2895</v>
      </c>
      <c r="J631" s="15" t="s">
        <v>755</v>
      </c>
      <c r="K631" s="15" t="s">
        <v>2895</v>
      </c>
      <c r="L631" s="15" t="s">
        <v>755</v>
      </c>
      <c r="M631" s="15" t="str">
        <f t="shared" si="9"/>
        <v>insert into dbo.LifeInsJobCode (JobCode,JobGrade,JobDescription,JobGroupCode1,JobGroupName1,JobGroupCode2,JobGroupName2,CreateTime,Creator,ModifyTime,Modifier) VALUES ('10020080','1','做月子、育嬰中心工作人員','','','','',getdate(),'Alvin',getdate(),'Alvin')</v>
      </c>
    </row>
    <row r="632" spans="2:13" ht="13.8">
      <c r="B632" s="15" t="s">
        <v>1972</v>
      </c>
      <c r="C632" s="15">
        <v>1</v>
      </c>
      <c r="D632" s="15" t="s">
        <v>3342</v>
      </c>
      <c r="E632" s="15" t="s">
        <v>758</v>
      </c>
      <c r="F632" s="15" t="s">
        <v>758</v>
      </c>
      <c r="G632" s="15" t="s">
        <v>758</v>
      </c>
      <c r="H632" s="15" t="s">
        <v>758</v>
      </c>
      <c r="I632" s="15" t="s">
        <v>2895</v>
      </c>
      <c r="J632" s="15" t="s">
        <v>755</v>
      </c>
      <c r="K632" s="15" t="s">
        <v>2895</v>
      </c>
      <c r="L632" s="15" t="s">
        <v>755</v>
      </c>
      <c r="M632" s="15" t="str">
        <f t="shared" si="9"/>
        <v>insert into dbo.LifeInsJobCode (JobCode,JobGrade,JobDescription,JobGroupCode1,JobGroupName1,JobGroupCode2,JobGroupName2,CreateTime,Creator,ModifyTime,Modifier) VALUES ('10020090','1','中途之家、安養院工作人員','','','','',getdate(),'Alvin',getdate(),'Alvin')</v>
      </c>
    </row>
    <row r="633" spans="2:13" ht="13.8">
      <c r="B633" s="15" t="s">
        <v>1973</v>
      </c>
      <c r="C633" s="15">
        <v>2</v>
      </c>
      <c r="D633" s="15" t="s">
        <v>1974</v>
      </c>
      <c r="E633" s="15" t="s">
        <v>758</v>
      </c>
      <c r="F633" s="15" t="s">
        <v>758</v>
      </c>
      <c r="G633" s="15" t="s">
        <v>758</v>
      </c>
      <c r="H633" s="15" t="s">
        <v>758</v>
      </c>
      <c r="I633" s="15" t="s">
        <v>2895</v>
      </c>
      <c r="J633" s="15" t="s">
        <v>755</v>
      </c>
      <c r="K633" s="15" t="s">
        <v>2895</v>
      </c>
      <c r="L633" s="15" t="s">
        <v>755</v>
      </c>
      <c r="M633" s="15" t="str">
        <f t="shared" si="9"/>
        <v>insert into dbo.LifeInsJobCode (JobCode,JobGrade,JobDescription,JobGroupCode1,JobGroupName1,JobGroupCode2,JobGroupName2,CreateTime,Creator,ModifyTime,Modifier) VALUES ('10020100','2','齒模工','','','','',getdate(),'Alvin',getdate(),'Alvin')</v>
      </c>
    </row>
    <row r="634" spans="2:13" ht="13.8">
      <c r="B634" s="15" t="s">
        <v>1975</v>
      </c>
      <c r="C634" s="15">
        <v>2</v>
      </c>
      <c r="D634" s="15" t="s">
        <v>3306</v>
      </c>
      <c r="E634" s="15" t="s">
        <v>758</v>
      </c>
      <c r="F634" s="15" t="s">
        <v>758</v>
      </c>
      <c r="G634" s="15" t="s">
        <v>758</v>
      </c>
      <c r="H634" s="15" t="s">
        <v>758</v>
      </c>
      <c r="I634" s="15" t="s">
        <v>2895</v>
      </c>
      <c r="J634" s="15" t="s">
        <v>755</v>
      </c>
      <c r="K634" s="15" t="s">
        <v>2895</v>
      </c>
      <c r="L634" s="15" t="s">
        <v>755</v>
      </c>
      <c r="M634" s="15" t="str">
        <f t="shared" si="9"/>
        <v>insert into dbo.LifeInsJobCode (JobCode,JobGrade,JobDescription,JobGroupCode1,JobGroupName1,JobGroupCode2,JobGroupName2,CreateTime,Creator,ModifyTime,Modifier) VALUES ('10020110','2','勞、健保局調查人員(外勤)','','','','',getdate(),'Alvin',getdate(),'Alvin')</v>
      </c>
    </row>
    <row r="635" spans="2:13" ht="13.8">
      <c r="B635" s="15" t="s">
        <v>1976</v>
      </c>
      <c r="C635" s="15">
        <v>3</v>
      </c>
      <c r="D635" s="15" t="s">
        <v>1977</v>
      </c>
      <c r="E635" s="15" t="s">
        <v>758</v>
      </c>
      <c r="F635" s="15" t="s">
        <v>758</v>
      </c>
      <c r="G635" s="15" t="s">
        <v>758</v>
      </c>
      <c r="H635" s="15" t="s">
        <v>758</v>
      </c>
      <c r="I635" s="15" t="s">
        <v>2895</v>
      </c>
      <c r="J635" s="15" t="s">
        <v>755</v>
      </c>
      <c r="K635" s="15" t="s">
        <v>2895</v>
      </c>
      <c r="L635" s="15" t="s">
        <v>755</v>
      </c>
      <c r="M635" s="15" t="str">
        <f t="shared" si="9"/>
        <v>insert into dbo.LifeInsJobCode (JobCode,JobGrade,JobDescription,JobGroupCode1,JobGroupName1,JobGroupCode2,JobGroupName2,CreateTime,Creator,ModifyTime,Modifier) VALUES ('10020120','3','煙毒勒戒所人員','','','','',getdate(),'Alvin',getdate(),'Alvin')</v>
      </c>
    </row>
    <row r="636" spans="2:13" ht="13.8">
      <c r="B636" s="15" t="s">
        <v>1978</v>
      </c>
      <c r="C636" s="15">
        <v>1</v>
      </c>
      <c r="D636" s="15" t="s">
        <v>1979</v>
      </c>
      <c r="E636" s="15" t="s">
        <v>1980</v>
      </c>
      <c r="F636" s="15" t="s">
        <v>1981</v>
      </c>
      <c r="G636" s="15" t="s">
        <v>1982</v>
      </c>
      <c r="H636" s="15" t="s">
        <v>1983</v>
      </c>
      <c r="I636" s="15" t="s">
        <v>2895</v>
      </c>
      <c r="J636" s="15" t="s">
        <v>755</v>
      </c>
      <c r="K636" s="15" t="s">
        <v>2895</v>
      </c>
      <c r="L636" s="15" t="s">
        <v>755</v>
      </c>
      <c r="M636" s="15" t="str">
        <f t="shared" si="9"/>
        <v>insert into dbo.LifeInsJobCode (JobCode,JobGrade,JobDescription,JobGroupCode1,JobGroupName1,JobGroupCode2,JobGroupName2,CreateTime,Creator,ModifyTime,Modifier) VALUES ('11010010','1','製片人、一般內勤人員','11','娛樂業','1101','電影業、電視業',getdate(),'Alvin',getdate(),'Alvin')</v>
      </c>
    </row>
    <row r="637" spans="2:13" ht="13.8">
      <c r="B637" s="15" t="s">
        <v>1984</v>
      </c>
      <c r="C637" s="15">
        <v>1</v>
      </c>
      <c r="D637" s="15" t="s">
        <v>1985</v>
      </c>
      <c r="E637" s="15" t="s">
        <v>758</v>
      </c>
      <c r="F637" s="15" t="s">
        <v>758</v>
      </c>
      <c r="G637" s="15" t="s">
        <v>758</v>
      </c>
      <c r="H637" s="15" t="s">
        <v>758</v>
      </c>
      <c r="I637" s="15" t="s">
        <v>2895</v>
      </c>
      <c r="J637" s="15" t="s">
        <v>755</v>
      </c>
      <c r="K637" s="15" t="s">
        <v>2895</v>
      </c>
      <c r="L637" s="15" t="s">
        <v>755</v>
      </c>
      <c r="M637" s="15" t="str">
        <f t="shared" si="9"/>
        <v>insert into dbo.LifeInsJobCode (JobCode,JobGrade,JobDescription,JobGroupCode1,JobGroupName1,JobGroupCode2,JobGroupName2,CreateTime,Creator,ModifyTime,Modifier) VALUES ('11010020','1','影片商、系統商、頻道商','','','','',getdate(),'Alvin',getdate(),'Alvin')</v>
      </c>
    </row>
    <row r="638" spans="2:13" ht="13.8">
      <c r="B638" s="15" t="s">
        <v>1986</v>
      </c>
      <c r="C638" s="15">
        <v>1</v>
      </c>
      <c r="D638" s="15" t="s">
        <v>1987</v>
      </c>
      <c r="E638" s="15" t="s">
        <v>758</v>
      </c>
      <c r="F638" s="15" t="s">
        <v>758</v>
      </c>
      <c r="G638" s="15" t="s">
        <v>758</v>
      </c>
      <c r="H638" s="15" t="s">
        <v>758</v>
      </c>
      <c r="I638" s="15" t="s">
        <v>2895</v>
      </c>
      <c r="J638" s="15" t="s">
        <v>755</v>
      </c>
      <c r="K638" s="15" t="s">
        <v>2895</v>
      </c>
      <c r="L638" s="15" t="s">
        <v>755</v>
      </c>
      <c r="M638" s="15" t="str">
        <f t="shared" si="9"/>
        <v>insert into dbo.LifeInsJobCode (JobCode,JobGrade,JobDescription,JobGroupCode1,JobGroupName1,JobGroupCode2,JobGroupName2,CreateTime,Creator,ModifyTime,Modifier) VALUES ('11010030','1','編劇、電視導播','','','','',getdate(),'Alvin',getdate(),'Alvin')</v>
      </c>
    </row>
    <row r="639" spans="2:13" ht="13.8">
      <c r="B639" s="15" t="s">
        <v>1988</v>
      </c>
      <c r="C639" s="15">
        <v>2</v>
      </c>
      <c r="D639" s="15" t="s">
        <v>3307</v>
      </c>
      <c r="E639" s="15" t="s">
        <v>758</v>
      </c>
      <c r="F639" s="15" t="s">
        <v>758</v>
      </c>
      <c r="G639" s="15" t="s">
        <v>758</v>
      </c>
      <c r="H639" s="15" t="s">
        <v>758</v>
      </c>
      <c r="I639" s="15" t="s">
        <v>2895</v>
      </c>
      <c r="J639" s="15" t="s">
        <v>755</v>
      </c>
      <c r="K639" s="15" t="s">
        <v>2895</v>
      </c>
      <c r="L639" s="15" t="s">
        <v>755</v>
      </c>
      <c r="M639" s="15" t="str">
        <f t="shared" si="9"/>
        <v>insert into dbo.LifeInsJobCode (JobCode,JobGrade,JobDescription,JobGroupCode1,JobGroupName1,JobGroupCode2,JobGroupName2,CreateTime,Creator,ModifyTime,Modifier) VALUES ('11010040','2','一般演員(導演)','','','','',getdate(),'Alvin',getdate(),'Alvin')</v>
      </c>
    </row>
    <row r="640" spans="2:13" ht="13.8">
      <c r="B640" s="15" t="s">
        <v>1989</v>
      </c>
      <c r="C640" s="15">
        <v>5</v>
      </c>
      <c r="D640" s="15" t="s">
        <v>1990</v>
      </c>
      <c r="E640" s="15" t="s">
        <v>758</v>
      </c>
      <c r="F640" s="15" t="s">
        <v>758</v>
      </c>
      <c r="G640" s="15" t="s">
        <v>758</v>
      </c>
      <c r="H640" s="15" t="s">
        <v>758</v>
      </c>
      <c r="I640" s="15" t="s">
        <v>2895</v>
      </c>
      <c r="J640" s="15" t="s">
        <v>755</v>
      </c>
      <c r="K640" s="15" t="s">
        <v>2895</v>
      </c>
      <c r="L640" s="15" t="s">
        <v>755</v>
      </c>
      <c r="M640" s="15" t="str">
        <f t="shared" si="9"/>
        <v>insert into dbo.LifeInsJobCode (JobCode,JobGrade,JobDescription,JobGroupCode1,JobGroupName1,JobGroupCode2,JobGroupName2,CreateTime,Creator,ModifyTime,Modifier) VALUES ('11010050','5','武打演員','','','','',getdate(),'Alvin',getdate(),'Alvin')</v>
      </c>
    </row>
    <row r="641" spans="2:13" ht="13.8">
      <c r="B641" s="15" t="s">
        <v>1991</v>
      </c>
      <c r="C641" s="15">
        <v>7</v>
      </c>
      <c r="D641" s="15" t="s">
        <v>1992</v>
      </c>
      <c r="E641" s="15" t="s">
        <v>758</v>
      </c>
      <c r="F641" s="15" t="s">
        <v>758</v>
      </c>
      <c r="G641" s="15" t="s">
        <v>758</v>
      </c>
      <c r="H641" s="15" t="s">
        <v>758</v>
      </c>
      <c r="I641" s="15" t="s">
        <v>2895</v>
      </c>
      <c r="J641" s="15" t="s">
        <v>755</v>
      </c>
      <c r="K641" s="15" t="s">
        <v>2895</v>
      </c>
      <c r="L641" s="15" t="s">
        <v>755</v>
      </c>
      <c r="M641" s="15" t="str">
        <f t="shared" si="9"/>
        <v>insert into dbo.LifeInsJobCode (JobCode,JobGrade,JobDescription,JobGroupCode1,JobGroupName1,JobGroupCode2,JobGroupName2,CreateTime,Creator,ModifyTime,Modifier) VALUES ('11010060','7','特技演員','','','','',getdate(),'Alvin',getdate(),'Alvin')</v>
      </c>
    </row>
    <row r="642" spans="2:13" ht="13.8">
      <c r="B642" s="15" t="s">
        <v>1993</v>
      </c>
      <c r="C642" s="15">
        <v>1</v>
      </c>
      <c r="D642" s="15" t="s">
        <v>1994</v>
      </c>
      <c r="E642" s="15" t="s">
        <v>758</v>
      </c>
      <c r="F642" s="15" t="s">
        <v>758</v>
      </c>
      <c r="G642" s="15" t="s">
        <v>758</v>
      </c>
      <c r="H642" s="15" t="s">
        <v>758</v>
      </c>
      <c r="I642" s="15" t="s">
        <v>2895</v>
      </c>
      <c r="J642" s="15" t="s">
        <v>755</v>
      </c>
      <c r="K642" s="15" t="s">
        <v>2895</v>
      </c>
      <c r="L642" s="15" t="s">
        <v>755</v>
      </c>
      <c r="M642" s="15" t="str">
        <f t="shared" ref="M642:M705" si="10">$M$1 &amp; " VALUES ('"&amp;B642&amp;"','"&amp;C642&amp;"','"&amp;D642&amp;"','"&amp;E642&amp;"','"&amp;F642&amp;"','"&amp;G642&amp;"','"&amp;H642&amp;"',"&amp;I642&amp;",'"&amp;J642&amp;"',"&amp;K642&amp;",'"&amp;L642&amp;"')"</f>
        <v>insert into dbo.LifeInsJobCode (JobCode,JobGrade,JobDescription,JobGroupCode1,JobGroupName1,JobGroupCode2,JobGroupName2,CreateTime,Creator,ModifyTime,Modifier) VALUES ('11010070','1','化粧師','','','','',getdate(),'Alvin',getdate(),'Alvin')</v>
      </c>
    </row>
    <row r="643" spans="2:13" ht="13.8">
      <c r="B643" s="15" t="s">
        <v>1995</v>
      </c>
      <c r="C643" s="15">
        <v>2</v>
      </c>
      <c r="D643" s="15" t="s">
        <v>1996</v>
      </c>
      <c r="E643" s="15" t="s">
        <v>758</v>
      </c>
      <c r="F643" s="15" t="s">
        <v>758</v>
      </c>
      <c r="G643" s="15" t="s">
        <v>758</v>
      </c>
      <c r="H643" s="15" t="s">
        <v>758</v>
      </c>
      <c r="I643" s="15" t="s">
        <v>2895</v>
      </c>
      <c r="J643" s="15" t="s">
        <v>755</v>
      </c>
      <c r="K643" s="15" t="s">
        <v>2895</v>
      </c>
      <c r="L643" s="15" t="s">
        <v>755</v>
      </c>
      <c r="M643" s="15" t="str">
        <f t="shared" si="10"/>
        <v>insert into dbo.LifeInsJobCode (JobCode,JobGrade,JobDescription,JobGroupCode1,JobGroupName1,JobGroupCode2,JobGroupName2,CreateTime,Creator,ModifyTime,Modifier) VALUES ('11010080','2','場記','','','','',getdate(),'Alvin',getdate(),'Alvin')</v>
      </c>
    </row>
    <row r="644" spans="2:13" ht="13.8">
      <c r="B644" s="15" t="s">
        <v>1997</v>
      </c>
      <c r="C644" s="15">
        <v>2</v>
      </c>
      <c r="D644" s="15" t="s">
        <v>1998</v>
      </c>
      <c r="E644" s="15" t="s">
        <v>758</v>
      </c>
      <c r="F644" s="15" t="s">
        <v>758</v>
      </c>
      <c r="G644" s="15" t="s">
        <v>758</v>
      </c>
      <c r="H644" s="15" t="s">
        <v>758</v>
      </c>
      <c r="I644" s="15" t="s">
        <v>2895</v>
      </c>
      <c r="J644" s="15" t="s">
        <v>755</v>
      </c>
      <c r="K644" s="15" t="s">
        <v>2895</v>
      </c>
      <c r="L644" s="15" t="s">
        <v>755</v>
      </c>
      <c r="M644" s="15" t="str">
        <f t="shared" si="10"/>
        <v>insert into dbo.LifeInsJobCode (JobCode,JobGrade,JobDescription,JobGroupCode1,JobGroupName1,JobGroupCode2,JobGroupName2,CreateTime,Creator,ModifyTime,Modifier) VALUES ('11010090','2','攝影工作人員','','','','',getdate(),'Alvin',getdate(),'Alvin')</v>
      </c>
    </row>
    <row r="645" spans="2:13" ht="13.8">
      <c r="B645" s="15" t="s">
        <v>1999</v>
      </c>
      <c r="C645" s="15">
        <v>2</v>
      </c>
      <c r="D645" s="15" t="s">
        <v>2000</v>
      </c>
      <c r="E645" s="15" t="s">
        <v>758</v>
      </c>
      <c r="F645" s="15" t="s">
        <v>758</v>
      </c>
      <c r="G645" s="15" t="s">
        <v>758</v>
      </c>
      <c r="H645" s="15" t="s">
        <v>758</v>
      </c>
      <c r="I645" s="15" t="s">
        <v>2895</v>
      </c>
      <c r="J645" s="15" t="s">
        <v>755</v>
      </c>
      <c r="K645" s="15" t="s">
        <v>2895</v>
      </c>
      <c r="L645" s="15" t="s">
        <v>755</v>
      </c>
      <c r="M645" s="15" t="str">
        <f t="shared" si="10"/>
        <v>insert into dbo.LifeInsJobCode (JobCode,JobGrade,JobDescription,JobGroupCode1,JobGroupName1,JobGroupCode2,JobGroupName2,CreateTime,Creator,ModifyTime,Modifier) VALUES ('11010100','2','燈光及音響效果工作人員','','','','',getdate(),'Alvin',getdate(),'Alvin')</v>
      </c>
    </row>
    <row r="646" spans="2:13" ht="13.8">
      <c r="B646" s="15" t="s">
        <v>2001</v>
      </c>
      <c r="C646" s="15">
        <v>2</v>
      </c>
      <c r="D646" s="15" t="s">
        <v>2002</v>
      </c>
      <c r="E646" s="15" t="s">
        <v>758</v>
      </c>
      <c r="F646" s="15" t="s">
        <v>758</v>
      </c>
      <c r="G646" s="15" t="s">
        <v>758</v>
      </c>
      <c r="H646" s="15" t="s">
        <v>758</v>
      </c>
      <c r="I646" s="15" t="s">
        <v>2895</v>
      </c>
      <c r="J646" s="15" t="s">
        <v>755</v>
      </c>
      <c r="K646" s="15" t="s">
        <v>2895</v>
      </c>
      <c r="L646" s="15" t="s">
        <v>755</v>
      </c>
      <c r="M646" s="15" t="str">
        <f t="shared" si="10"/>
        <v>insert into dbo.LifeInsJobCode (JobCode,JobGrade,JobDescription,JobGroupCode1,JobGroupName1,JobGroupCode2,JobGroupName2,CreateTime,Creator,ModifyTime,Modifier) VALUES ('11010110','2','沖片工作人員','','','','',getdate(),'Alvin',getdate(),'Alvin')</v>
      </c>
    </row>
    <row r="647" spans="2:13" ht="13.8">
      <c r="B647" s="15" t="s">
        <v>2003</v>
      </c>
      <c r="C647" s="15">
        <v>2</v>
      </c>
      <c r="D647" s="15" t="s">
        <v>2004</v>
      </c>
      <c r="E647" s="15" t="s">
        <v>758</v>
      </c>
      <c r="F647" s="15" t="s">
        <v>758</v>
      </c>
      <c r="G647" s="15" t="s">
        <v>758</v>
      </c>
      <c r="H647" s="15" t="s">
        <v>758</v>
      </c>
      <c r="I647" s="15" t="s">
        <v>2895</v>
      </c>
      <c r="J647" s="15" t="s">
        <v>755</v>
      </c>
      <c r="K647" s="15" t="s">
        <v>2895</v>
      </c>
      <c r="L647" s="15" t="s">
        <v>755</v>
      </c>
      <c r="M647" s="15" t="str">
        <f t="shared" si="10"/>
        <v>insert into dbo.LifeInsJobCode (JobCode,JobGrade,JobDescription,JobGroupCode1,JobGroupName1,JobGroupCode2,JobGroupName2,CreateTime,Creator,ModifyTime,Modifier) VALUES ('11010120','2','洗片工作人員','','','','',getdate(),'Alvin',getdate(),'Alvin')</v>
      </c>
    </row>
    <row r="648" spans="2:13" ht="13.8">
      <c r="B648" s="15" t="s">
        <v>2005</v>
      </c>
      <c r="C648" s="15">
        <v>2</v>
      </c>
      <c r="D648" s="15" t="s">
        <v>2006</v>
      </c>
      <c r="E648" s="15" t="s">
        <v>758</v>
      </c>
      <c r="F648" s="15" t="s">
        <v>758</v>
      </c>
      <c r="G648" s="15" t="s">
        <v>758</v>
      </c>
      <c r="H648" s="15" t="s">
        <v>758</v>
      </c>
      <c r="I648" s="15" t="s">
        <v>2895</v>
      </c>
      <c r="J648" s="15" t="s">
        <v>755</v>
      </c>
      <c r="K648" s="15" t="s">
        <v>2895</v>
      </c>
      <c r="L648" s="15" t="s">
        <v>755</v>
      </c>
      <c r="M648" s="15" t="str">
        <f t="shared" si="10"/>
        <v>insert into dbo.LifeInsJobCode (JobCode,JobGrade,JobDescription,JobGroupCode1,JobGroupName1,JobGroupCode2,JobGroupName2,CreateTime,Creator,ModifyTime,Modifier) VALUES ('11010130','2','電視記者','','','','',getdate(),'Alvin',getdate(),'Alvin')</v>
      </c>
    </row>
    <row r="649" spans="2:13" ht="13.8">
      <c r="B649" s="15" t="s">
        <v>2007</v>
      </c>
      <c r="C649" s="15">
        <v>4</v>
      </c>
      <c r="D649" s="15" t="s">
        <v>2008</v>
      </c>
      <c r="E649" s="15" t="s">
        <v>758</v>
      </c>
      <c r="F649" s="15" t="s">
        <v>758</v>
      </c>
      <c r="G649" s="15" t="s">
        <v>758</v>
      </c>
      <c r="H649" s="15" t="s">
        <v>758</v>
      </c>
      <c r="I649" s="15" t="s">
        <v>2895</v>
      </c>
      <c r="J649" s="15" t="s">
        <v>755</v>
      </c>
      <c r="K649" s="15" t="s">
        <v>2895</v>
      </c>
      <c r="L649" s="15" t="s">
        <v>755</v>
      </c>
      <c r="M649" s="15" t="str">
        <f t="shared" si="10"/>
        <v>insert into dbo.LifeInsJobCode (JobCode,JobGrade,JobDescription,JobGroupCode1,JobGroupName1,JobGroupCode2,JobGroupName2,CreateTime,Creator,ModifyTime,Modifier) VALUES ('11010140','4','機械工、電工','','','','',getdate(),'Alvin',getdate(),'Alvin')</v>
      </c>
    </row>
    <row r="650" spans="2:13" ht="13.8">
      <c r="B650" s="15" t="s">
        <v>2009</v>
      </c>
      <c r="C650" s="15">
        <v>4</v>
      </c>
      <c r="D650" s="15" t="s">
        <v>2010</v>
      </c>
      <c r="E650" s="15" t="s">
        <v>758</v>
      </c>
      <c r="F650" s="15" t="s">
        <v>758</v>
      </c>
      <c r="G650" s="15" t="s">
        <v>758</v>
      </c>
      <c r="H650" s="15" t="s">
        <v>758</v>
      </c>
      <c r="I650" s="15" t="s">
        <v>2895</v>
      </c>
      <c r="J650" s="15" t="s">
        <v>755</v>
      </c>
      <c r="K650" s="15" t="s">
        <v>2895</v>
      </c>
      <c r="L650" s="15" t="s">
        <v>755</v>
      </c>
      <c r="M650" s="15" t="str">
        <f t="shared" si="10"/>
        <v>insert into dbo.LifeInsJobCode (JobCode,JobGrade,JobDescription,JobGroupCode1,JobGroupName1,JobGroupCode2,JobGroupName2,CreateTime,Creator,ModifyTime,Modifier) VALUES ('11010150','4','佈景搭設人員','','','','',getdate(),'Alvin',getdate(),'Alvin')</v>
      </c>
    </row>
    <row r="651" spans="2:13" ht="13.8">
      <c r="B651" s="15" t="s">
        <v>2011</v>
      </c>
      <c r="C651" s="15">
        <v>1</v>
      </c>
      <c r="D651" s="15" t="s">
        <v>2012</v>
      </c>
      <c r="E651" s="15" t="s">
        <v>758</v>
      </c>
      <c r="F651" s="15" t="s">
        <v>758</v>
      </c>
      <c r="G651" s="15" t="s">
        <v>758</v>
      </c>
      <c r="H651" s="15" t="s">
        <v>758</v>
      </c>
      <c r="I651" s="15" t="s">
        <v>2895</v>
      </c>
      <c r="J651" s="15" t="s">
        <v>755</v>
      </c>
      <c r="K651" s="15" t="s">
        <v>2895</v>
      </c>
      <c r="L651" s="15" t="s">
        <v>755</v>
      </c>
      <c r="M651" s="15" t="str">
        <f t="shared" si="10"/>
        <v>insert into dbo.LifeInsJobCode (JobCode,JobGrade,JobDescription,JobGroupCode1,JobGroupName1,JobGroupCode2,JobGroupName2,CreateTime,Creator,ModifyTime,Modifier) VALUES ('11010160','1','電影院售票員','','','','',getdate(),'Alvin',getdate(),'Alvin')</v>
      </c>
    </row>
    <row r="652" spans="2:13" ht="13.8">
      <c r="B652" s="15" t="s">
        <v>2013</v>
      </c>
      <c r="C652" s="15">
        <v>2</v>
      </c>
      <c r="D652" s="15" t="s">
        <v>2014</v>
      </c>
      <c r="E652" s="15" t="s">
        <v>758</v>
      </c>
      <c r="F652" s="15" t="s">
        <v>758</v>
      </c>
      <c r="G652" s="15" t="s">
        <v>758</v>
      </c>
      <c r="H652" s="15" t="s">
        <v>758</v>
      </c>
      <c r="I652" s="15" t="s">
        <v>2895</v>
      </c>
      <c r="J652" s="15" t="s">
        <v>755</v>
      </c>
      <c r="K652" s="15" t="s">
        <v>2895</v>
      </c>
      <c r="L652" s="15" t="s">
        <v>755</v>
      </c>
      <c r="M652" s="15" t="str">
        <f t="shared" si="10"/>
        <v>insert into dbo.LifeInsJobCode (JobCode,JobGrade,JobDescription,JobGroupCode1,JobGroupName1,JobGroupCode2,JobGroupName2,CreateTime,Creator,ModifyTime,Modifier) VALUES ('11010170','2','電影院放映人員','','','','',getdate(),'Alvin',getdate(),'Alvin')</v>
      </c>
    </row>
    <row r="653" spans="2:13" ht="13.8">
      <c r="B653" s="15" t="s">
        <v>2015</v>
      </c>
      <c r="C653" s="15">
        <v>2</v>
      </c>
      <c r="D653" s="15" t="s">
        <v>2016</v>
      </c>
      <c r="E653" s="15" t="s">
        <v>758</v>
      </c>
      <c r="F653" s="15" t="s">
        <v>758</v>
      </c>
      <c r="G653" s="15" t="s">
        <v>758</v>
      </c>
      <c r="H653" s="15" t="s">
        <v>758</v>
      </c>
      <c r="I653" s="15" t="s">
        <v>2895</v>
      </c>
      <c r="J653" s="15" t="s">
        <v>755</v>
      </c>
      <c r="K653" s="15" t="s">
        <v>2895</v>
      </c>
      <c r="L653" s="15" t="s">
        <v>755</v>
      </c>
      <c r="M653" s="15" t="str">
        <f t="shared" si="10"/>
        <v>insert into dbo.LifeInsJobCode (JobCode,JobGrade,JobDescription,JobGroupCode1,JobGroupName1,JobGroupCode2,JobGroupName2,CreateTime,Creator,ModifyTime,Modifier) VALUES ('11010180','2','電影院服務人員兼餐飲販賣','','','','',getdate(),'Alvin',getdate(),'Alvin')</v>
      </c>
    </row>
    <row r="654" spans="2:13" ht="13.8">
      <c r="B654" s="15" t="s">
        <v>2017</v>
      </c>
      <c r="C654" s="15">
        <v>1</v>
      </c>
      <c r="D654" s="15" t="s">
        <v>2018</v>
      </c>
      <c r="E654" s="15" t="s">
        <v>758</v>
      </c>
      <c r="F654" s="15" t="s">
        <v>758</v>
      </c>
      <c r="G654" s="15" t="s">
        <v>758</v>
      </c>
      <c r="H654" s="15" t="s">
        <v>758</v>
      </c>
      <c r="I654" s="15" t="s">
        <v>2895</v>
      </c>
      <c r="J654" s="15" t="s">
        <v>755</v>
      </c>
      <c r="K654" s="15" t="s">
        <v>2895</v>
      </c>
      <c r="L654" s="15" t="s">
        <v>755</v>
      </c>
      <c r="M654" s="15" t="str">
        <f t="shared" si="10"/>
        <v>insert into dbo.LifeInsJobCode (JobCode,JobGrade,JobDescription,JobGroupCode1,JobGroupName1,JobGroupCode2,JobGroupName2,CreateTime,Creator,ModifyTime,Modifier) VALUES ('11010190','1','影片剪接人員','','','','',getdate(),'Alvin',getdate(),'Alvin')</v>
      </c>
    </row>
    <row r="655" spans="2:13" ht="13.8">
      <c r="B655" s="15" t="s">
        <v>2019</v>
      </c>
      <c r="C655" s="15">
        <v>1</v>
      </c>
      <c r="D655" s="15" t="s">
        <v>2020</v>
      </c>
      <c r="E655" s="15" t="s">
        <v>758</v>
      </c>
      <c r="F655" s="15" t="s">
        <v>758</v>
      </c>
      <c r="G655" s="15" t="s">
        <v>758</v>
      </c>
      <c r="H655" s="15" t="s">
        <v>758</v>
      </c>
      <c r="I655" s="15" t="s">
        <v>2895</v>
      </c>
      <c r="J655" s="15" t="s">
        <v>755</v>
      </c>
      <c r="K655" s="15" t="s">
        <v>2895</v>
      </c>
      <c r="L655" s="15" t="s">
        <v>755</v>
      </c>
      <c r="M655" s="15" t="str">
        <f t="shared" si="10"/>
        <v>insert into dbo.LifeInsJobCode (JobCode,JobGrade,JobDescription,JobGroupCode1,JobGroupName1,JobGroupCode2,JobGroupName2,CreateTime,Creator,ModifyTime,Modifier) VALUES ('11010200','1','播音、錄音、配音人員','','','','',getdate(),'Alvin',getdate(),'Alvin')</v>
      </c>
    </row>
    <row r="656" spans="2:13" ht="13.8">
      <c r="B656" s="15" t="s">
        <v>2021</v>
      </c>
      <c r="C656" s="15">
        <v>4</v>
      </c>
      <c r="D656" s="15" t="s">
        <v>2022</v>
      </c>
      <c r="E656" s="15" t="s">
        <v>758</v>
      </c>
      <c r="F656" s="15" t="s">
        <v>758</v>
      </c>
      <c r="G656" s="15" t="s">
        <v>758</v>
      </c>
      <c r="H656" s="15" t="s">
        <v>758</v>
      </c>
      <c r="I656" s="15" t="s">
        <v>2895</v>
      </c>
      <c r="J656" s="15" t="s">
        <v>755</v>
      </c>
      <c r="K656" s="15" t="s">
        <v>2895</v>
      </c>
      <c r="L656" s="15" t="s">
        <v>755</v>
      </c>
      <c r="M656" s="15" t="str">
        <f t="shared" si="10"/>
        <v>insert into dbo.LifeInsJobCode (JobCode,JobGrade,JobDescription,JobGroupCode1,JobGroupName1,JobGroupCode2,JobGroupName2,CreateTime,Creator,ModifyTime,Modifier) VALUES ('11010210','4','燈光及音響器材架設人員','','','','',getdate(),'Alvin',getdate(),'Alvin')</v>
      </c>
    </row>
    <row r="657" spans="2:13" ht="13.8">
      <c r="B657" s="15" t="s">
        <v>2023</v>
      </c>
      <c r="C657" s="15">
        <v>2</v>
      </c>
      <c r="D657" s="15" t="s">
        <v>2024</v>
      </c>
      <c r="E657" s="15" t="s">
        <v>758</v>
      </c>
      <c r="F657" s="15" t="s">
        <v>758</v>
      </c>
      <c r="G657" s="15" t="s">
        <v>758</v>
      </c>
      <c r="H657" s="15" t="s">
        <v>758</v>
      </c>
      <c r="I657" s="15" t="s">
        <v>2895</v>
      </c>
      <c r="J657" s="15" t="s">
        <v>755</v>
      </c>
      <c r="K657" s="15" t="s">
        <v>2895</v>
      </c>
      <c r="L657" s="15" t="s">
        <v>755</v>
      </c>
      <c r="M657" s="15" t="str">
        <f t="shared" si="10"/>
        <v>insert into dbo.LifeInsJobCode (JobCode,JobGrade,JobDescription,JobGroupCode1,JobGroupName1,JobGroupCode2,JobGroupName2,CreateTime,Creator,ModifyTime,Modifier) VALUES ('11010220','2','現場指導、助理導播','','','','',getdate(),'Alvin',getdate(),'Alvin')</v>
      </c>
    </row>
    <row r="658" spans="2:13" ht="13.8">
      <c r="B658" s="15" t="s">
        <v>2025</v>
      </c>
      <c r="C658" s="15">
        <v>3</v>
      </c>
      <c r="D658" s="15" t="s">
        <v>3343</v>
      </c>
      <c r="E658" s="15" t="s">
        <v>758</v>
      </c>
      <c r="F658" s="15" t="s">
        <v>758</v>
      </c>
      <c r="G658" s="15" t="s">
        <v>758</v>
      </c>
      <c r="H658" s="15" t="s">
        <v>758</v>
      </c>
      <c r="I658" s="15" t="s">
        <v>2895</v>
      </c>
      <c r="J658" s="15" t="s">
        <v>755</v>
      </c>
      <c r="K658" s="15" t="s">
        <v>2895</v>
      </c>
      <c r="L658" s="15" t="s">
        <v>755</v>
      </c>
      <c r="M658" s="15" t="str">
        <f t="shared" si="10"/>
        <v>insert into dbo.LifeInsJobCode (JobCode,JobGrade,JobDescription,JobGroupCode1,JobGroupName1,JobGroupCode2,JobGroupName2,CreateTime,Creator,ModifyTime,Modifier) VALUES ('11010230','3','採訪車、轉播車駕駛','','','','',getdate(),'Alvin',getdate(),'Alvin')</v>
      </c>
    </row>
    <row r="659" spans="2:13" ht="13.8">
      <c r="B659" s="15" t="s">
        <v>2026</v>
      </c>
      <c r="C659" s="15">
        <v>3</v>
      </c>
      <c r="D659" s="15" t="s">
        <v>2027</v>
      </c>
      <c r="E659" s="15" t="s">
        <v>758</v>
      </c>
      <c r="F659" s="15" t="s">
        <v>758</v>
      </c>
      <c r="G659" s="15" t="s">
        <v>758</v>
      </c>
      <c r="H659" s="15" t="s">
        <v>758</v>
      </c>
      <c r="I659" s="15" t="s">
        <v>2895</v>
      </c>
      <c r="J659" s="15" t="s">
        <v>755</v>
      </c>
      <c r="K659" s="15" t="s">
        <v>2895</v>
      </c>
      <c r="L659" s="15" t="s">
        <v>755</v>
      </c>
      <c r="M659" s="15" t="str">
        <f t="shared" si="10"/>
        <v>insert into dbo.LifeInsJobCode (JobCode,JobGrade,JobDescription,JobGroupCode1,JobGroupName1,JobGroupCode2,JobGroupName2,CreateTime,Creator,ModifyTime,Modifier) VALUES ('11010240','3','武術指導','','','','',getdate(),'Alvin',getdate(),'Alvin')</v>
      </c>
    </row>
    <row r="660" spans="2:13" ht="13.8">
      <c r="B660" s="15" t="s">
        <v>2028</v>
      </c>
      <c r="C660" s="15">
        <v>4</v>
      </c>
      <c r="D660" s="15" t="s">
        <v>2029</v>
      </c>
      <c r="E660" s="15" t="s">
        <v>758</v>
      </c>
      <c r="F660" s="15" t="s">
        <v>758</v>
      </c>
      <c r="G660" s="15" t="s">
        <v>758</v>
      </c>
      <c r="H660" s="15" t="s">
        <v>758</v>
      </c>
      <c r="I660" s="15" t="s">
        <v>2895</v>
      </c>
      <c r="J660" s="15" t="s">
        <v>755</v>
      </c>
      <c r="K660" s="15" t="s">
        <v>2895</v>
      </c>
      <c r="L660" s="15" t="s">
        <v>755</v>
      </c>
      <c r="M660" s="15" t="str">
        <f t="shared" si="10"/>
        <v>insert into dbo.LifeInsJobCode (JobCode,JobGrade,JobDescription,JobGroupCode1,JobGroupName1,JobGroupCode2,JobGroupName2,CreateTime,Creator,ModifyTime,Modifier) VALUES ('11010250','4','有線電視架式人員','','','','',getdate(),'Alvin',getdate(),'Alvin')</v>
      </c>
    </row>
    <row r="661" spans="2:13" ht="13.8">
      <c r="B661" s="15" t="s">
        <v>2030</v>
      </c>
      <c r="C661" s="15">
        <v>2</v>
      </c>
      <c r="D661" s="15" t="s">
        <v>2031</v>
      </c>
      <c r="E661" s="15" t="s">
        <v>758</v>
      </c>
      <c r="F661" s="15" t="s">
        <v>758</v>
      </c>
      <c r="G661" s="15" t="s">
        <v>758</v>
      </c>
      <c r="H661" s="15" t="s">
        <v>758</v>
      </c>
      <c r="I661" s="15" t="s">
        <v>2895</v>
      </c>
      <c r="J661" s="15" t="s">
        <v>755</v>
      </c>
      <c r="K661" s="15" t="s">
        <v>2895</v>
      </c>
      <c r="L661" s="15" t="s">
        <v>755</v>
      </c>
      <c r="M661" s="15" t="str">
        <f t="shared" si="10"/>
        <v>insert into dbo.LifeInsJobCode (JobCode,JobGrade,JobDescription,JobGroupCode1,JobGroupName1,JobGroupCode2,JobGroupName2,CreateTime,Creator,ModifyTime,Modifier) VALUES ('11010260','2','電影院清潔人員','','','','',getdate(),'Alvin',getdate(),'Alvin')</v>
      </c>
    </row>
    <row r="662" spans="2:13" ht="13.8">
      <c r="B662" s="15" t="s">
        <v>2032</v>
      </c>
      <c r="C662" s="15">
        <v>2</v>
      </c>
      <c r="D662" s="15" t="s">
        <v>2033</v>
      </c>
      <c r="E662" s="15" t="s">
        <v>758</v>
      </c>
      <c r="F662" s="15" t="s">
        <v>758</v>
      </c>
      <c r="G662" s="15" t="s">
        <v>2034</v>
      </c>
      <c r="H662" s="15" t="s">
        <v>2035</v>
      </c>
      <c r="I662" s="15" t="s">
        <v>2895</v>
      </c>
      <c r="J662" s="15" t="s">
        <v>755</v>
      </c>
      <c r="K662" s="15" t="s">
        <v>2895</v>
      </c>
      <c r="L662" s="15" t="s">
        <v>755</v>
      </c>
      <c r="M662" s="15" t="str">
        <f t="shared" si="10"/>
        <v>insert into dbo.LifeInsJobCode (JobCode,JobGrade,JobDescription,JobGroupCode1,JobGroupName1,JobGroupCode2,JobGroupName2,CreateTime,Creator,ModifyTime,Modifier) VALUES ('11020010','2','教練','','','1102','高爾夫球場',getdate(),'Alvin',getdate(),'Alvin')</v>
      </c>
    </row>
    <row r="663" spans="2:13" ht="13.8">
      <c r="B663" s="15" t="s">
        <v>2036</v>
      </c>
      <c r="C663" s="15">
        <v>2</v>
      </c>
      <c r="D663" s="15" t="s">
        <v>2037</v>
      </c>
      <c r="E663" s="15" t="s">
        <v>758</v>
      </c>
      <c r="F663" s="15" t="s">
        <v>758</v>
      </c>
      <c r="G663" s="15" t="s">
        <v>758</v>
      </c>
      <c r="H663" s="15" t="s">
        <v>758</v>
      </c>
      <c r="I663" s="15" t="s">
        <v>2895</v>
      </c>
      <c r="J663" s="15" t="s">
        <v>755</v>
      </c>
      <c r="K663" s="15" t="s">
        <v>2895</v>
      </c>
      <c r="L663" s="15" t="s">
        <v>755</v>
      </c>
      <c r="M663" s="15" t="str">
        <f t="shared" si="10"/>
        <v>insert into dbo.LifeInsJobCode (JobCode,JobGrade,JobDescription,JobGroupCode1,JobGroupName1,JobGroupCode2,JobGroupName2,CreateTime,Creator,ModifyTime,Modifier) VALUES ('11020020','2','球場保養人','','','','',getdate(),'Alvin',getdate(),'Alvin')</v>
      </c>
    </row>
    <row r="664" spans="2:13" ht="13.8">
      <c r="B664" s="15" t="s">
        <v>2038</v>
      </c>
      <c r="C664" s="15">
        <v>2</v>
      </c>
      <c r="D664" s="15" t="s">
        <v>1430</v>
      </c>
      <c r="E664" s="15" t="s">
        <v>758</v>
      </c>
      <c r="F664" s="15" t="s">
        <v>758</v>
      </c>
      <c r="G664" s="15" t="s">
        <v>758</v>
      </c>
      <c r="H664" s="15" t="s">
        <v>758</v>
      </c>
      <c r="I664" s="15" t="s">
        <v>2895</v>
      </c>
      <c r="J664" s="15" t="s">
        <v>755</v>
      </c>
      <c r="K664" s="15" t="s">
        <v>2895</v>
      </c>
      <c r="L664" s="15" t="s">
        <v>755</v>
      </c>
      <c r="M664" s="15" t="str">
        <f t="shared" si="10"/>
        <v>insert into dbo.LifeInsJobCode (JobCode,JobGrade,JobDescription,JobGroupCode1,JobGroupName1,JobGroupCode2,JobGroupName2,CreateTime,Creator,ModifyTime,Modifier) VALUES ('11020030','2','維護工人','','','','',getdate(),'Alvin',getdate(),'Alvin')</v>
      </c>
    </row>
    <row r="665" spans="2:13" ht="13.8">
      <c r="B665" s="15" t="s">
        <v>2039</v>
      </c>
      <c r="C665" s="15">
        <v>2</v>
      </c>
      <c r="D665" s="15" t="s">
        <v>2040</v>
      </c>
      <c r="E665" s="15" t="s">
        <v>758</v>
      </c>
      <c r="F665" s="15" t="s">
        <v>758</v>
      </c>
      <c r="G665" s="15" t="s">
        <v>758</v>
      </c>
      <c r="H665" s="15" t="s">
        <v>758</v>
      </c>
      <c r="I665" s="15" t="s">
        <v>2895</v>
      </c>
      <c r="J665" s="15" t="s">
        <v>755</v>
      </c>
      <c r="K665" s="15" t="s">
        <v>2895</v>
      </c>
      <c r="L665" s="15" t="s">
        <v>755</v>
      </c>
      <c r="M665" s="15" t="str">
        <f t="shared" si="10"/>
        <v>insert into dbo.LifeInsJobCode (JobCode,JobGrade,JobDescription,JobGroupCode1,JobGroupName1,JobGroupCode2,JobGroupName2,CreateTime,Creator,ModifyTime,Modifier) VALUES ('11020040','2','球僮','','','','',getdate(),'Alvin',getdate(),'Alvin')</v>
      </c>
    </row>
    <row r="666" spans="2:13" ht="13.8">
      <c r="B666" s="15" t="s">
        <v>2041</v>
      </c>
      <c r="C666" s="15">
        <v>1</v>
      </c>
      <c r="D666" s="15" t="s">
        <v>2042</v>
      </c>
      <c r="E666" s="15" t="s">
        <v>758</v>
      </c>
      <c r="F666" s="15" t="s">
        <v>758</v>
      </c>
      <c r="G666" s="15" t="s">
        <v>2043</v>
      </c>
      <c r="H666" s="15" t="s">
        <v>2044</v>
      </c>
      <c r="I666" s="15" t="s">
        <v>2895</v>
      </c>
      <c r="J666" s="15" t="s">
        <v>755</v>
      </c>
      <c r="K666" s="15" t="s">
        <v>2895</v>
      </c>
      <c r="L666" s="15" t="s">
        <v>755</v>
      </c>
      <c r="M666" s="15" t="str">
        <f t="shared" si="10"/>
        <v>insert into dbo.LifeInsJobCode (JobCode,JobGrade,JobDescription,JobGroupCode1,JobGroupName1,JobGroupCode2,JobGroupName2,CreateTime,Creator,ModifyTime,Modifier) VALUES ('11030010','1','計分員','','','1103','保齡球館',getdate(),'Alvin',getdate(),'Alvin')</v>
      </c>
    </row>
    <row r="667" spans="2:13" ht="13.8">
      <c r="B667" s="15" t="s">
        <v>2045</v>
      </c>
      <c r="C667" s="15">
        <v>1</v>
      </c>
      <c r="D667" s="15" t="s">
        <v>1296</v>
      </c>
      <c r="E667" s="15" t="s">
        <v>758</v>
      </c>
      <c r="F667" s="15" t="s">
        <v>758</v>
      </c>
      <c r="G667" s="15" t="s">
        <v>758</v>
      </c>
      <c r="H667" s="15" t="s">
        <v>758</v>
      </c>
      <c r="I667" s="15" t="s">
        <v>2895</v>
      </c>
      <c r="J667" s="15" t="s">
        <v>755</v>
      </c>
      <c r="K667" s="15" t="s">
        <v>2895</v>
      </c>
      <c r="L667" s="15" t="s">
        <v>755</v>
      </c>
      <c r="M667" s="15" t="str">
        <f t="shared" si="10"/>
        <v>insert into dbo.LifeInsJobCode (JobCode,JobGrade,JobDescription,JobGroupCode1,JobGroupName1,JobGroupCode2,JobGroupName2,CreateTime,Creator,ModifyTime,Modifier) VALUES ('11030020','1','櫃臺人員','','','','',getdate(),'Alvin',getdate(),'Alvin')</v>
      </c>
    </row>
    <row r="668" spans="2:13" ht="13.8">
      <c r="B668" s="15" t="s">
        <v>2046</v>
      </c>
      <c r="C668" s="15">
        <v>3</v>
      </c>
      <c r="D668" s="15" t="s">
        <v>2047</v>
      </c>
      <c r="E668" s="15" t="s">
        <v>758</v>
      </c>
      <c r="F668" s="15" t="s">
        <v>758</v>
      </c>
      <c r="G668" s="15" t="s">
        <v>758</v>
      </c>
      <c r="H668" s="15" t="s">
        <v>758</v>
      </c>
      <c r="I668" s="15" t="s">
        <v>2895</v>
      </c>
      <c r="J668" s="15" t="s">
        <v>755</v>
      </c>
      <c r="K668" s="15" t="s">
        <v>2895</v>
      </c>
      <c r="L668" s="15" t="s">
        <v>755</v>
      </c>
      <c r="M668" s="15" t="str">
        <f t="shared" si="10"/>
        <v>insert into dbo.LifeInsJobCode (JobCode,JobGrade,JobDescription,JobGroupCode1,JobGroupName1,JobGroupCode2,JobGroupName2,CreateTime,Creator,ModifyTime,Modifier) VALUES ('11030030','3','機械修護工人','','','','',getdate(),'Alvin',getdate(),'Alvin')</v>
      </c>
    </row>
    <row r="669" spans="2:13" ht="13.8">
      <c r="B669" s="15" t="s">
        <v>2048</v>
      </c>
      <c r="C669" s="15">
        <v>2</v>
      </c>
      <c r="D669" s="15" t="s">
        <v>2049</v>
      </c>
      <c r="E669" s="15" t="s">
        <v>758</v>
      </c>
      <c r="F669" s="15" t="s">
        <v>758</v>
      </c>
      <c r="G669" s="15" t="s">
        <v>758</v>
      </c>
      <c r="H669" s="15" t="s">
        <v>758</v>
      </c>
      <c r="I669" s="15" t="s">
        <v>2895</v>
      </c>
      <c r="J669" s="15" t="s">
        <v>755</v>
      </c>
      <c r="K669" s="15" t="s">
        <v>2895</v>
      </c>
      <c r="L669" s="15" t="s">
        <v>755</v>
      </c>
      <c r="M669" s="15" t="str">
        <f t="shared" si="10"/>
        <v>insert into dbo.LifeInsJobCode (JobCode,JobGrade,JobDescription,JobGroupCode1,JobGroupName1,JobGroupCode2,JobGroupName2,CreateTime,Creator,ModifyTime,Modifier) VALUES ('11030040','2','清潔工人','','','','',getdate(),'Alvin',getdate(),'Alvin')</v>
      </c>
    </row>
    <row r="670" spans="2:13" ht="13.8">
      <c r="B670" s="15" t="s">
        <v>2050</v>
      </c>
      <c r="C670" s="15">
        <v>1</v>
      </c>
      <c r="D670" s="15" t="s">
        <v>1267</v>
      </c>
      <c r="E670" s="15" t="s">
        <v>758</v>
      </c>
      <c r="F670" s="15" t="s">
        <v>758</v>
      </c>
      <c r="G670" s="15" t="s">
        <v>758</v>
      </c>
      <c r="H670" s="15" t="s">
        <v>758</v>
      </c>
      <c r="I670" s="15" t="s">
        <v>2895</v>
      </c>
      <c r="J670" s="15" t="s">
        <v>755</v>
      </c>
      <c r="K670" s="15" t="s">
        <v>2895</v>
      </c>
      <c r="L670" s="15" t="s">
        <v>755</v>
      </c>
      <c r="M670" s="15" t="str">
        <f t="shared" si="10"/>
        <v>insert into dbo.LifeInsJobCode (JobCode,JobGrade,JobDescription,JobGroupCode1,JobGroupName1,JobGroupCode2,JobGroupName2,CreateTime,Creator,ModifyTime,Modifier) VALUES ('11030050','1','負責人','','','','',getdate(),'Alvin',getdate(),'Alvin')</v>
      </c>
    </row>
    <row r="671" spans="2:13" ht="13.8">
      <c r="B671" s="15" t="s">
        <v>2051</v>
      </c>
      <c r="C671" s="15">
        <v>2</v>
      </c>
      <c r="D671" s="15" t="s">
        <v>1267</v>
      </c>
      <c r="E671" s="15" t="s">
        <v>758</v>
      </c>
      <c r="F671" s="15" t="s">
        <v>758</v>
      </c>
      <c r="G671" s="15" t="s">
        <v>2052</v>
      </c>
      <c r="H671" s="15" t="s">
        <v>2053</v>
      </c>
      <c r="I671" s="15" t="s">
        <v>2895</v>
      </c>
      <c r="J671" s="15" t="s">
        <v>755</v>
      </c>
      <c r="K671" s="15" t="s">
        <v>2895</v>
      </c>
      <c r="L671" s="15" t="s">
        <v>755</v>
      </c>
      <c r="M671" s="15" t="str">
        <f t="shared" si="10"/>
        <v>insert into dbo.LifeInsJobCode (JobCode,JobGrade,JobDescription,JobGroupCode1,JobGroupName1,JobGroupCode2,JobGroupName2,CreateTime,Creator,ModifyTime,Modifier) VALUES ('11040010','2','負責人','','','1104','撞球場',getdate(),'Alvin',getdate(),'Alvin')</v>
      </c>
    </row>
    <row r="672" spans="2:13" ht="13.8">
      <c r="B672" s="15" t="s">
        <v>2054</v>
      </c>
      <c r="C672" s="15">
        <v>2</v>
      </c>
      <c r="D672" s="15" t="s">
        <v>2042</v>
      </c>
      <c r="E672" s="15" t="s">
        <v>758</v>
      </c>
      <c r="F672" s="15" t="s">
        <v>758</v>
      </c>
      <c r="G672" s="15" t="s">
        <v>758</v>
      </c>
      <c r="H672" s="15" t="s">
        <v>758</v>
      </c>
      <c r="I672" s="15" t="s">
        <v>2895</v>
      </c>
      <c r="J672" s="15" t="s">
        <v>755</v>
      </c>
      <c r="K672" s="15" t="s">
        <v>2895</v>
      </c>
      <c r="L672" s="15" t="s">
        <v>755</v>
      </c>
      <c r="M672" s="15" t="str">
        <f t="shared" si="10"/>
        <v>insert into dbo.LifeInsJobCode (JobCode,JobGrade,JobDescription,JobGroupCode1,JobGroupName1,JobGroupCode2,JobGroupName2,CreateTime,Creator,ModifyTime,Modifier) VALUES ('11040020','2','計分員','','','','',getdate(),'Alvin',getdate(),'Alvin')</v>
      </c>
    </row>
    <row r="673" spans="2:13" ht="13.8">
      <c r="B673" s="15" t="s">
        <v>2055</v>
      </c>
      <c r="C673" s="15">
        <v>1</v>
      </c>
      <c r="D673" s="15" t="s">
        <v>1267</v>
      </c>
      <c r="E673" s="15" t="s">
        <v>758</v>
      </c>
      <c r="F673" s="15" t="s">
        <v>758</v>
      </c>
      <c r="G673" s="15" t="s">
        <v>2056</v>
      </c>
      <c r="H673" s="15" t="s">
        <v>2057</v>
      </c>
      <c r="I673" s="15" t="s">
        <v>2895</v>
      </c>
      <c r="J673" s="15" t="s">
        <v>755</v>
      </c>
      <c r="K673" s="15" t="s">
        <v>2895</v>
      </c>
      <c r="L673" s="15" t="s">
        <v>755</v>
      </c>
      <c r="M673" s="15" t="str">
        <f t="shared" si="10"/>
        <v>insert into dbo.LifeInsJobCode (JobCode,JobGrade,JobDescription,JobGroupCode1,JobGroupName1,JobGroupCode2,JobGroupName2,CreateTime,Creator,ModifyTime,Modifier) VALUES ('11050010','1','負責人','','','1105','游泳池',getdate(),'Alvin',getdate(),'Alvin')</v>
      </c>
    </row>
    <row r="674" spans="2:13" ht="13.8">
      <c r="B674" s="15" t="s">
        <v>2058</v>
      </c>
      <c r="C674" s="15">
        <v>1</v>
      </c>
      <c r="D674" s="15" t="s">
        <v>2059</v>
      </c>
      <c r="E674" s="15" t="s">
        <v>758</v>
      </c>
      <c r="F674" s="15" t="s">
        <v>758</v>
      </c>
      <c r="G674" s="15" t="s">
        <v>758</v>
      </c>
      <c r="H674" s="15" t="s">
        <v>758</v>
      </c>
      <c r="I674" s="15" t="s">
        <v>2895</v>
      </c>
      <c r="J674" s="15" t="s">
        <v>755</v>
      </c>
      <c r="K674" s="15" t="s">
        <v>2895</v>
      </c>
      <c r="L674" s="15" t="s">
        <v>755</v>
      </c>
      <c r="M674" s="15" t="str">
        <f t="shared" si="10"/>
        <v>insert into dbo.LifeInsJobCode (JobCode,JobGrade,JobDescription,JobGroupCode1,JobGroupName1,JobGroupCode2,JobGroupName2,CreateTime,Creator,ModifyTime,Modifier) VALUES ('11050020','1','管理員','','','','',getdate(),'Alvin',getdate(),'Alvin')</v>
      </c>
    </row>
    <row r="675" spans="2:13" ht="13.8">
      <c r="B675" s="15" t="s">
        <v>2060</v>
      </c>
      <c r="C675" s="15">
        <v>2</v>
      </c>
      <c r="D675" s="15" t="s">
        <v>2033</v>
      </c>
      <c r="E675" s="15" t="s">
        <v>758</v>
      </c>
      <c r="F675" s="15" t="s">
        <v>758</v>
      </c>
      <c r="G675" s="15" t="s">
        <v>758</v>
      </c>
      <c r="H675" s="15" t="s">
        <v>758</v>
      </c>
      <c r="I675" s="15" t="s">
        <v>2895</v>
      </c>
      <c r="J675" s="15" t="s">
        <v>755</v>
      </c>
      <c r="K675" s="15" t="s">
        <v>2895</v>
      </c>
      <c r="L675" s="15" t="s">
        <v>755</v>
      </c>
      <c r="M675" s="15" t="str">
        <f t="shared" si="10"/>
        <v>insert into dbo.LifeInsJobCode (JobCode,JobGrade,JobDescription,JobGroupCode1,JobGroupName1,JobGroupCode2,JobGroupName2,CreateTime,Creator,ModifyTime,Modifier) VALUES ('11050030','2','教練','','','','',getdate(),'Alvin',getdate(),'Alvin')</v>
      </c>
    </row>
    <row r="676" spans="2:13" ht="13.8">
      <c r="B676" s="15" t="s">
        <v>2061</v>
      </c>
      <c r="C676" s="15">
        <v>1</v>
      </c>
      <c r="D676" s="15" t="s">
        <v>2062</v>
      </c>
      <c r="E676" s="15" t="s">
        <v>758</v>
      </c>
      <c r="F676" s="15" t="s">
        <v>758</v>
      </c>
      <c r="G676" s="15" t="s">
        <v>758</v>
      </c>
      <c r="H676" s="15" t="s">
        <v>758</v>
      </c>
      <c r="I676" s="15" t="s">
        <v>2895</v>
      </c>
      <c r="J676" s="15" t="s">
        <v>755</v>
      </c>
      <c r="K676" s="15" t="s">
        <v>2895</v>
      </c>
      <c r="L676" s="15" t="s">
        <v>755</v>
      </c>
      <c r="M676" s="15" t="str">
        <f t="shared" si="10"/>
        <v>insert into dbo.LifeInsJobCode (JobCode,JobGrade,JobDescription,JobGroupCode1,JobGroupName1,JobGroupCode2,JobGroupName2,CreateTime,Creator,ModifyTime,Modifier) VALUES ('11050040','1','售票員','','','','',getdate(),'Alvin',getdate(),'Alvin')</v>
      </c>
    </row>
    <row r="677" spans="2:13" ht="13.8">
      <c r="B677" s="15" t="s">
        <v>2063</v>
      </c>
      <c r="C677" s="15">
        <v>4</v>
      </c>
      <c r="D677" s="15" t="s">
        <v>2064</v>
      </c>
      <c r="E677" s="15" t="s">
        <v>758</v>
      </c>
      <c r="F677" s="15" t="s">
        <v>758</v>
      </c>
      <c r="G677" s="15" t="s">
        <v>758</v>
      </c>
      <c r="H677" s="15" t="s">
        <v>758</v>
      </c>
      <c r="I677" s="15" t="s">
        <v>2895</v>
      </c>
      <c r="J677" s="15" t="s">
        <v>755</v>
      </c>
      <c r="K677" s="15" t="s">
        <v>2895</v>
      </c>
      <c r="L677" s="15" t="s">
        <v>755</v>
      </c>
      <c r="M677" s="15" t="str">
        <f t="shared" si="10"/>
        <v>insert into dbo.LifeInsJobCode (JobCode,JobGrade,JobDescription,JobGroupCode1,JobGroupName1,JobGroupCode2,JobGroupName2,CreateTime,Creator,ModifyTime,Modifier) VALUES ('11050050','4','救生員','','','','',getdate(),'Alvin',getdate(),'Alvin')</v>
      </c>
    </row>
    <row r="678" spans="2:13" ht="13.8">
      <c r="B678" s="15" t="s">
        <v>2065</v>
      </c>
      <c r="C678" s="15">
        <v>1</v>
      </c>
      <c r="D678" s="15" t="s">
        <v>1267</v>
      </c>
      <c r="E678" s="15" t="s">
        <v>758</v>
      </c>
      <c r="F678" s="15" t="s">
        <v>758</v>
      </c>
      <c r="G678" s="15" t="s">
        <v>2066</v>
      </c>
      <c r="H678" s="15" t="s">
        <v>2067</v>
      </c>
      <c r="I678" s="15" t="s">
        <v>2895</v>
      </c>
      <c r="J678" s="15" t="s">
        <v>755</v>
      </c>
      <c r="K678" s="15" t="s">
        <v>2895</v>
      </c>
      <c r="L678" s="15" t="s">
        <v>755</v>
      </c>
      <c r="M678" s="15" t="str">
        <f t="shared" si="10"/>
        <v>insert into dbo.LifeInsJobCode (JobCode,JobGrade,JobDescription,JobGroupCode1,JobGroupName1,JobGroupCode2,JobGroupName2,CreateTime,Creator,ModifyTime,Modifier) VALUES ('11060010','1','負責人','','','1106','海水浴場',getdate(),'Alvin',getdate(),'Alvin')</v>
      </c>
    </row>
    <row r="679" spans="2:13" ht="13.8">
      <c r="B679" s="15" t="s">
        <v>2068</v>
      </c>
      <c r="C679" s="15">
        <v>1</v>
      </c>
      <c r="D679" s="15" t="s">
        <v>2059</v>
      </c>
      <c r="E679" s="15" t="s">
        <v>758</v>
      </c>
      <c r="F679" s="15" t="s">
        <v>758</v>
      </c>
      <c r="G679" s="15" t="s">
        <v>758</v>
      </c>
      <c r="H679" s="15" t="s">
        <v>758</v>
      </c>
      <c r="I679" s="15" t="s">
        <v>2895</v>
      </c>
      <c r="J679" s="15" t="s">
        <v>755</v>
      </c>
      <c r="K679" s="15" t="s">
        <v>2895</v>
      </c>
      <c r="L679" s="15" t="s">
        <v>755</v>
      </c>
      <c r="M679" s="15" t="str">
        <f t="shared" si="10"/>
        <v>insert into dbo.LifeInsJobCode (JobCode,JobGrade,JobDescription,JobGroupCode1,JobGroupName1,JobGroupCode2,JobGroupName2,CreateTime,Creator,ModifyTime,Modifier) VALUES ('11060020','1','管理員','','','','',getdate(),'Alvin',getdate(),'Alvin')</v>
      </c>
    </row>
    <row r="680" spans="2:13" ht="13.8">
      <c r="B680" s="15" t="s">
        <v>2069</v>
      </c>
      <c r="C680" s="15">
        <v>1</v>
      </c>
      <c r="D680" s="15" t="s">
        <v>2070</v>
      </c>
      <c r="E680" s="15" t="s">
        <v>758</v>
      </c>
      <c r="F680" s="15" t="s">
        <v>758</v>
      </c>
      <c r="G680" s="15" t="s">
        <v>758</v>
      </c>
      <c r="H680" s="15" t="s">
        <v>758</v>
      </c>
      <c r="I680" s="15" t="s">
        <v>2895</v>
      </c>
      <c r="J680" s="15" t="s">
        <v>755</v>
      </c>
      <c r="K680" s="15" t="s">
        <v>2895</v>
      </c>
      <c r="L680" s="15" t="s">
        <v>755</v>
      </c>
      <c r="M680" s="15" t="str">
        <f t="shared" si="10"/>
        <v>insert into dbo.LifeInsJobCode (JobCode,JobGrade,JobDescription,JobGroupCode1,JobGroupName1,JobGroupCode2,JobGroupName2,CreateTime,Creator,ModifyTime,Modifier) VALUES ('11060030','1','售票員、售貨員','','','','',getdate(),'Alvin',getdate(),'Alvin')</v>
      </c>
    </row>
    <row r="681" spans="2:13" ht="13.8">
      <c r="B681" s="15" t="s">
        <v>2071</v>
      </c>
      <c r="C681" s="15">
        <v>5</v>
      </c>
      <c r="D681" s="15" t="s">
        <v>2064</v>
      </c>
      <c r="E681" s="15" t="s">
        <v>758</v>
      </c>
      <c r="F681" s="15" t="s">
        <v>758</v>
      </c>
      <c r="G681" s="15" t="s">
        <v>758</v>
      </c>
      <c r="H681" s="15" t="s">
        <v>758</v>
      </c>
      <c r="I681" s="15" t="s">
        <v>2895</v>
      </c>
      <c r="J681" s="15" t="s">
        <v>755</v>
      </c>
      <c r="K681" s="15" t="s">
        <v>2895</v>
      </c>
      <c r="L681" s="15" t="s">
        <v>755</v>
      </c>
      <c r="M681" s="15" t="str">
        <f t="shared" si="10"/>
        <v>insert into dbo.LifeInsJobCode (JobCode,JobGrade,JobDescription,JobGroupCode1,JobGroupName1,JobGroupCode2,JobGroupName2,CreateTime,Creator,ModifyTime,Modifier) VALUES ('11060040','5','救生員','','','','',getdate(),'Alvin',getdate(),'Alvin')</v>
      </c>
    </row>
    <row r="682" spans="2:13" ht="13.8">
      <c r="B682" s="15" t="s">
        <v>2072</v>
      </c>
      <c r="C682" s="15">
        <v>1</v>
      </c>
      <c r="D682" s="15" t="s">
        <v>1267</v>
      </c>
      <c r="E682" s="15" t="s">
        <v>758</v>
      </c>
      <c r="F682" s="15" t="s">
        <v>758</v>
      </c>
      <c r="G682" s="15" t="s">
        <v>2073</v>
      </c>
      <c r="H682" s="15" t="s">
        <v>2074</v>
      </c>
      <c r="I682" s="15" t="s">
        <v>2895</v>
      </c>
      <c r="J682" s="15" t="s">
        <v>755</v>
      </c>
      <c r="K682" s="15" t="s">
        <v>2895</v>
      </c>
      <c r="L682" s="15" t="s">
        <v>755</v>
      </c>
      <c r="M682" s="15" t="str">
        <f t="shared" si="10"/>
        <v>insert into dbo.LifeInsJobCode (JobCode,JobGrade,JobDescription,JobGroupCode1,JobGroupName1,JobGroupCode2,JobGroupName2,CreateTime,Creator,ModifyTime,Modifier) VALUES ('11070010','1','負責人','','','1107','其他遊樂園(包括動物園)',getdate(),'Alvin',getdate(),'Alvin')</v>
      </c>
    </row>
    <row r="683" spans="2:13" ht="13.8">
      <c r="B683" s="15" t="s">
        <v>2075</v>
      </c>
      <c r="C683" s="15">
        <v>1</v>
      </c>
      <c r="D683" s="15" t="s">
        <v>2070</v>
      </c>
      <c r="E683" s="15" t="s">
        <v>758</v>
      </c>
      <c r="F683" s="15" t="s">
        <v>758</v>
      </c>
      <c r="G683" s="15" t="s">
        <v>758</v>
      </c>
      <c r="H683" s="15" t="s">
        <v>758</v>
      </c>
      <c r="I683" s="15" t="s">
        <v>2895</v>
      </c>
      <c r="J683" s="15" t="s">
        <v>755</v>
      </c>
      <c r="K683" s="15" t="s">
        <v>2895</v>
      </c>
      <c r="L683" s="15" t="s">
        <v>755</v>
      </c>
      <c r="M683" s="15" t="str">
        <f t="shared" si="10"/>
        <v>insert into dbo.LifeInsJobCode (JobCode,JobGrade,JobDescription,JobGroupCode1,JobGroupName1,JobGroupCode2,JobGroupName2,CreateTime,Creator,ModifyTime,Modifier) VALUES ('11070020','1','售票員、售貨員','','','','',getdate(),'Alvin',getdate(),'Alvin')</v>
      </c>
    </row>
    <row r="684" spans="2:13" ht="13.8">
      <c r="B684" s="15" t="s">
        <v>2076</v>
      </c>
      <c r="C684" s="15">
        <v>2</v>
      </c>
      <c r="D684" s="15" t="s">
        <v>2077</v>
      </c>
      <c r="E684" s="15" t="s">
        <v>758</v>
      </c>
      <c r="F684" s="15" t="s">
        <v>758</v>
      </c>
      <c r="G684" s="15" t="s">
        <v>758</v>
      </c>
      <c r="H684" s="15" t="s">
        <v>758</v>
      </c>
      <c r="I684" s="15" t="s">
        <v>2895</v>
      </c>
      <c r="J684" s="15" t="s">
        <v>755</v>
      </c>
      <c r="K684" s="15" t="s">
        <v>2895</v>
      </c>
      <c r="L684" s="15" t="s">
        <v>755</v>
      </c>
      <c r="M684" s="15" t="str">
        <f t="shared" si="10"/>
        <v>insert into dbo.LifeInsJobCode (JobCode,JobGrade,JobDescription,JobGroupCode1,JobGroupName1,JobGroupCode2,JobGroupName2,CreateTime,Creator,ModifyTime,Modifier) VALUES ('11070030','2','電動玩具操作員','','','','',getdate(),'Alvin',getdate(),'Alvin')</v>
      </c>
    </row>
    <row r="685" spans="2:13" ht="13.8">
      <c r="B685" s="15" t="s">
        <v>2078</v>
      </c>
      <c r="C685" s="15">
        <v>2</v>
      </c>
      <c r="D685" s="15" t="s">
        <v>2079</v>
      </c>
      <c r="E685" s="15" t="s">
        <v>758</v>
      </c>
      <c r="F685" s="15" t="s">
        <v>758</v>
      </c>
      <c r="G685" s="15" t="s">
        <v>758</v>
      </c>
      <c r="H685" s="15" t="s">
        <v>758</v>
      </c>
      <c r="I685" s="15" t="s">
        <v>2895</v>
      </c>
      <c r="J685" s="15" t="s">
        <v>755</v>
      </c>
      <c r="K685" s="15" t="s">
        <v>2895</v>
      </c>
      <c r="L685" s="15" t="s">
        <v>755</v>
      </c>
      <c r="M685" s="15" t="str">
        <f t="shared" si="10"/>
        <v>insert into dbo.LifeInsJobCode (JobCode,JobGrade,JobDescription,JobGroupCode1,JobGroupName1,JobGroupCode2,JobGroupName2,CreateTime,Creator,ModifyTime,Modifier) VALUES ('11070040','2','一般清潔工','','','','',getdate(),'Alvin',getdate(),'Alvin')</v>
      </c>
    </row>
    <row r="686" spans="2:13" ht="13.8">
      <c r="B686" s="15" t="s">
        <v>2080</v>
      </c>
      <c r="C686" s="15">
        <v>4</v>
      </c>
      <c r="D686" s="15" t="s">
        <v>2081</v>
      </c>
      <c r="E686" s="15" t="s">
        <v>758</v>
      </c>
      <c r="F686" s="15" t="s">
        <v>758</v>
      </c>
      <c r="G686" s="15" t="s">
        <v>758</v>
      </c>
      <c r="H686" s="15" t="s">
        <v>758</v>
      </c>
      <c r="I686" s="15" t="s">
        <v>2895</v>
      </c>
      <c r="J686" s="15" t="s">
        <v>755</v>
      </c>
      <c r="K686" s="15" t="s">
        <v>2895</v>
      </c>
      <c r="L686" s="15" t="s">
        <v>755</v>
      </c>
      <c r="M686" s="15" t="str">
        <f t="shared" si="10"/>
        <v>insert into dbo.LifeInsJobCode (JobCode,JobGrade,JobDescription,JobGroupCode1,JobGroupName1,JobGroupCode2,JobGroupName2,CreateTime,Creator,ModifyTime,Modifier) VALUES ('11070050','4','獸欄清潔工','','','','',getdate(),'Alvin',getdate(),'Alvin')</v>
      </c>
    </row>
    <row r="687" spans="2:13" ht="13.8">
      <c r="B687" s="15" t="s">
        <v>2082</v>
      </c>
      <c r="C687" s="15">
        <v>4</v>
      </c>
      <c r="D687" s="15" t="s">
        <v>2083</v>
      </c>
      <c r="E687" s="15" t="s">
        <v>758</v>
      </c>
      <c r="F687" s="15" t="s">
        <v>758</v>
      </c>
      <c r="G687" s="15" t="s">
        <v>758</v>
      </c>
      <c r="H687" s="15" t="s">
        <v>758</v>
      </c>
      <c r="I687" s="15" t="s">
        <v>2895</v>
      </c>
      <c r="J687" s="15" t="s">
        <v>755</v>
      </c>
      <c r="K687" s="15" t="s">
        <v>2895</v>
      </c>
      <c r="L687" s="15" t="s">
        <v>755</v>
      </c>
      <c r="M687" s="15" t="str">
        <f t="shared" si="10"/>
        <v>insert into dbo.LifeInsJobCode (JobCode,JobGrade,JobDescription,JobGroupCode1,JobGroupName1,JobGroupCode2,JobGroupName2,CreateTime,Creator,ModifyTime,Modifier) VALUES ('11070060','4','水電機械工','','','','',getdate(),'Alvin',getdate(),'Alvin')</v>
      </c>
    </row>
    <row r="688" spans="2:13" ht="13.8">
      <c r="B688" s="15" t="s">
        <v>2084</v>
      </c>
      <c r="C688" s="15">
        <v>7</v>
      </c>
      <c r="D688" s="15" t="s">
        <v>2085</v>
      </c>
      <c r="E688" s="15" t="s">
        <v>758</v>
      </c>
      <c r="F688" s="15" t="s">
        <v>758</v>
      </c>
      <c r="G688" s="15" t="s">
        <v>758</v>
      </c>
      <c r="H688" s="15" t="s">
        <v>758</v>
      </c>
      <c r="I688" s="15" t="s">
        <v>2895</v>
      </c>
      <c r="J688" s="15" t="s">
        <v>755</v>
      </c>
      <c r="K688" s="15" t="s">
        <v>2895</v>
      </c>
      <c r="L688" s="15" t="s">
        <v>755</v>
      </c>
      <c r="M688" s="15" t="str">
        <f t="shared" si="10"/>
        <v>insert into dbo.LifeInsJobCode (JobCode,JobGrade,JobDescription,JobGroupCode1,JobGroupName1,JobGroupCode2,JobGroupName2,CreateTime,Creator,ModifyTime,Modifier) VALUES ('11070070','7','動物園、馬戲團馴獸師','','','','',getdate(),'Alvin',getdate(),'Alvin')</v>
      </c>
    </row>
    <row r="689" spans="2:13" ht="13.8">
      <c r="B689" s="15" t="s">
        <v>2086</v>
      </c>
      <c r="C689" s="15">
        <v>4</v>
      </c>
      <c r="D689" s="15" t="s">
        <v>2087</v>
      </c>
      <c r="E689" s="15" t="s">
        <v>758</v>
      </c>
      <c r="F689" s="15" t="s">
        <v>758</v>
      </c>
      <c r="G689" s="15" t="s">
        <v>758</v>
      </c>
      <c r="H689" s="15" t="s">
        <v>758</v>
      </c>
      <c r="I689" s="15" t="s">
        <v>2895</v>
      </c>
      <c r="J689" s="15" t="s">
        <v>755</v>
      </c>
      <c r="K689" s="15" t="s">
        <v>2895</v>
      </c>
      <c r="L689" s="15" t="s">
        <v>755</v>
      </c>
      <c r="M689" s="15" t="str">
        <f t="shared" si="10"/>
        <v>insert into dbo.LifeInsJobCode (JobCode,JobGrade,JobDescription,JobGroupCode1,JobGroupName1,JobGroupCode2,JobGroupName2,CreateTime,Creator,ModifyTime,Modifier) VALUES ('11070080','4','飼養人員','','','','',getdate(),'Alvin',getdate(),'Alvin')</v>
      </c>
    </row>
    <row r="690" spans="2:13" ht="13.8">
      <c r="B690" s="15" t="s">
        <v>2088</v>
      </c>
      <c r="C690" s="15">
        <v>3</v>
      </c>
      <c r="D690" s="15" t="s">
        <v>3308</v>
      </c>
      <c r="E690" s="15" t="s">
        <v>758</v>
      </c>
      <c r="F690" s="15" t="s">
        <v>758</v>
      </c>
      <c r="G690" s="15" t="s">
        <v>758</v>
      </c>
      <c r="H690" s="15" t="s">
        <v>758</v>
      </c>
      <c r="I690" s="15" t="s">
        <v>2895</v>
      </c>
      <c r="J690" s="15" t="s">
        <v>755</v>
      </c>
      <c r="K690" s="15" t="s">
        <v>2895</v>
      </c>
      <c r="L690" s="15" t="s">
        <v>755</v>
      </c>
      <c r="M690" s="15" t="str">
        <f t="shared" si="10"/>
        <v>insert into dbo.LifeInsJobCode (JobCode,JobGrade,JobDescription,JobGroupCode1,JobGroupName1,JobGroupCode2,JobGroupName2,CreateTime,Creator,ModifyTime,Modifier) VALUES ('11070090','3','獸醫(動物園)','','','','',getdate(),'Alvin',getdate(),'Alvin')</v>
      </c>
    </row>
    <row r="691" spans="2:13" ht="13.8">
      <c r="B691" s="15" t="s">
        <v>2089</v>
      </c>
      <c r="C691" s="15">
        <v>3</v>
      </c>
      <c r="D691" s="15" t="s">
        <v>2090</v>
      </c>
      <c r="E691" s="15" t="s">
        <v>758</v>
      </c>
      <c r="F691" s="15" t="s">
        <v>758</v>
      </c>
      <c r="G691" s="15" t="s">
        <v>758</v>
      </c>
      <c r="H691" s="15" t="s">
        <v>758</v>
      </c>
      <c r="I691" s="15" t="s">
        <v>2895</v>
      </c>
      <c r="J691" s="15" t="s">
        <v>755</v>
      </c>
      <c r="K691" s="15" t="s">
        <v>2895</v>
      </c>
      <c r="L691" s="15" t="s">
        <v>755</v>
      </c>
      <c r="M691" s="15" t="str">
        <f t="shared" si="10"/>
        <v>insert into dbo.LifeInsJobCode (JobCode,JobGrade,JobDescription,JobGroupCode1,JobGroupName1,JobGroupCode2,JobGroupName2,CreateTime,Creator,ModifyTime,Modifier) VALUES ('11070100','3','動物訓練員(非馴獸師)','','','','',getdate(),'Alvin',getdate(),'Alvin')</v>
      </c>
    </row>
    <row r="692" spans="2:13" ht="13.8">
      <c r="B692" s="15" t="s">
        <v>2091</v>
      </c>
      <c r="C692" s="15">
        <v>2</v>
      </c>
      <c r="D692" s="15" t="s">
        <v>2092</v>
      </c>
      <c r="E692" s="15" t="s">
        <v>758</v>
      </c>
      <c r="F692" s="15" t="s">
        <v>758</v>
      </c>
      <c r="G692" s="15" t="s">
        <v>758</v>
      </c>
      <c r="H692" s="15" t="s">
        <v>758</v>
      </c>
      <c r="I692" s="15" t="s">
        <v>2895</v>
      </c>
      <c r="J692" s="15" t="s">
        <v>755</v>
      </c>
      <c r="K692" s="15" t="s">
        <v>2895</v>
      </c>
      <c r="L692" s="15" t="s">
        <v>755</v>
      </c>
      <c r="M692" s="15" t="str">
        <f t="shared" si="10"/>
        <v>insert into dbo.LifeInsJobCode (JobCode,JobGrade,JobDescription,JobGroupCode1,JobGroupName1,JobGroupCode2,JobGroupName2,CreateTime,Creator,ModifyTime,Modifier) VALUES ('11070110','2','娛樂場所工作人員及負責人','','','','',getdate(),'Alvin',getdate(),'Alvin')</v>
      </c>
    </row>
    <row r="693" spans="2:13" ht="13.8">
      <c r="B693" s="15" t="s">
        <v>2093</v>
      </c>
      <c r="C693" s="15">
        <v>2</v>
      </c>
      <c r="D693" s="15" t="s">
        <v>3395</v>
      </c>
      <c r="E693" s="15" t="s">
        <v>758</v>
      </c>
      <c r="F693" s="15" t="s">
        <v>758</v>
      </c>
      <c r="G693" s="15" t="s">
        <v>758</v>
      </c>
      <c r="H693" s="15" t="s">
        <v>758</v>
      </c>
      <c r="I693" s="15" t="s">
        <v>2895</v>
      </c>
      <c r="J693" s="15" t="s">
        <v>755</v>
      </c>
      <c r="K693" s="15" t="s">
        <v>2895</v>
      </c>
      <c r="L693" s="15" t="s">
        <v>755</v>
      </c>
      <c r="M693" s="15" t="str">
        <f t="shared" si="10"/>
        <v>insert into dbo.LifeInsJobCode (JobCode,JobGrade,JobDescription,JobGroupCode1,JobGroupName1,JobGroupCode2,JobGroupName2,CreateTime,Creator,ModifyTime,Modifier) VALUES ('11070120','2','電動玩具店器具維修工人','','','','',getdate(),'Alvin',getdate(),'Alvin')</v>
      </c>
    </row>
    <row r="694" spans="2:13" ht="13.8">
      <c r="B694" s="15" t="s">
        <v>2094</v>
      </c>
      <c r="C694" s="15">
        <v>5</v>
      </c>
      <c r="D694" s="15" t="s">
        <v>3396</v>
      </c>
      <c r="E694" s="15" t="s">
        <v>758</v>
      </c>
      <c r="F694" s="15" t="s">
        <v>758</v>
      </c>
      <c r="G694" s="15" t="s">
        <v>758</v>
      </c>
      <c r="H694" s="15" t="s">
        <v>758</v>
      </c>
      <c r="I694" s="15" t="s">
        <v>2895</v>
      </c>
      <c r="J694" s="15" t="s">
        <v>755</v>
      </c>
      <c r="K694" s="15" t="s">
        <v>2895</v>
      </c>
      <c r="L694" s="15" t="s">
        <v>755</v>
      </c>
      <c r="M694" s="15" t="str">
        <f t="shared" si="10"/>
        <v>insert into dbo.LifeInsJobCode (JobCode,JobGrade,JobDescription,JobGroupCode1,JobGroupName1,JobGroupCode2,JobGroupName2,CreateTime,Creator,ModifyTime,Modifier) VALUES ('11070130','5','大型遊樂場器具維修工人','','','','',getdate(),'Alvin',getdate(),'Alvin')</v>
      </c>
    </row>
    <row r="695" spans="2:13" ht="13.8">
      <c r="B695" s="15" t="s">
        <v>2095</v>
      </c>
      <c r="C695" s="15">
        <v>1</v>
      </c>
      <c r="D695" s="15" t="s">
        <v>2096</v>
      </c>
      <c r="E695" s="15" t="s">
        <v>758</v>
      </c>
      <c r="F695" s="15" t="s">
        <v>758</v>
      </c>
      <c r="G695" s="15" t="s">
        <v>2097</v>
      </c>
      <c r="H695" s="15" t="s">
        <v>2098</v>
      </c>
      <c r="I695" s="15" t="s">
        <v>2895</v>
      </c>
      <c r="J695" s="15" t="s">
        <v>755</v>
      </c>
      <c r="K695" s="15" t="s">
        <v>2895</v>
      </c>
      <c r="L695" s="15" t="s">
        <v>755</v>
      </c>
      <c r="M695" s="15" t="str">
        <f t="shared" si="10"/>
        <v>insert into dbo.LifeInsJobCode (JobCode,JobGrade,JobDescription,JobGroupCode1,JobGroupName1,JobGroupCode2,JobGroupName2,CreateTime,Creator,ModifyTime,Modifier) VALUES ('11080010','1','作曲人員','','','1108','藝術及演藝人員',getdate(),'Alvin',getdate(),'Alvin')</v>
      </c>
    </row>
    <row r="696" spans="2:13" ht="13.8">
      <c r="B696" s="15" t="s">
        <v>2099</v>
      </c>
      <c r="C696" s="15">
        <v>1</v>
      </c>
      <c r="D696" s="15" t="s">
        <v>2100</v>
      </c>
      <c r="E696" s="15" t="s">
        <v>758</v>
      </c>
      <c r="F696" s="15" t="s">
        <v>758</v>
      </c>
      <c r="G696" s="15" t="s">
        <v>758</v>
      </c>
      <c r="H696" s="15" t="s">
        <v>758</v>
      </c>
      <c r="I696" s="15" t="s">
        <v>2895</v>
      </c>
      <c r="J696" s="15" t="s">
        <v>755</v>
      </c>
      <c r="K696" s="15" t="s">
        <v>2895</v>
      </c>
      <c r="L696" s="15" t="s">
        <v>755</v>
      </c>
      <c r="M696" s="15" t="str">
        <f t="shared" si="10"/>
        <v>insert into dbo.LifeInsJobCode (JobCode,JobGrade,JobDescription,JobGroupCode1,JobGroupName1,JobGroupCode2,JobGroupName2,CreateTime,Creator,ModifyTime,Modifier) VALUES ('11080020','1','編曲人員','','','','',getdate(),'Alvin',getdate(),'Alvin')</v>
      </c>
    </row>
    <row r="697" spans="2:13" ht="13.8">
      <c r="B697" s="15" t="s">
        <v>2101</v>
      </c>
      <c r="C697" s="15">
        <v>1</v>
      </c>
      <c r="D697" s="15" t="s">
        <v>2102</v>
      </c>
      <c r="E697" s="15" t="s">
        <v>758</v>
      </c>
      <c r="F697" s="15" t="s">
        <v>758</v>
      </c>
      <c r="G697" s="15" t="s">
        <v>758</v>
      </c>
      <c r="H697" s="15" t="s">
        <v>758</v>
      </c>
      <c r="I697" s="15" t="s">
        <v>2895</v>
      </c>
      <c r="J697" s="15" t="s">
        <v>755</v>
      </c>
      <c r="K697" s="15" t="s">
        <v>2895</v>
      </c>
      <c r="L697" s="15" t="s">
        <v>755</v>
      </c>
      <c r="M697" s="15" t="str">
        <f t="shared" si="10"/>
        <v>insert into dbo.LifeInsJobCode (JobCode,JobGrade,JobDescription,JobGroupCode1,JobGroupName1,JobGroupCode2,JobGroupName2,CreateTime,Creator,ModifyTime,Modifier) VALUES ('11080030','1','演奏人員','','','','',getdate(),'Alvin',getdate(),'Alvin')</v>
      </c>
    </row>
    <row r="698" spans="2:13" ht="13.8">
      <c r="B698" s="15" t="s">
        <v>2103</v>
      </c>
      <c r="C698" s="15">
        <v>1</v>
      </c>
      <c r="D698" s="15" t="s">
        <v>2104</v>
      </c>
      <c r="E698" s="15" t="s">
        <v>758</v>
      </c>
      <c r="F698" s="15" t="s">
        <v>758</v>
      </c>
      <c r="G698" s="15" t="s">
        <v>758</v>
      </c>
      <c r="H698" s="15" t="s">
        <v>758</v>
      </c>
      <c r="I698" s="15" t="s">
        <v>2895</v>
      </c>
      <c r="J698" s="15" t="s">
        <v>755</v>
      </c>
      <c r="K698" s="15" t="s">
        <v>2895</v>
      </c>
      <c r="L698" s="15" t="s">
        <v>755</v>
      </c>
      <c r="M698" s="15" t="str">
        <f t="shared" si="10"/>
        <v>insert into dbo.LifeInsJobCode (JobCode,JobGrade,JobDescription,JobGroupCode1,JobGroupName1,JobGroupCode2,JobGroupName2,CreateTime,Creator,ModifyTime,Modifier) VALUES ('11080040','1','繪畫人員','','','','',getdate(),'Alvin',getdate(),'Alvin')</v>
      </c>
    </row>
    <row r="699" spans="2:13" ht="13.8">
      <c r="B699" s="15" t="s">
        <v>2105</v>
      </c>
      <c r="C699" s="15">
        <v>2</v>
      </c>
      <c r="D699" s="15" t="s">
        <v>2106</v>
      </c>
      <c r="E699" s="15" t="s">
        <v>758</v>
      </c>
      <c r="F699" s="15" t="s">
        <v>758</v>
      </c>
      <c r="G699" s="15" t="s">
        <v>758</v>
      </c>
      <c r="H699" s="15" t="s">
        <v>758</v>
      </c>
      <c r="I699" s="15" t="s">
        <v>2895</v>
      </c>
      <c r="J699" s="15" t="s">
        <v>755</v>
      </c>
      <c r="K699" s="15" t="s">
        <v>2895</v>
      </c>
      <c r="L699" s="15" t="s">
        <v>755</v>
      </c>
      <c r="M699" s="15" t="str">
        <f t="shared" si="10"/>
        <v>insert into dbo.LifeInsJobCode (JobCode,JobGrade,JobDescription,JobGroupCode1,JobGroupName1,JobGroupCode2,JobGroupName2,CreateTime,Creator,ModifyTime,Modifier) VALUES ('11080050','2','歌唱、舞蹈演藝人員','','','','',getdate(),'Alvin',getdate(),'Alvin')</v>
      </c>
    </row>
    <row r="700" spans="2:13" ht="13.8">
      <c r="B700" s="15" t="s">
        <v>2107</v>
      </c>
      <c r="C700" s="15">
        <v>2</v>
      </c>
      <c r="D700" s="15" t="s">
        <v>2108</v>
      </c>
      <c r="E700" s="15" t="s">
        <v>758</v>
      </c>
      <c r="F700" s="15" t="s">
        <v>758</v>
      </c>
      <c r="G700" s="15" t="s">
        <v>758</v>
      </c>
      <c r="H700" s="15" t="s">
        <v>758</v>
      </c>
      <c r="I700" s="15" t="s">
        <v>2895</v>
      </c>
      <c r="J700" s="15" t="s">
        <v>755</v>
      </c>
      <c r="K700" s="15" t="s">
        <v>2895</v>
      </c>
      <c r="L700" s="15" t="s">
        <v>755</v>
      </c>
      <c r="M700" s="15" t="str">
        <f t="shared" si="10"/>
        <v>insert into dbo.LifeInsJobCode (JobCode,JobGrade,JobDescription,JobGroupCode1,JobGroupName1,JobGroupCode2,JobGroupName2,CreateTime,Creator,ModifyTime,Modifier) VALUES ('11080060','2','雕塑人員','','','','',getdate(),'Alvin',getdate(),'Alvin')</v>
      </c>
    </row>
    <row r="701" spans="2:13" ht="13.8">
      <c r="B701" s="15" t="s">
        <v>2109</v>
      </c>
      <c r="C701" s="15">
        <v>2</v>
      </c>
      <c r="D701" s="15" t="s">
        <v>2110</v>
      </c>
      <c r="E701" s="15" t="s">
        <v>758</v>
      </c>
      <c r="F701" s="15" t="s">
        <v>758</v>
      </c>
      <c r="G701" s="15" t="s">
        <v>758</v>
      </c>
      <c r="H701" s="15" t="s">
        <v>758</v>
      </c>
      <c r="I701" s="15" t="s">
        <v>2895</v>
      </c>
      <c r="J701" s="15" t="s">
        <v>755</v>
      </c>
      <c r="K701" s="15" t="s">
        <v>2895</v>
      </c>
      <c r="L701" s="15" t="s">
        <v>755</v>
      </c>
      <c r="M701" s="15" t="str">
        <f t="shared" si="10"/>
        <v>insert into dbo.LifeInsJobCode (JobCode,JobGrade,JobDescription,JobGroupCode1,JobGroupName1,JobGroupCode2,JobGroupName2,CreateTime,Creator,ModifyTime,Modifier) VALUES ('11080070','2','戲劇演員','','','','',getdate(),'Alvin',getdate(),'Alvin')</v>
      </c>
    </row>
    <row r="702" spans="2:13" ht="13.8">
      <c r="B702" s="15" t="s">
        <v>2111</v>
      </c>
      <c r="C702" s="15">
        <v>3</v>
      </c>
      <c r="D702" s="15" t="s">
        <v>2112</v>
      </c>
      <c r="E702" s="15" t="s">
        <v>758</v>
      </c>
      <c r="F702" s="15" t="s">
        <v>758</v>
      </c>
      <c r="G702" s="15" t="s">
        <v>758</v>
      </c>
      <c r="H702" s="15" t="s">
        <v>758</v>
      </c>
      <c r="I702" s="15" t="s">
        <v>2895</v>
      </c>
      <c r="J702" s="15" t="s">
        <v>755</v>
      </c>
      <c r="K702" s="15" t="s">
        <v>2895</v>
      </c>
      <c r="L702" s="15" t="s">
        <v>755</v>
      </c>
      <c r="M702" s="15" t="str">
        <f t="shared" si="10"/>
        <v>insert into dbo.LifeInsJobCode (JobCode,JobGrade,JobDescription,JobGroupCode1,JobGroupName1,JobGroupCode2,JobGroupName2,CreateTime,Creator,ModifyTime,Modifier) VALUES ('11080080','3','巡迴演出戲劇團體人員','','','','',getdate(),'Alvin',getdate(),'Alvin')</v>
      </c>
    </row>
    <row r="703" spans="2:13" ht="13.8">
      <c r="B703" s="15" t="s">
        <v>2113</v>
      </c>
      <c r="C703" s="15">
        <v>1</v>
      </c>
      <c r="D703" s="15" t="s">
        <v>2114</v>
      </c>
      <c r="E703" s="15" t="s">
        <v>758</v>
      </c>
      <c r="F703" s="15" t="s">
        <v>758</v>
      </c>
      <c r="G703" s="15" t="s">
        <v>758</v>
      </c>
      <c r="H703" s="15" t="s">
        <v>758</v>
      </c>
      <c r="I703" s="15" t="s">
        <v>2895</v>
      </c>
      <c r="J703" s="15" t="s">
        <v>755</v>
      </c>
      <c r="K703" s="15" t="s">
        <v>2895</v>
      </c>
      <c r="L703" s="15" t="s">
        <v>755</v>
      </c>
      <c r="M703" s="15" t="str">
        <f t="shared" si="10"/>
        <v>insert into dbo.LifeInsJobCode (JobCode,JobGrade,JobDescription,JobGroupCode1,JobGroupName1,JobGroupCode2,JobGroupName2,CreateTime,Creator,ModifyTime,Modifier) VALUES ('11080090','1','作家','','','','',getdate(),'Alvin',getdate(),'Alvin')</v>
      </c>
    </row>
    <row r="704" spans="2:13" ht="13.8">
      <c r="B704" s="15" t="s">
        <v>2115</v>
      </c>
      <c r="C704" s="15">
        <v>2</v>
      </c>
      <c r="D704" s="15" t="s">
        <v>2116</v>
      </c>
      <c r="E704" s="15" t="s">
        <v>758</v>
      </c>
      <c r="F704" s="15" t="s">
        <v>758</v>
      </c>
      <c r="G704" s="15" t="s">
        <v>758</v>
      </c>
      <c r="H704" s="15" t="s">
        <v>758</v>
      </c>
      <c r="I704" s="15" t="s">
        <v>2895</v>
      </c>
      <c r="J704" s="15" t="s">
        <v>755</v>
      </c>
      <c r="K704" s="15" t="s">
        <v>2895</v>
      </c>
      <c r="L704" s="15" t="s">
        <v>755</v>
      </c>
      <c r="M704" s="15" t="str">
        <f t="shared" si="10"/>
        <v>insert into dbo.LifeInsJobCode (JobCode,JobGrade,JobDescription,JobGroupCode1,JobGroupName1,JobGroupCode2,JobGroupName2,CreateTime,Creator,ModifyTime,Modifier) VALUES ('11080100','2','模特兒','','','','',getdate(),'Alvin',getdate(),'Alvin')</v>
      </c>
    </row>
    <row r="705" spans="2:13" ht="13.8">
      <c r="B705" s="15" t="s">
        <v>2117</v>
      </c>
      <c r="C705" s="15">
        <v>2</v>
      </c>
      <c r="D705" s="15" t="s">
        <v>2118</v>
      </c>
      <c r="E705" s="15" t="s">
        <v>758</v>
      </c>
      <c r="F705" s="15" t="s">
        <v>758</v>
      </c>
      <c r="G705" s="15" t="s">
        <v>758</v>
      </c>
      <c r="H705" s="15" t="s">
        <v>758</v>
      </c>
      <c r="I705" s="15" t="s">
        <v>2895</v>
      </c>
      <c r="J705" s="15" t="s">
        <v>755</v>
      </c>
      <c r="K705" s="15" t="s">
        <v>2895</v>
      </c>
      <c r="L705" s="15" t="s">
        <v>755</v>
      </c>
      <c r="M705" s="15" t="str">
        <f t="shared" si="10"/>
        <v>insert into dbo.LifeInsJobCode (JobCode,JobGrade,JobDescription,JobGroupCode1,JobGroupName1,JobGroupCode2,JobGroupName2,CreateTime,Creator,ModifyTime,Modifier) VALUES ('11080110','2','魔術師','','','','',getdate(),'Alvin',getdate(),'Alvin')</v>
      </c>
    </row>
    <row r="706" spans="2:13" ht="13.8">
      <c r="B706" s="15" t="s">
        <v>2119</v>
      </c>
      <c r="C706" s="15">
        <v>2</v>
      </c>
      <c r="D706" s="15" t="s">
        <v>2120</v>
      </c>
      <c r="E706" s="15" t="s">
        <v>758</v>
      </c>
      <c r="F706" s="15" t="s">
        <v>758</v>
      </c>
      <c r="G706" s="15" t="s">
        <v>758</v>
      </c>
      <c r="H706" s="15" t="s">
        <v>758</v>
      </c>
      <c r="I706" s="15" t="s">
        <v>2895</v>
      </c>
      <c r="J706" s="15" t="s">
        <v>755</v>
      </c>
      <c r="K706" s="15" t="s">
        <v>2895</v>
      </c>
      <c r="L706" s="15" t="s">
        <v>755</v>
      </c>
      <c r="M706" s="15" t="str">
        <f t="shared" ref="M706:M769" si="11">$M$1 &amp; " VALUES ('"&amp;B706&amp;"','"&amp;C706&amp;"','"&amp;D706&amp;"','"&amp;E706&amp;"','"&amp;F706&amp;"','"&amp;G706&amp;"','"&amp;H706&amp;"',"&amp;I706&amp;",'"&amp;J706&amp;"',"&amp;K706&amp;",'"&amp;L706&amp;"')"</f>
        <v>insert into dbo.LifeInsJobCode (JobCode,JobGrade,JobDescription,JobGroupCode1,JobGroupName1,JobGroupCode2,JobGroupName2,CreateTime,Creator,ModifyTime,Modifier) VALUES ('11080120','2','魔術助理人員','','','','',getdate(),'Alvin',getdate(),'Alvin')</v>
      </c>
    </row>
    <row r="707" spans="2:13" ht="13.8">
      <c r="B707" s="15" t="s">
        <v>2121</v>
      </c>
      <c r="C707" s="15">
        <v>2</v>
      </c>
      <c r="D707" s="15" t="s">
        <v>2122</v>
      </c>
      <c r="E707" s="15" t="s">
        <v>758</v>
      </c>
      <c r="F707" s="15" t="s">
        <v>758</v>
      </c>
      <c r="G707" s="15" t="s">
        <v>758</v>
      </c>
      <c r="H707" s="15" t="s">
        <v>758</v>
      </c>
      <c r="I707" s="15" t="s">
        <v>2895</v>
      </c>
      <c r="J707" s="15" t="s">
        <v>755</v>
      </c>
      <c r="K707" s="15" t="s">
        <v>2895</v>
      </c>
      <c r="L707" s="15" t="s">
        <v>755</v>
      </c>
      <c r="M707" s="15" t="str">
        <f t="shared" si="11"/>
        <v>insert into dbo.LifeInsJobCode (JobCode,JobGrade,JobDescription,JobGroupCode1,JobGroupName1,JobGroupCode2,JobGroupName2,CreateTime,Creator,ModifyTime,Modifier) VALUES ('11080130','2','演藝經紀人','','','','',getdate(),'Alvin',getdate(),'Alvin')</v>
      </c>
    </row>
    <row r="708" spans="2:13" ht="13.8">
      <c r="B708" s="15" t="s">
        <v>2123</v>
      </c>
      <c r="C708" s="15">
        <v>2</v>
      </c>
      <c r="D708" s="15" t="s">
        <v>2124</v>
      </c>
      <c r="E708" s="15" t="s">
        <v>758</v>
      </c>
      <c r="F708" s="15" t="s">
        <v>758</v>
      </c>
      <c r="G708" s="15" t="s">
        <v>758</v>
      </c>
      <c r="H708" s="15" t="s">
        <v>758</v>
      </c>
      <c r="I708" s="15" t="s">
        <v>2895</v>
      </c>
      <c r="J708" s="15" t="s">
        <v>755</v>
      </c>
      <c r="K708" s="15" t="s">
        <v>2895</v>
      </c>
      <c r="L708" s="15" t="s">
        <v>755</v>
      </c>
      <c r="M708" s="15" t="str">
        <f t="shared" si="11"/>
        <v>insert into dbo.LifeInsJobCode (JobCode,JobGrade,JobDescription,JobGroupCode1,JobGroupName1,JobGroupCode2,JobGroupName2,CreateTime,Creator,ModifyTime,Modifier) VALUES ('11080140','2','宣傳','','','','',getdate(),'Alvin',getdate(),'Alvin')</v>
      </c>
    </row>
    <row r="709" spans="2:13" ht="13.8">
      <c r="B709" s="15" t="s">
        <v>2125</v>
      </c>
      <c r="C709" s="15">
        <v>2</v>
      </c>
      <c r="D709" s="15" t="s">
        <v>2126</v>
      </c>
      <c r="E709" s="15" t="s">
        <v>758</v>
      </c>
      <c r="F709" s="15" t="s">
        <v>758</v>
      </c>
      <c r="G709" s="15" t="s">
        <v>758</v>
      </c>
      <c r="H709" s="15" t="s">
        <v>758</v>
      </c>
      <c r="I709" s="15" t="s">
        <v>2895</v>
      </c>
      <c r="J709" s="15" t="s">
        <v>755</v>
      </c>
      <c r="K709" s="15" t="s">
        <v>2895</v>
      </c>
      <c r="L709" s="15" t="s">
        <v>755</v>
      </c>
      <c r="M709" s="15" t="str">
        <f t="shared" si="11"/>
        <v>insert into dbo.LifeInsJobCode (JobCode,JobGrade,JobDescription,JobGroupCode1,JobGroupName1,JobGroupCode2,JobGroupName2,CreateTime,Creator,ModifyTime,Modifier) VALUES ('11080150','2','布袋戲偶操作人員','','','','',getdate(),'Alvin',getdate(),'Alvin')</v>
      </c>
    </row>
    <row r="710" spans="2:13" ht="13.8">
      <c r="B710" s="15" t="s">
        <v>2127</v>
      </c>
      <c r="C710" s="15">
        <v>1</v>
      </c>
      <c r="D710" s="15" t="s">
        <v>2128</v>
      </c>
      <c r="E710" s="15" t="s">
        <v>758</v>
      </c>
      <c r="F710" s="15" t="s">
        <v>758</v>
      </c>
      <c r="G710" s="15" t="s">
        <v>758</v>
      </c>
      <c r="H710" s="15" t="s">
        <v>758</v>
      </c>
      <c r="I710" s="15" t="s">
        <v>2895</v>
      </c>
      <c r="J710" s="15" t="s">
        <v>755</v>
      </c>
      <c r="K710" s="15" t="s">
        <v>2895</v>
      </c>
      <c r="L710" s="15" t="s">
        <v>755</v>
      </c>
      <c r="M710" s="15" t="str">
        <f t="shared" si="11"/>
        <v>insert into dbo.LifeInsJobCode (JobCode,JobGrade,JobDescription,JobGroupCode1,JobGroupName1,JobGroupCode2,JobGroupName2,CreateTime,Creator,ModifyTime,Modifier) VALUES ('11080160','1','人體彩繪師','','','','',getdate(),'Alvin',getdate(),'Alvin')</v>
      </c>
    </row>
    <row r="711" spans="2:13" ht="13.8">
      <c r="B711" s="15" t="s">
        <v>2129</v>
      </c>
      <c r="C711" s="15">
        <v>2</v>
      </c>
      <c r="D711" s="15" t="s">
        <v>2130</v>
      </c>
      <c r="E711" s="15" t="s">
        <v>758</v>
      </c>
      <c r="F711" s="15" t="s">
        <v>758</v>
      </c>
      <c r="G711" s="15" t="s">
        <v>758</v>
      </c>
      <c r="H711" s="15" t="s">
        <v>758</v>
      </c>
      <c r="I711" s="15" t="s">
        <v>2895</v>
      </c>
      <c r="J711" s="15" t="s">
        <v>755</v>
      </c>
      <c r="K711" s="15" t="s">
        <v>2895</v>
      </c>
      <c r="L711" s="15" t="s">
        <v>755</v>
      </c>
      <c r="M711" s="15" t="str">
        <f t="shared" si="11"/>
        <v>insert into dbo.LifeInsJobCode (JobCode,JobGrade,JobDescription,JobGroupCode1,JobGroupName1,JobGroupCode2,JobGroupName2,CreateTime,Creator,ModifyTime,Modifier) VALUES ('11080170','2','舞蹈教室老師','','','','',getdate(),'Alvin',getdate(),'Alvin')</v>
      </c>
    </row>
    <row r="712" spans="2:13" ht="13.8">
      <c r="B712" s="15" t="s">
        <v>2131</v>
      </c>
      <c r="C712" s="15">
        <v>4</v>
      </c>
      <c r="D712" s="15" t="s">
        <v>2132</v>
      </c>
      <c r="E712" s="15" t="s">
        <v>758</v>
      </c>
      <c r="F712" s="15" t="s">
        <v>758</v>
      </c>
      <c r="G712" s="15" t="s">
        <v>2133</v>
      </c>
      <c r="H712" s="15" t="s">
        <v>2134</v>
      </c>
      <c r="I712" s="15" t="s">
        <v>2895</v>
      </c>
      <c r="J712" s="15" t="s">
        <v>755</v>
      </c>
      <c r="K712" s="15" t="s">
        <v>2895</v>
      </c>
      <c r="L712" s="15" t="s">
        <v>755</v>
      </c>
      <c r="M712" s="15" t="str">
        <f t="shared" si="11"/>
        <v>insert into dbo.LifeInsJobCode (JobCode,JobGrade,JobDescription,JobGroupCode1,JobGroupName1,JobGroupCode2,JobGroupName2,CreateTime,Creator,ModifyTime,Modifier) VALUES ('11090010','4','咖啡廳工作人員','','','1109','特種營業',getdate(),'Alvin',getdate(),'Alvin')</v>
      </c>
    </row>
    <row r="713" spans="2:13" ht="13.8">
      <c r="B713" s="15" t="s">
        <v>2135</v>
      </c>
      <c r="C713" s="15">
        <v>4</v>
      </c>
      <c r="D713" s="15" t="s">
        <v>2136</v>
      </c>
      <c r="E713" s="15" t="s">
        <v>758</v>
      </c>
      <c r="F713" s="15" t="s">
        <v>758</v>
      </c>
      <c r="G713" s="15" t="s">
        <v>758</v>
      </c>
      <c r="H713" s="15" t="s">
        <v>758</v>
      </c>
      <c r="I713" s="15" t="s">
        <v>2895</v>
      </c>
      <c r="J713" s="15" t="s">
        <v>755</v>
      </c>
      <c r="K713" s="15" t="s">
        <v>2895</v>
      </c>
      <c r="L713" s="15" t="s">
        <v>755</v>
      </c>
      <c r="M713" s="15" t="str">
        <f t="shared" si="11"/>
        <v>insert into dbo.LifeInsJobCode (JobCode,JobGrade,JobDescription,JobGroupCode1,JobGroupName1,JobGroupCode2,JobGroupName2,CreateTime,Creator,ModifyTime,Modifier) VALUES ('11090020','4','茶室工作人員','','','','',getdate(),'Alvin',getdate(),'Alvin')</v>
      </c>
    </row>
    <row r="714" spans="2:13" ht="13.8">
      <c r="B714" s="15" t="s">
        <v>2137</v>
      </c>
      <c r="C714" s="15">
        <v>4</v>
      </c>
      <c r="D714" s="15" t="s">
        <v>2138</v>
      </c>
      <c r="E714" s="15" t="s">
        <v>758</v>
      </c>
      <c r="F714" s="15" t="s">
        <v>758</v>
      </c>
      <c r="G714" s="15" t="s">
        <v>758</v>
      </c>
      <c r="H714" s="15" t="s">
        <v>758</v>
      </c>
      <c r="I714" s="15" t="s">
        <v>2895</v>
      </c>
      <c r="J714" s="15" t="s">
        <v>755</v>
      </c>
      <c r="K714" s="15" t="s">
        <v>2895</v>
      </c>
      <c r="L714" s="15" t="s">
        <v>755</v>
      </c>
      <c r="M714" s="15" t="str">
        <f t="shared" si="11"/>
        <v>insert into dbo.LifeInsJobCode (JobCode,JobGrade,JobDescription,JobGroupCode1,JobGroupName1,JobGroupCode2,JobGroupName2,CreateTime,Creator,ModifyTime,Modifier) VALUES ('11090030','4','酒家工作人員','','','','',getdate(),'Alvin',getdate(),'Alvin')</v>
      </c>
    </row>
    <row r="715" spans="2:13" ht="13.8">
      <c r="B715" s="15" t="s">
        <v>2139</v>
      </c>
      <c r="C715" s="15">
        <v>4</v>
      </c>
      <c r="D715" s="15" t="s">
        <v>2140</v>
      </c>
      <c r="E715" s="15" t="s">
        <v>758</v>
      </c>
      <c r="F715" s="15" t="s">
        <v>758</v>
      </c>
      <c r="G715" s="15" t="s">
        <v>758</v>
      </c>
      <c r="H715" s="15" t="s">
        <v>758</v>
      </c>
      <c r="I715" s="15" t="s">
        <v>2895</v>
      </c>
      <c r="J715" s="15" t="s">
        <v>755</v>
      </c>
      <c r="K715" s="15" t="s">
        <v>2895</v>
      </c>
      <c r="L715" s="15" t="s">
        <v>755</v>
      </c>
      <c r="M715" s="15" t="str">
        <f t="shared" si="11"/>
        <v>insert into dbo.LifeInsJobCode (JobCode,JobGrade,JobDescription,JobGroupCode1,JobGroupName1,JobGroupCode2,JobGroupName2,CreateTime,Creator,ModifyTime,Modifier) VALUES ('11090040','4','樂戶工作人員','','','','',getdate(),'Alvin',getdate(),'Alvin')</v>
      </c>
    </row>
    <row r="716" spans="2:13" ht="13.8">
      <c r="B716" s="15" t="s">
        <v>2141</v>
      </c>
      <c r="C716" s="15">
        <v>4</v>
      </c>
      <c r="D716" s="15" t="s">
        <v>2142</v>
      </c>
      <c r="E716" s="15" t="s">
        <v>758</v>
      </c>
      <c r="F716" s="15" t="s">
        <v>758</v>
      </c>
      <c r="G716" s="15" t="s">
        <v>758</v>
      </c>
      <c r="H716" s="15" t="s">
        <v>758</v>
      </c>
      <c r="I716" s="15" t="s">
        <v>2895</v>
      </c>
      <c r="J716" s="15" t="s">
        <v>755</v>
      </c>
      <c r="K716" s="15" t="s">
        <v>2895</v>
      </c>
      <c r="L716" s="15" t="s">
        <v>755</v>
      </c>
      <c r="M716" s="15" t="str">
        <f t="shared" si="11"/>
        <v>insert into dbo.LifeInsJobCode (JobCode,JobGrade,JobDescription,JobGroupCode1,JobGroupName1,JobGroupCode2,JobGroupName2,CreateTime,Creator,ModifyTime,Modifier) VALUES ('11090050','4','舞廳工作人員','','','','',getdate(),'Alvin',getdate(),'Alvin')</v>
      </c>
    </row>
    <row r="717" spans="2:13" ht="13.8">
      <c r="B717" s="15" t="s">
        <v>2143</v>
      </c>
      <c r="C717" s="15" t="s">
        <v>946</v>
      </c>
      <c r="D717" s="15" t="s">
        <v>2144</v>
      </c>
      <c r="E717" s="15" t="s">
        <v>758</v>
      </c>
      <c r="F717" s="15" t="s">
        <v>758</v>
      </c>
      <c r="G717" s="15" t="s">
        <v>758</v>
      </c>
      <c r="H717" s="15" t="s">
        <v>758</v>
      </c>
      <c r="I717" s="15" t="s">
        <v>2895</v>
      </c>
      <c r="J717" s="15" t="s">
        <v>755</v>
      </c>
      <c r="K717" s="15" t="s">
        <v>2895</v>
      </c>
      <c r="L717" s="15" t="s">
        <v>755</v>
      </c>
      <c r="M717" s="15" t="str">
        <f t="shared" si="11"/>
        <v>insert into dbo.LifeInsJobCode (JobCode,JobGrade,JobDescription,JobGroupCode1,JobGroupName1,JobGroupCode2,JobGroupName2,CreateTime,Creator,ModifyTime,Modifier) VALUES ('11090060','3','歌廳工作人員','','','','',getdate(),'Alvin',getdate(),'Alvin')</v>
      </c>
    </row>
    <row r="718" spans="2:13" ht="13.8">
      <c r="B718" s="15" t="s">
        <v>2145</v>
      </c>
      <c r="C718" s="15" t="s">
        <v>946</v>
      </c>
      <c r="D718" s="15" t="s">
        <v>2146</v>
      </c>
      <c r="E718" s="15" t="s">
        <v>758</v>
      </c>
      <c r="F718" s="15" t="s">
        <v>758</v>
      </c>
      <c r="G718" s="15" t="s">
        <v>758</v>
      </c>
      <c r="H718" s="15" t="s">
        <v>758</v>
      </c>
      <c r="I718" s="15" t="s">
        <v>2895</v>
      </c>
      <c r="J718" s="15" t="s">
        <v>755</v>
      </c>
      <c r="K718" s="15" t="s">
        <v>2895</v>
      </c>
      <c r="L718" s="15" t="s">
        <v>755</v>
      </c>
      <c r="M718" s="15" t="str">
        <f t="shared" si="11"/>
        <v>insert into dbo.LifeInsJobCode (JobCode,JobGrade,JobDescription,JobGroupCode1,JobGroupName1,JobGroupCode2,JobGroupName2,CreateTime,Creator,ModifyTime,Modifier) VALUES ('11090070','3','酒吧工作人員','','','','',getdate(),'Alvin',getdate(),'Alvin')</v>
      </c>
    </row>
    <row r="719" spans="2:13" ht="13.8">
      <c r="B719" s="15" t="s">
        <v>2147</v>
      </c>
      <c r="C719" s="15" t="s">
        <v>946</v>
      </c>
      <c r="D719" s="15" t="s">
        <v>1267</v>
      </c>
      <c r="E719" s="15" t="s">
        <v>758</v>
      </c>
      <c r="F719" s="15" t="s">
        <v>758</v>
      </c>
      <c r="G719" s="15" t="s">
        <v>758</v>
      </c>
      <c r="H719" s="15" t="s">
        <v>758</v>
      </c>
      <c r="I719" s="15" t="s">
        <v>2895</v>
      </c>
      <c r="J719" s="15" t="s">
        <v>755</v>
      </c>
      <c r="K719" s="15" t="s">
        <v>2895</v>
      </c>
      <c r="L719" s="15" t="s">
        <v>755</v>
      </c>
      <c r="M719" s="15" t="str">
        <f t="shared" si="11"/>
        <v>insert into dbo.LifeInsJobCode (JobCode,JobGrade,JobDescription,JobGroupCode1,JobGroupName1,JobGroupCode2,JobGroupName2,CreateTime,Creator,ModifyTime,Modifier) VALUES ('11090080','3','負責人','','','','',getdate(),'Alvin',getdate(),'Alvin')</v>
      </c>
    </row>
    <row r="720" spans="2:13" ht="13.8">
      <c r="B720" s="15" t="s">
        <v>2148</v>
      </c>
      <c r="C720" s="15" t="s">
        <v>911</v>
      </c>
      <c r="D720" s="15" t="s">
        <v>2149</v>
      </c>
      <c r="E720" s="15" t="s">
        <v>758</v>
      </c>
      <c r="F720" s="15" t="s">
        <v>758</v>
      </c>
      <c r="G720" s="15" t="s">
        <v>758</v>
      </c>
      <c r="H720" s="15" t="s">
        <v>758</v>
      </c>
      <c r="I720" s="15" t="s">
        <v>2895</v>
      </c>
      <c r="J720" s="15" t="s">
        <v>755</v>
      </c>
      <c r="K720" s="15" t="s">
        <v>2895</v>
      </c>
      <c r="L720" s="15" t="s">
        <v>755</v>
      </c>
      <c r="M720" s="15" t="str">
        <f t="shared" si="11"/>
        <v>insert into dbo.LifeInsJobCode (JobCode,JobGrade,JobDescription,JobGroupCode1,JobGroupName1,JobGroupCode2,JobGroupName2,CreateTime,Creator,ModifyTime,Modifier) VALUES ('11090090','4','其他場所工作人員','','','','',getdate(),'Alvin',getdate(),'Alvin')</v>
      </c>
    </row>
    <row r="721" spans="2:13" ht="13.8">
      <c r="B721" s="15" t="s">
        <v>2150</v>
      </c>
      <c r="C721" s="15">
        <v>7</v>
      </c>
      <c r="D721" s="15" t="s">
        <v>2151</v>
      </c>
      <c r="E721" s="15" t="s">
        <v>758</v>
      </c>
      <c r="F721" s="15" t="s">
        <v>758</v>
      </c>
      <c r="G721" s="15" t="s">
        <v>758</v>
      </c>
      <c r="H721" s="15" t="s">
        <v>758</v>
      </c>
      <c r="I721" s="15" t="s">
        <v>2895</v>
      </c>
      <c r="J721" s="15" t="s">
        <v>755</v>
      </c>
      <c r="K721" s="15" t="s">
        <v>2895</v>
      </c>
      <c r="L721" s="15" t="s">
        <v>755</v>
      </c>
      <c r="M721" s="15" t="str">
        <f t="shared" si="11"/>
        <v>insert into dbo.LifeInsJobCode (JobCode,JobGrade,JobDescription,JobGroupCode1,JobGroupName1,JobGroupCode2,JobGroupName2,CreateTime,Creator,ModifyTime,Modifier) VALUES ('11090100','7','從事特種營業服務人員(吧女、酒女、舞女、咖啡女郎、按摩女郎…等)','','','','',getdate(),'Alvin',getdate(),'Alvin')</v>
      </c>
    </row>
    <row r="722" spans="2:13" ht="13.8">
      <c r="B722" s="15" t="s">
        <v>2152</v>
      </c>
      <c r="C722" s="15">
        <v>7</v>
      </c>
      <c r="D722" s="15" t="s">
        <v>2153</v>
      </c>
      <c r="E722" s="15" t="s">
        <v>758</v>
      </c>
      <c r="F722" s="15" t="s">
        <v>758</v>
      </c>
      <c r="G722" s="15" t="s">
        <v>758</v>
      </c>
      <c r="H722" s="15" t="s">
        <v>758</v>
      </c>
      <c r="I722" s="15" t="s">
        <v>2895</v>
      </c>
      <c r="J722" s="15" t="s">
        <v>755</v>
      </c>
      <c r="K722" s="15" t="s">
        <v>2895</v>
      </c>
      <c r="L722" s="15" t="s">
        <v>755</v>
      </c>
      <c r="M722" s="15" t="str">
        <f t="shared" si="11"/>
        <v>insert into dbo.LifeInsJobCode (JobCode,JobGrade,JobDescription,JobGroupCode1,JobGroupName1,JobGroupCode2,JobGroupName2,CreateTime,Creator,ModifyTime,Modifier) VALUES ('11090110','7','保鑣','','','','',getdate(),'Alvin',getdate(),'Alvin')</v>
      </c>
    </row>
    <row r="723" spans="2:13" ht="13.8">
      <c r="B723" s="15" t="s">
        <v>2154</v>
      </c>
      <c r="C723" s="15">
        <v>1</v>
      </c>
      <c r="D723" s="15" t="s">
        <v>2155</v>
      </c>
      <c r="E723" s="15" t="s">
        <v>2156</v>
      </c>
      <c r="F723" s="15" t="s">
        <v>2157</v>
      </c>
      <c r="G723" s="15" t="s">
        <v>2158</v>
      </c>
      <c r="H723" s="15" t="s">
        <v>2159</v>
      </c>
      <c r="I723" s="15" t="s">
        <v>2895</v>
      </c>
      <c r="J723" s="15" t="s">
        <v>755</v>
      </c>
      <c r="K723" s="15" t="s">
        <v>2895</v>
      </c>
      <c r="L723" s="15" t="s">
        <v>755</v>
      </c>
      <c r="M723" s="15" t="str">
        <f t="shared" si="11"/>
        <v>insert into dbo.LifeInsJobCode (JobCode,JobGrade,JobDescription,JobGroupCode1,JobGroupName1,JobGroupCode2,JobGroupName2,CreateTime,Creator,ModifyTime,Modifier) VALUES ('12010010','1','教師、行政人員','12','文教機關','1201','教育機構',getdate(),'Alvin',getdate(),'Alvin')</v>
      </c>
    </row>
    <row r="724" spans="2:13" ht="13.8">
      <c r="B724" s="15" t="s">
        <v>2160</v>
      </c>
      <c r="C724" s="15">
        <v>1</v>
      </c>
      <c r="D724" s="15" t="s">
        <v>2161</v>
      </c>
      <c r="E724" s="15" t="s">
        <v>758</v>
      </c>
      <c r="F724" s="15" t="s">
        <v>758</v>
      </c>
      <c r="G724" s="15" t="s">
        <v>758</v>
      </c>
      <c r="H724" s="15" t="s">
        <v>758</v>
      </c>
      <c r="I724" s="15" t="s">
        <v>2895</v>
      </c>
      <c r="J724" s="15" t="s">
        <v>755</v>
      </c>
      <c r="K724" s="15" t="s">
        <v>2895</v>
      </c>
      <c r="L724" s="15" t="s">
        <v>755</v>
      </c>
      <c r="M724" s="15" t="str">
        <f t="shared" si="11"/>
        <v>insert into dbo.LifeInsJobCode (JobCode,JobGrade,JobDescription,JobGroupCode1,JobGroupName1,JobGroupCode2,JobGroupName2,CreateTime,Creator,ModifyTime,Modifier) VALUES ('12010020','1','學生(不含軍校、警校)','','','','',getdate(),'Alvin',getdate(),'Alvin')</v>
      </c>
    </row>
    <row r="725" spans="2:13" ht="13.8">
      <c r="B725" s="15" t="s">
        <v>2162</v>
      </c>
      <c r="C725" s="15">
        <v>2</v>
      </c>
      <c r="D725" s="15" t="s">
        <v>2163</v>
      </c>
      <c r="E725" s="15" t="s">
        <v>758</v>
      </c>
      <c r="F725" s="15" t="s">
        <v>758</v>
      </c>
      <c r="G725" s="15" t="s">
        <v>758</v>
      </c>
      <c r="H725" s="15" t="s">
        <v>758</v>
      </c>
      <c r="I725" s="15" t="s">
        <v>2895</v>
      </c>
      <c r="J725" s="15" t="s">
        <v>755</v>
      </c>
      <c r="K725" s="15" t="s">
        <v>2895</v>
      </c>
      <c r="L725" s="15" t="s">
        <v>755</v>
      </c>
      <c r="M725" s="15" t="str">
        <f t="shared" si="11"/>
        <v>insert into dbo.LifeInsJobCode (JobCode,JobGrade,JobDescription,JobGroupCode1,JobGroupName1,JobGroupCode2,JobGroupName2,CreateTime,Creator,ModifyTime,Modifier) VALUES ('12010030','2','校工','','','','',getdate(),'Alvin',getdate(),'Alvin')</v>
      </c>
    </row>
    <row r="726" spans="2:13" ht="13.8">
      <c r="B726" s="15" t="s">
        <v>2164</v>
      </c>
      <c r="C726" s="15">
        <v>2</v>
      </c>
      <c r="D726" s="15" t="s">
        <v>2165</v>
      </c>
      <c r="E726" s="15" t="s">
        <v>758</v>
      </c>
      <c r="F726" s="15" t="s">
        <v>758</v>
      </c>
      <c r="G726" s="15" t="s">
        <v>758</v>
      </c>
      <c r="H726" s="15" t="s">
        <v>758</v>
      </c>
      <c r="I726" s="15" t="s">
        <v>2895</v>
      </c>
      <c r="J726" s="15" t="s">
        <v>755</v>
      </c>
      <c r="K726" s="15" t="s">
        <v>2895</v>
      </c>
      <c r="L726" s="15" t="s">
        <v>755</v>
      </c>
      <c r="M726" s="15" t="str">
        <f t="shared" si="11"/>
        <v>insert into dbo.LifeInsJobCode (JobCode,JobGrade,JobDescription,JobGroupCode1,JobGroupName1,JobGroupCode2,JobGroupName2,CreateTime,Creator,ModifyTime,Modifier) VALUES ('12010040','2','軍訓教官','','','','',getdate(),'Alvin',getdate(),'Alvin')</v>
      </c>
    </row>
    <row r="727" spans="2:13" ht="13.8">
      <c r="B727" s="15" t="s">
        <v>2166</v>
      </c>
      <c r="C727" s="15">
        <v>2</v>
      </c>
      <c r="D727" s="15" t="s">
        <v>2167</v>
      </c>
      <c r="E727" s="15" t="s">
        <v>758</v>
      </c>
      <c r="F727" s="15" t="s">
        <v>758</v>
      </c>
      <c r="G727" s="15" t="s">
        <v>758</v>
      </c>
      <c r="H727" s="15" t="s">
        <v>758</v>
      </c>
      <c r="I727" s="15" t="s">
        <v>2895</v>
      </c>
      <c r="J727" s="15" t="s">
        <v>755</v>
      </c>
      <c r="K727" s="15" t="s">
        <v>2895</v>
      </c>
      <c r="L727" s="15" t="s">
        <v>755</v>
      </c>
      <c r="M727" s="15" t="str">
        <f t="shared" si="11"/>
        <v>insert into dbo.LifeInsJobCode (JobCode,JobGrade,JobDescription,JobGroupCode1,JobGroupName1,JobGroupCode2,JobGroupName2,CreateTime,Creator,ModifyTime,Modifier) VALUES ('12010050','2','體育教師','','','','',getdate(),'Alvin',getdate(),'Alvin')</v>
      </c>
    </row>
    <row r="728" spans="2:13" ht="13.8">
      <c r="B728" s="15" t="s">
        <v>2168</v>
      </c>
      <c r="C728" s="15">
        <v>2</v>
      </c>
      <c r="D728" s="15" t="s">
        <v>2169</v>
      </c>
      <c r="E728" s="15" t="s">
        <v>758</v>
      </c>
      <c r="F728" s="15" t="s">
        <v>758</v>
      </c>
      <c r="G728" s="15" t="s">
        <v>758</v>
      </c>
      <c r="H728" s="15" t="s">
        <v>758</v>
      </c>
      <c r="I728" s="15" t="s">
        <v>2895</v>
      </c>
      <c r="J728" s="15" t="s">
        <v>755</v>
      </c>
      <c r="K728" s="15" t="s">
        <v>2895</v>
      </c>
      <c r="L728" s="15" t="s">
        <v>755</v>
      </c>
      <c r="M728" s="15" t="str">
        <f t="shared" si="11"/>
        <v>insert into dbo.LifeInsJobCode (JobCode,JobGrade,JobDescription,JobGroupCode1,JobGroupName1,JobGroupCode2,JobGroupName2,CreateTime,Creator,ModifyTime,Modifier) VALUES ('12010060','2','健身房、有氧運動教練','','','','',getdate(),'Alvin',getdate(),'Alvin')</v>
      </c>
    </row>
    <row r="729" spans="2:13" ht="13.8">
      <c r="B729" s="15" t="s">
        <v>2170</v>
      </c>
      <c r="C729" s="15">
        <v>2</v>
      </c>
      <c r="D729" s="15" t="s">
        <v>2171</v>
      </c>
      <c r="E729" s="15" t="s">
        <v>758</v>
      </c>
      <c r="F729" s="15" t="s">
        <v>758</v>
      </c>
      <c r="G729" s="15" t="s">
        <v>758</v>
      </c>
      <c r="H729" s="15" t="s">
        <v>758</v>
      </c>
      <c r="I729" s="15" t="s">
        <v>2895</v>
      </c>
      <c r="J729" s="15" t="s">
        <v>755</v>
      </c>
      <c r="K729" s="15" t="s">
        <v>2895</v>
      </c>
      <c r="L729" s="15" t="s">
        <v>755</v>
      </c>
      <c r="M729" s="15" t="str">
        <f t="shared" si="11"/>
        <v>insert into dbo.LifeInsJobCode (JobCode,JobGrade,JobDescription,JobGroupCode1,JobGroupName1,JobGroupCode2,JobGroupName2,CreateTime,Creator,ModifyTime,Modifier) VALUES ('12010070','2','餐飲補習班教師','','','','',getdate(),'Alvin',getdate(),'Alvin')</v>
      </c>
    </row>
    <row r="730" spans="2:13" ht="13.8">
      <c r="B730" s="15" t="s">
        <v>2172</v>
      </c>
      <c r="C730" s="15">
        <v>2</v>
      </c>
      <c r="D730" s="15" t="s">
        <v>2173</v>
      </c>
      <c r="E730" s="15" t="s">
        <v>758</v>
      </c>
      <c r="F730" s="15" t="s">
        <v>758</v>
      </c>
      <c r="G730" s="15" t="s">
        <v>758</v>
      </c>
      <c r="H730" s="15" t="s">
        <v>758</v>
      </c>
      <c r="I730" s="15" t="s">
        <v>2895</v>
      </c>
      <c r="J730" s="15" t="s">
        <v>755</v>
      </c>
      <c r="K730" s="15" t="s">
        <v>2895</v>
      </c>
      <c r="L730" s="15" t="s">
        <v>755</v>
      </c>
      <c r="M730" s="15" t="str">
        <f t="shared" si="11"/>
        <v>insert into dbo.LifeInsJobCode (JobCode,JobGrade,JobDescription,JobGroupCode1,JobGroupName1,JobGroupCode2,JobGroupName2,CreateTime,Creator,ModifyTime,Modifier) VALUES ('12010080','2','工藝教師','','','','',getdate(),'Alvin',getdate(),'Alvin')</v>
      </c>
    </row>
    <row r="731" spans="2:13" ht="13.8">
      <c r="B731" s="15" t="s">
        <v>2174</v>
      </c>
      <c r="C731" s="15">
        <v>2</v>
      </c>
      <c r="D731" s="15" t="s">
        <v>2175</v>
      </c>
      <c r="E731" s="15" t="s">
        <v>758</v>
      </c>
      <c r="F731" s="15" t="s">
        <v>758</v>
      </c>
      <c r="G731" s="15" t="s">
        <v>758</v>
      </c>
      <c r="H731" s="15" t="s">
        <v>758</v>
      </c>
      <c r="I731" s="15" t="s">
        <v>2895</v>
      </c>
      <c r="J731" s="15" t="s">
        <v>755</v>
      </c>
      <c r="K731" s="15" t="s">
        <v>2895</v>
      </c>
      <c r="L731" s="15" t="s">
        <v>755</v>
      </c>
      <c r="M731" s="15" t="str">
        <f t="shared" si="11"/>
        <v>insert into dbo.LifeInsJobCode (JobCode,JobGrade,JobDescription,JobGroupCode1,JobGroupName1,JobGroupCode2,JobGroupName2,CreateTime,Creator,ModifyTime,Modifier) VALUES ('12010090','2','校警','','','','',getdate(),'Alvin',getdate(),'Alvin')</v>
      </c>
    </row>
    <row r="732" spans="2:13" ht="13.8">
      <c r="B732" s="15" t="s">
        <v>2176</v>
      </c>
      <c r="C732" s="15">
        <v>1</v>
      </c>
      <c r="D732" s="15" t="s">
        <v>2177</v>
      </c>
      <c r="E732" s="15" t="s">
        <v>758</v>
      </c>
      <c r="F732" s="15" t="s">
        <v>758</v>
      </c>
      <c r="G732" s="15" t="s">
        <v>758</v>
      </c>
      <c r="H732" s="15" t="s">
        <v>758</v>
      </c>
      <c r="I732" s="15" t="s">
        <v>2895</v>
      </c>
      <c r="J732" s="15" t="s">
        <v>755</v>
      </c>
      <c r="K732" s="15" t="s">
        <v>2895</v>
      </c>
      <c r="L732" s="15" t="s">
        <v>755</v>
      </c>
      <c r="M732" s="15" t="str">
        <f t="shared" si="11"/>
        <v>insert into dbo.LifeInsJobCode (JobCode,JobGrade,JobDescription,JobGroupCode1,JobGroupName1,JobGroupCode2,JobGroupName2,CreateTime,Creator,ModifyTime,Modifier) VALUES ('12010100','1','學校志工','','','','',getdate(),'Alvin',getdate(),'Alvin')</v>
      </c>
    </row>
    <row r="733" spans="2:13" ht="13.8">
      <c r="B733" s="15" t="s">
        <v>2178</v>
      </c>
      <c r="C733" s="15">
        <v>1</v>
      </c>
      <c r="D733" s="15" t="s">
        <v>3309</v>
      </c>
      <c r="E733" s="15" t="s">
        <v>758</v>
      </c>
      <c r="F733" s="15" t="s">
        <v>758</v>
      </c>
      <c r="G733" s="15" t="s">
        <v>2179</v>
      </c>
      <c r="H733" s="15" t="s">
        <v>2180</v>
      </c>
      <c r="I733" s="15" t="s">
        <v>2895</v>
      </c>
      <c r="J733" s="15" t="s">
        <v>755</v>
      </c>
      <c r="K733" s="15" t="s">
        <v>2895</v>
      </c>
      <c r="L733" s="15" t="s">
        <v>755</v>
      </c>
      <c r="M733" s="15" t="str">
        <f t="shared" si="11"/>
        <v>insert into dbo.LifeInsJobCode (JobCode,JobGrade,JobDescription,JobGroupCode1,JobGroupName1,JobGroupCode2,JobGroupName2,CreateTime,Creator,ModifyTime,Modifier) VALUES ('12020010','1','負責人(出版商、書店、文具店)','','','1202','其他',getdate(),'Alvin',getdate(),'Alvin')</v>
      </c>
    </row>
    <row r="734" spans="2:13" ht="13.8">
      <c r="B734" s="15" t="s">
        <v>2181</v>
      </c>
      <c r="C734" s="15">
        <v>1</v>
      </c>
      <c r="D734" s="15" t="s">
        <v>3310</v>
      </c>
      <c r="E734" s="15" t="s">
        <v>758</v>
      </c>
      <c r="F734" s="15" t="s">
        <v>758</v>
      </c>
      <c r="G734" s="15" t="s">
        <v>758</v>
      </c>
      <c r="H734" s="15" t="s">
        <v>758</v>
      </c>
      <c r="I734" s="15" t="s">
        <v>2895</v>
      </c>
      <c r="J734" s="15" t="s">
        <v>755</v>
      </c>
      <c r="K734" s="15" t="s">
        <v>2895</v>
      </c>
      <c r="L734" s="15" t="s">
        <v>755</v>
      </c>
      <c r="M734" s="15" t="str">
        <f t="shared" si="11"/>
        <v>insert into dbo.LifeInsJobCode (JobCode,JobGrade,JobDescription,JobGroupCode1,JobGroupName1,JobGroupCode2,JobGroupName2,CreateTime,Creator,ModifyTime,Modifier) VALUES ('12020020','1','店員(出版商、書店、文具店)','','','','',getdate(),'Alvin',getdate(),'Alvin')</v>
      </c>
    </row>
    <row r="735" spans="2:13" ht="13.8">
      <c r="B735" s="15" t="s">
        <v>2182</v>
      </c>
      <c r="C735" s="15">
        <v>2</v>
      </c>
      <c r="D735" s="15" t="s">
        <v>2183</v>
      </c>
      <c r="E735" s="15" t="s">
        <v>758</v>
      </c>
      <c r="F735" s="15" t="s">
        <v>758</v>
      </c>
      <c r="G735" s="15" t="s">
        <v>758</v>
      </c>
      <c r="H735" s="15" t="s">
        <v>758</v>
      </c>
      <c r="I735" s="15" t="s">
        <v>2895</v>
      </c>
      <c r="J735" s="15" t="s">
        <v>755</v>
      </c>
      <c r="K735" s="15" t="s">
        <v>2895</v>
      </c>
      <c r="L735" s="15" t="s">
        <v>755</v>
      </c>
      <c r="M735" s="15" t="str">
        <f t="shared" si="11"/>
        <v>insert into dbo.LifeInsJobCode (JobCode,JobGrade,JobDescription,JobGroupCode1,JobGroupName1,JobGroupCode2,JobGroupName2,CreateTime,Creator,ModifyTime,Modifier) VALUES ('12020030','2','書店外務員','','','','',getdate(),'Alvin',getdate(),'Alvin')</v>
      </c>
    </row>
    <row r="736" spans="2:13" ht="13.8">
      <c r="B736" s="15" t="s">
        <v>2184</v>
      </c>
      <c r="C736" s="15">
        <v>2</v>
      </c>
      <c r="D736" s="15" t="s">
        <v>2185</v>
      </c>
      <c r="E736" s="15" t="s">
        <v>758</v>
      </c>
      <c r="F736" s="15" t="s">
        <v>758</v>
      </c>
      <c r="G736" s="15" t="s">
        <v>758</v>
      </c>
      <c r="H736" s="15" t="s">
        <v>758</v>
      </c>
      <c r="I736" s="15" t="s">
        <v>2895</v>
      </c>
      <c r="J736" s="15" t="s">
        <v>755</v>
      </c>
      <c r="K736" s="15" t="s">
        <v>2895</v>
      </c>
      <c r="L736" s="15" t="s">
        <v>755</v>
      </c>
      <c r="M736" s="15" t="str">
        <f t="shared" si="11"/>
        <v>insert into dbo.LifeInsJobCode (JobCode,JobGrade,JobDescription,JobGroupCode1,JobGroupName1,JobGroupCode2,JobGroupName2,CreateTime,Creator,ModifyTime,Modifier) VALUES ('12020040','2','書店送貨員','','','','',getdate(),'Alvin',getdate(),'Alvin')</v>
      </c>
    </row>
    <row r="737" spans="2:13" ht="13.8">
      <c r="B737" s="15" t="s">
        <v>2186</v>
      </c>
      <c r="C737" s="15">
        <v>1</v>
      </c>
      <c r="D737" s="15" t="s">
        <v>2187</v>
      </c>
      <c r="E737" s="15" t="s">
        <v>758</v>
      </c>
      <c r="F737" s="15" t="s">
        <v>758</v>
      </c>
      <c r="G737" s="15" t="s">
        <v>758</v>
      </c>
      <c r="H737" s="15" t="s">
        <v>758</v>
      </c>
      <c r="I737" s="15" t="s">
        <v>2895</v>
      </c>
      <c r="J737" s="15" t="s">
        <v>755</v>
      </c>
      <c r="K737" s="15" t="s">
        <v>2895</v>
      </c>
      <c r="L737" s="15" t="s">
        <v>755</v>
      </c>
      <c r="M737" s="15" t="str">
        <f t="shared" si="11"/>
        <v>insert into dbo.LifeInsJobCode (JobCode,JobGrade,JobDescription,JobGroupCode1,JobGroupName1,JobGroupCode2,JobGroupName2,CreateTime,Creator,ModifyTime,Modifier) VALUES ('12020050','1','圖書館工作人員','','','','',getdate(),'Alvin',getdate(),'Alvin')</v>
      </c>
    </row>
    <row r="738" spans="2:13" ht="13.8">
      <c r="B738" s="15" t="s">
        <v>2188</v>
      </c>
      <c r="C738" s="15">
        <v>1</v>
      </c>
      <c r="D738" s="15" t="s">
        <v>2189</v>
      </c>
      <c r="E738" s="15" t="s">
        <v>758</v>
      </c>
      <c r="F738" s="15" t="s">
        <v>758</v>
      </c>
      <c r="G738" s="15" t="s">
        <v>758</v>
      </c>
      <c r="H738" s="15" t="s">
        <v>758</v>
      </c>
      <c r="I738" s="15" t="s">
        <v>2895</v>
      </c>
      <c r="J738" s="15" t="s">
        <v>755</v>
      </c>
      <c r="K738" s="15" t="s">
        <v>2895</v>
      </c>
      <c r="L738" s="15" t="s">
        <v>755</v>
      </c>
      <c r="M738" s="15" t="str">
        <f t="shared" si="11"/>
        <v>insert into dbo.LifeInsJobCode (JobCode,JobGrade,JobDescription,JobGroupCode1,JobGroupName1,JobGroupCode2,JobGroupName2,CreateTime,Creator,ModifyTime,Modifier) VALUES ('12020060','1','博物館工作人員','','','','',getdate(),'Alvin',getdate(),'Alvin')</v>
      </c>
    </row>
    <row r="739" spans="2:13" ht="13.8">
      <c r="B739" s="15" t="s">
        <v>2190</v>
      </c>
      <c r="C739" s="15">
        <v>3</v>
      </c>
      <c r="D739" s="15" t="s">
        <v>2191</v>
      </c>
      <c r="E739" s="15" t="s">
        <v>758</v>
      </c>
      <c r="F739" s="15" t="s">
        <v>758</v>
      </c>
      <c r="G739" s="15" t="s">
        <v>758</v>
      </c>
      <c r="H739" s="15" t="s">
        <v>758</v>
      </c>
      <c r="I739" s="15" t="s">
        <v>2895</v>
      </c>
      <c r="J739" s="15" t="s">
        <v>755</v>
      </c>
      <c r="K739" s="15" t="s">
        <v>2895</v>
      </c>
      <c r="L739" s="15" t="s">
        <v>755</v>
      </c>
      <c r="M739" s="15" t="str">
        <f t="shared" si="11"/>
        <v>insert into dbo.LifeInsJobCode (JobCode,JobGrade,JobDescription,JobGroupCode1,JobGroupName1,JobGroupCode2,JobGroupName2,CreateTime,Creator,ModifyTime,Modifier) VALUES ('12020070','3','汽車駕駛訓練班教練','','','','',getdate(),'Alvin',getdate(),'Alvin')</v>
      </c>
    </row>
    <row r="740" spans="2:13" ht="13.8">
      <c r="B740" s="15" t="s">
        <v>2192</v>
      </c>
      <c r="C740" s="15">
        <v>2</v>
      </c>
      <c r="D740" s="15" t="s">
        <v>2193</v>
      </c>
      <c r="E740" s="15" t="s">
        <v>758</v>
      </c>
      <c r="F740" s="15" t="s">
        <v>758</v>
      </c>
      <c r="G740" s="15" t="s">
        <v>758</v>
      </c>
      <c r="H740" s="15" t="s">
        <v>758</v>
      </c>
      <c r="I740" s="15" t="s">
        <v>2895</v>
      </c>
      <c r="J740" s="15" t="s">
        <v>755</v>
      </c>
      <c r="K740" s="15" t="s">
        <v>2895</v>
      </c>
      <c r="L740" s="15" t="s">
        <v>755</v>
      </c>
      <c r="M740" s="15" t="str">
        <f t="shared" si="11"/>
        <v>insert into dbo.LifeInsJobCode (JobCode,JobGrade,JobDescription,JobGroupCode1,JobGroupName1,JobGroupCode2,JobGroupName2,CreateTime,Creator,ModifyTime,Modifier) VALUES ('12020080','2','監理所路考官','','','','',getdate(),'Alvin',getdate(),'Alvin')</v>
      </c>
    </row>
    <row r="741" spans="2:13" ht="13.8">
      <c r="B741" s="15" t="s">
        <v>2194</v>
      </c>
      <c r="C741" s="15">
        <v>1</v>
      </c>
      <c r="D741" s="15" t="s">
        <v>2195</v>
      </c>
      <c r="E741" s="15" t="s">
        <v>2196</v>
      </c>
      <c r="F741" s="15" t="s">
        <v>2197</v>
      </c>
      <c r="G741" s="15" t="s">
        <v>2198</v>
      </c>
      <c r="H741" s="15" t="s">
        <v>2199</v>
      </c>
      <c r="I741" s="15" t="s">
        <v>2895</v>
      </c>
      <c r="J741" s="15" t="s">
        <v>755</v>
      </c>
      <c r="K741" s="15" t="s">
        <v>2895</v>
      </c>
      <c r="L741" s="15" t="s">
        <v>755</v>
      </c>
      <c r="M741" s="15" t="str">
        <f t="shared" si="11"/>
        <v>insert into dbo.LifeInsJobCode (JobCode,JobGrade,JobDescription,JobGroupCode1,JobGroupName1,JobGroupCode2,JobGroupName2,CreateTime,Creator,ModifyTime,Modifier) VALUES ('13000010','1','寺廟及教堂管理人員','13','宗教團體','1300','宗教人士',getdate(),'Alvin',getdate(),'Alvin')</v>
      </c>
    </row>
    <row r="742" spans="2:13" ht="13.8">
      <c r="B742" s="15" t="s">
        <v>2200</v>
      </c>
      <c r="C742" s="15">
        <v>1</v>
      </c>
      <c r="D742" s="15" t="s">
        <v>2201</v>
      </c>
      <c r="E742" s="15" t="s">
        <v>758</v>
      </c>
      <c r="F742" s="15" t="s">
        <v>758</v>
      </c>
      <c r="G742" s="15" t="s">
        <v>758</v>
      </c>
      <c r="H742" s="15" t="s">
        <v>758</v>
      </c>
      <c r="I742" s="15" t="s">
        <v>2895</v>
      </c>
      <c r="J742" s="15" t="s">
        <v>755</v>
      </c>
      <c r="K742" s="15" t="s">
        <v>2895</v>
      </c>
      <c r="L742" s="15" t="s">
        <v>755</v>
      </c>
      <c r="M742" s="15" t="str">
        <f t="shared" si="11"/>
        <v>insert into dbo.LifeInsJobCode (JobCode,JobGrade,JobDescription,JobGroupCode1,JobGroupName1,JobGroupCode2,JobGroupName2,CreateTime,Creator,ModifyTime,Modifier) VALUES ('13000020','1','宗教團體工作人員','','','','',getdate(),'Alvin',getdate(),'Alvin')</v>
      </c>
    </row>
    <row r="743" spans="2:13" ht="13.8">
      <c r="B743" s="15" t="s">
        <v>2202</v>
      </c>
      <c r="C743" s="15">
        <v>1</v>
      </c>
      <c r="D743" s="15" t="s">
        <v>2203</v>
      </c>
      <c r="E743" s="15" t="s">
        <v>758</v>
      </c>
      <c r="F743" s="15" t="s">
        <v>758</v>
      </c>
      <c r="G743" s="15" t="s">
        <v>758</v>
      </c>
      <c r="H743" s="15" t="s">
        <v>758</v>
      </c>
      <c r="I743" s="15" t="s">
        <v>2895</v>
      </c>
      <c r="J743" s="15" t="s">
        <v>755</v>
      </c>
      <c r="K743" s="15" t="s">
        <v>2895</v>
      </c>
      <c r="L743" s="15" t="s">
        <v>755</v>
      </c>
      <c r="M743" s="15" t="str">
        <f t="shared" si="11"/>
        <v>insert into dbo.LifeInsJobCode (JobCode,JobGrade,JobDescription,JobGroupCode1,JobGroupName1,JobGroupCode2,JobGroupName2,CreateTime,Creator,ModifyTime,Modifier) VALUES ('13000030','1','僧尼、道士、法師及傳教人員','','','','',getdate(),'Alvin',getdate(),'Alvin')</v>
      </c>
    </row>
    <row r="744" spans="2:13" ht="13.8">
      <c r="B744" s="15" t="s">
        <v>2204</v>
      </c>
      <c r="C744" s="15">
        <v>3</v>
      </c>
      <c r="D744" s="15" t="s">
        <v>2205</v>
      </c>
      <c r="E744" s="15" t="s">
        <v>758</v>
      </c>
      <c r="F744" s="15" t="s">
        <v>758</v>
      </c>
      <c r="G744" s="15" t="s">
        <v>758</v>
      </c>
      <c r="H744" s="15" t="s">
        <v>758</v>
      </c>
      <c r="I744" s="15" t="s">
        <v>2895</v>
      </c>
      <c r="J744" s="15" t="s">
        <v>755</v>
      </c>
      <c r="K744" s="15" t="s">
        <v>2895</v>
      </c>
      <c r="L744" s="15" t="s">
        <v>755</v>
      </c>
      <c r="M744" s="15" t="str">
        <f t="shared" si="11"/>
        <v>insert into dbo.LifeInsJobCode (JobCode,JobGrade,JobDescription,JobGroupCode1,JobGroupName1,JobGroupCode2,JobGroupName2,CreateTime,Creator,ModifyTime,Modifier) VALUES ('13000040','3','乩童','','','','',getdate(),'Alvin',getdate(),'Alvin')</v>
      </c>
    </row>
    <row r="745" spans="2:13" ht="13.8">
      <c r="B745" s="15" t="s">
        <v>2206</v>
      </c>
      <c r="C745" s="15">
        <v>2</v>
      </c>
      <c r="D745" s="15" t="s">
        <v>2207</v>
      </c>
      <c r="E745" s="15" t="s">
        <v>758</v>
      </c>
      <c r="F745" s="15" t="s">
        <v>758</v>
      </c>
      <c r="G745" s="15" t="s">
        <v>758</v>
      </c>
      <c r="H745" s="15" t="s">
        <v>758</v>
      </c>
      <c r="I745" s="15" t="s">
        <v>2895</v>
      </c>
      <c r="J745" s="15" t="s">
        <v>755</v>
      </c>
      <c r="K745" s="15" t="s">
        <v>2895</v>
      </c>
      <c r="L745" s="15" t="s">
        <v>755</v>
      </c>
      <c r="M745" s="15" t="str">
        <f t="shared" si="11"/>
        <v>insert into dbo.LifeInsJobCode (JobCode,JobGrade,JobDescription,JobGroupCode1,JobGroupName1,JobGroupCode2,JobGroupName2,CreateTime,Creator,ModifyTime,Modifier) VALUES ('13000050','2','神壇工作人員','','','','',getdate(),'Alvin',getdate(),'Alvin')</v>
      </c>
    </row>
    <row r="746" spans="2:13" ht="13.8">
      <c r="B746" s="15" t="s">
        <v>2208</v>
      </c>
      <c r="C746" s="15">
        <v>1</v>
      </c>
      <c r="D746" s="15" t="s">
        <v>2209</v>
      </c>
      <c r="E746" s="15" t="s">
        <v>758</v>
      </c>
      <c r="F746" s="15" t="s">
        <v>758</v>
      </c>
      <c r="G746" s="15" t="s">
        <v>758</v>
      </c>
      <c r="H746" s="15" t="s">
        <v>758</v>
      </c>
      <c r="I746" s="15" t="s">
        <v>2895</v>
      </c>
      <c r="J746" s="15" t="s">
        <v>755</v>
      </c>
      <c r="K746" s="15" t="s">
        <v>2895</v>
      </c>
      <c r="L746" s="15" t="s">
        <v>755</v>
      </c>
      <c r="M746" s="15" t="str">
        <f t="shared" si="11"/>
        <v>insert into dbo.LifeInsJobCode (JobCode,JobGrade,JobDescription,JobGroupCode1,JobGroupName1,JobGroupCode2,JobGroupName2,CreateTime,Creator,ModifyTime,Modifier) VALUES ('13000060','1','算命師','','','','',getdate(),'Alvin',getdate(),'Alvin')</v>
      </c>
    </row>
    <row r="747" spans="2:13" ht="13.8">
      <c r="B747" s="15" t="s">
        <v>2210</v>
      </c>
      <c r="C747" s="15">
        <v>2</v>
      </c>
      <c r="D747" s="15" t="s">
        <v>2211</v>
      </c>
      <c r="E747" s="15" t="s">
        <v>758</v>
      </c>
      <c r="F747" s="15" t="s">
        <v>758</v>
      </c>
      <c r="G747" s="15" t="s">
        <v>758</v>
      </c>
      <c r="H747" s="15" t="s">
        <v>758</v>
      </c>
      <c r="I747" s="15" t="s">
        <v>2895</v>
      </c>
      <c r="J747" s="15" t="s">
        <v>755</v>
      </c>
      <c r="K747" s="15" t="s">
        <v>2895</v>
      </c>
      <c r="L747" s="15" t="s">
        <v>755</v>
      </c>
      <c r="M747" s="15" t="str">
        <f t="shared" si="11"/>
        <v>insert into dbo.LifeInsJobCode (JobCode,JobGrade,JobDescription,JobGroupCode1,JobGroupName1,JobGroupCode2,JobGroupName2,CreateTime,Creator,ModifyTime,Modifier) VALUES ('13000070','2','勘與師','','','','',getdate(),'Alvin',getdate(),'Alvin')</v>
      </c>
    </row>
    <row r="748" spans="2:13" ht="13.8">
      <c r="B748" s="15" t="s">
        <v>2212</v>
      </c>
      <c r="C748" s="15">
        <v>4</v>
      </c>
      <c r="D748" s="15" t="s">
        <v>2213</v>
      </c>
      <c r="E748" s="15" t="s">
        <v>758</v>
      </c>
      <c r="F748" s="15" t="s">
        <v>758</v>
      </c>
      <c r="G748" s="15" t="s">
        <v>758</v>
      </c>
      <c r="H748" s="15" t="s">
        <v>758</v>
      </c>
      <c r="I748" s="15" t="s">
        <v>2895</v>
      </c>
      <c r="J748" s="15" t="s">
        <v>755</v>
      </c>
      <c r="K748" s="15" t="s">
        <v>2895</v>
      </c>
      <c r="L748" s="15" t="s">
        <v>755</v>
      </c>
      <c r="M748" s="15" t="str">
        <f t="shared" si="11"/>
        <v>insert into dbo.LifeInsJobCode (JobCode,JobGrade,JobDescription,JobGroupCode1,JobGroupName1,JobGroupCode2,JobGroupName2,CreateTime,Creator,ModifyTime,Modifier) VALUES ('13000080','4','八家將','','','','',getdate(),'Alvin',getdate(),'Alvin')</v>
      </c>
    </row>
    <row r="749" spans="2:13" ht="13.8">
      <c r="B749" s="15" t="s">
        <v>2214</v>
      </c>
      <c r="C749" s="15">
        <v>1</v>
      </c>
      <c r="D749" s="15" t="s">
        <v>308</v>
      </c>
      <c r="E749" s="15" t="s">
        <v>2215</v>
      </c>
      <c r="F749" s="15" t="s">
        <v>2216</v>
      </c>
      <c r="G749" s="15" t="s">
        <v>2217</v>
      </c>
      <c r="H749" s="15" t="s">
        <v>2218</v>
      </c>
      <c r="I749" s="15" t="s">
        <v>2895</v>
      </c>
      <c r="J749" s="15" t="s">
        <v>755</v>
      </c>
      <c r="K749" s="15" t="s">
        <v>2895</v>
      </c>
      <c r="L749" s="15" t="s">
        <v>755</v>
      </c>
      <c r="M749" s="15" t="str">
        <f t="shared" si="11"/>
        <v>insert into dbo.LifeInsJobCode (JobCode,JobGrade,JobDescription,JobGroupCode1,JobGroupName1,JobGroupCode2,JobGroupName2,CreateTime,Creator,ModifyTime,Modifier) VALUES ('14010010','1','內勤人員','14','公共事業','1401','郵政',getdate(),'Alvin',getdate(),'Alvin')</v>
      </c>
    </row>
    <row r="750" spans="2:13" ht="13.8">
      <c r="B750" s="15" t="s">
        <v>2219</v>
      </c>
      <c r="C750" s="15">
        <v>3</v>
      </c>
      <c r="D750" s="15" t="s">
        <v>2220</v>
      </c>
      <c r="E750" s="15" t="s">
        <v>758</v>
      </c>
      <c r="F750" s="15" t="s">
        <v>758</v>
      </c>
      <c r="G750" s="15" t="s">
        <v>758</v>
      </c>
      <c r="H750" s="15" t="s">
        <v>758</v>
      </c>
      <c r="I750" s="15" t="s">
        <v>2895</v>
      </c>
      <c r="J750" s="15" t="s">
        <v>755</v>
      </c>
      <c r="K750" s="15" t="s">
        <v>2895</v>
      </c>
      <c r="L750" s="15" t="s">
        <v>755</v>
      </c>
      <c r="M750" s="15" t="str">
        <f t="shared" si="11"/>
        <v>insert into dbo.LifeInsJobCode (JobCode,JobGrade,JobDescription,JobGroupCode1,JobGroupName1,JobGroupCode2,JobGroupName2,CreateTime,Creator,ModifyTime,Modifier) VALUES ('14010020','3','外勤郵務人員','','','','',getdate(),'Alvin',getdate(),'Alvin')</v>
      </c>
    </row>
    <row r="751" spans="2:13" ht="13.8">
      <c r="B751" s="15" t="s">
        <v>2221</v>
      </c>
      <c r="C751" s="15">
        <v>2</v>
      </c>
      <c r="D751" s="15" t="s">
        <v>2222</v>
      </c>
      <c r="E751" s="15" t="s">
        <v>758</v>
      </c>
      <c r="F751" s="15" t="s">
        <v>758</v>
      </c>
      <c r="G751" s="15" t="s">
        <v>758</v>
      </c>
      <c r="H751" s="15" t="s">
        <v>758</v>
      </c>
      <c r="I751" s="15" t="s">
        <v>2895</v>
      </c>
      <c r="J751" s="15" t="s">
        <v>755</v>
      </c>
      <c r="K751" s="15" t="s">
        <v>2895</v>
      </c>
      <c r="L751" s="15" t="s">
        <v>755</v>
      </c>
      <c r="M751" s="15" t="str">
        <f t="shared" si="11"/>
        <v>insert into dbo.LifeInsJobCode (JobCode,JobGrade,JobDescription,JobGroupCode1,JobGroupName1,JobGroupCode2,JobGroupName2,CreateTime,Creator,ModifyTime,Modifier) VALUES ('14010030','2','包裹搬運人員','','','','',getdate(),'Alvin',getdate(),'Alvin')</v>
      </c>
    </row>
    <row r="752" spans="2:13" ht="13.8">
      <c r="B752" s="15" t="s">
        <v>2223</v>
      </c>
      <c r="C752" s="15">
        <v>1</v>
      </c>
      <c r="D752" s="15" t="s">
        <v>308</v>
      </c>
      <c r="E752" s="15" t="s">
        <v>758</v>
      </c>
      <c r="F752" s="15" t="s">
        <v>758</v>
      </c>
      <c r="G752" s="15" t="s">
        <v>2224</v>
      </c>
      <c r="H752" s="15" t="s">
        <v>2225</v>
      </c>
      <c r="I752" s="15" t="s">
        <v>2895</v>
      </c>
      <c r="J752" s="15" t="s">
        <v>755</v>
      </c>
      <c r="K752" s="15" t="s">
        <v>2895</v>
      </c>
      <c r="L752" s="15" t="s">
        <v>755</v>
      </c>
      <c r="M752" s="15" t="str">
        <f t="shared" si="11"/>
        <v>insert into dbo.LifeInsJobCode (JobCode,JobGrade,JobDescription,JobGroupCode1,JobGroupName1,JobGroupCode2,JobGroupName2,CreateTime,Creator,ModifyTime,Modifier) VALUES ('14020010','1','內勤人員','','','1402','電信及電力',getdate(),'Alvin',getdate(),'Alvin')</v>
      </c>
    </row>
    <row r="753" spans="2:13" ht="13.8">
      <c r="B753" s="15" t="s">
        <v>2226</v>
      </c>
      <c r="C753" s="15">
        <v>2</v>
      </c>
      <c r="D753" s="15" t="s">
        <v>2227</v>
      </c>
      <c r="E753" s="15" t="s">
        <v>758</v>
      </c>
      <c r="F753" s="15" t="s">
        <v>758</v>
      </c>
      <c r="G753" s="15" t="s">
        <v>758</v>
      </c>
      <c r="H753" s="15" t="s">
        <v>758</v>
      </c>
      <c r="I753" s="15" t="s">
        <v>2895</v>
      </c>
      <c r="J753" s="15" t="s">
        <v>755</v>
      </c>
      <c r="K753" s="15" t="s">
        <v>2895</v>
      </c>
      <c r="L753" s="15" t="s">
        <v>755</v>
      </c>
      <c r="M753" s="15" t="str">
        <f t="shared" si="11"/>
        <v>insert into dbo.LifeInsJobCode (JobCode,JobGrade,JobDescription,JobGroupCode1,JobGroupName1,JobGroupCode2,JobGroupName2,CreateTime,Creator,ModifyTime,Modifier) VALUES ('14020020','2','抄錶員、收費員','','','','',getdate(),'Alvin',getdate(),'Alvin')</v>
      </c>
    </row>
    <row r="754" spans="2:13" ht="13.8">
      <c r="B754" s="15" t="s">
        <v>2228</v>
      </c>
      <c r="C754" s="15">
        <v>3</v>
      </c>
      <c r="D754" s="15" t="s">
        <v>2229</v>
      </c>
      <c r="E754" s="15" t="s">
        <v>758</v>
      </c>
      <c r="F754" s="15" t="s">
        <v>758</v>
      </c>
      <c r="G754" s="15" t="s">
        <v>758</v>
      </c>
      <c r="H754" s="15" t="s">
        <v>758</v>
      </c>
      <c r="I754" s="15" t="s">
        <v>2895</v>
      </c>
      <c r="J754" s="15" t="s">
        <v>755</v>
      </c>
      <c r="K754" s="15" t="s">
        <v>2895</v>
      </c>
      <c r="L754" s="15" t="s">
        <v>755</v>
      </c>
      <c r="M754" s="15" t="str">
        <f t="shared" si="11"/>
        <v>insert into dbo.LifeInsJobCode (JobCode,JobGrade,JobDescription,JobGroupCode1,JobGroupName1,JobGroupCode2,JobGroupName2,CreateTime,Creator,ModifyTime,Modifier) VALUES ('14020030','3','電信裝置維護修理工','','','','',getdate(),'Alvin',getdate(),'Alvin')</v>
      </c>
    </row>
    <row r="755" spans="2:13" ht="13.8">
      <c r="B755" s="15" t="s">
        <v>2230</v>
      </c>
      <c r="C755" s="15">
        <v>4</v>
      </c>
      <c r="D755" s="15" t="s">
        <v>2231</v>
      </c>
      <c r="E755" s="15" t="s">
        <v>758</v>
      </c>
      <c r="F755" s="15" t="s">
        <v>758</v>
      </c>
      <c r="G755" s="15" t="s">
        <v>758</v>
      </c>
      <c r="H755" s="15" t="s">
        <v>758</v>
      </c>
      <c r="I755" s="15" t="s">
        <v>2895</v>
      </c>
      <c r="J755" s="15" t="s">
        <v>755</v>
      </c>
      <c r="K755" s="15" t="s">
        <v>2895</v>
      </c>
      <c r="L755" s="15" t="s">
        <v>755</v>
      </c>
      <c r="M755" s="15" t="str">
        <f t="shared" si="11"/>
        <v>insert into dbo.LifeInsJobCode (JobCode,JobGrade,JobDescription,JobGroupCode1,JobGroupName1,JobGroupCode2,JobGroupName2,CreateTime,Creator,ModifyTime,Modifier) VALUES ('14020031','4','電力裝置維護修理工','','','','',getdate(),'Alvin',getdate(),'Alvin')</v>
      </c>
    </row>
    <row r="756" spans="2:13" ht="13.8">
      <c r="B756" s="15" t="s">
        <v>2232</v>
      </c>
      <c r="C756" s="15">
        <v>4</v>
      </c>
      <c r="D756" s="15" t="s">
        <v>2233</v>
      </c>
      <c r="E756" s="15" t="s">
        <v>758</v>
      </c>
      <c r="F756" s="15" t="s">
        <v>758</v>
      </c>
      <c r="G756" s="15" t="s">
        <v>758</v>
      </c>
      <c r="H756" s="15" t="s">
        <v>758</v>
      </c>
      <c r="I756" s="15" t="s">
        <v>2895</v>
      </c>
      <c r="J756" s="15" t="s">
        <v>755</v>
      </c>
      <c r="K756" s="15" t="s">
        <v>2895</v>
      </c>
      <c r="L756" s="15" t="s">
        <v>755</v>
      </c>
      <c r="M756" s="15" t="str">
        <f t="shared" si="11"/>
        <v>insert into dbo.LifeInsJobCode (JobCode,JobGrade,JobDescription,JobGroupCode1,JobGroupName1,JobGroupCode2,JobGroupName2,CreateTime,Creator,ModifyTime,Modifier) VALUES ('14020040','4','電信工程設施之架設人員','','','','',getdate(),'Alvin',getdate(),'Alvin')</v>
      </c>
    </row>
    <row r="757" spans="2:13" ht="13.8">
      <c r="B757" s="15" t="s">
        <v>2234</v>
      </c>
      <c r="C757" s="15">
        <v>5</v>
      </c>
      <c r="D757" s="15" t="s">
        <v>2235</v>
      </c>
      <c r="E757" s="15" t="s">
        <v>758</v>
      </c>
      <c r="F757" s="15" t="s">
        <v>758</v>
      </c>
      <c r="G757" s="15" t="s">
        <v>758</v>
      </c>
      <c r="H757" s="15" t="s">
        <v>758</v>
      </c>
      <c r="I757" s="15" t="s">
        <v>2895</v>
      </c>
      <c r="J757" s="15" t="s">
        <v>755</v>
      </c>
      <c r="K757" s="15" t="s">
        <v>2895</v>
      </c>
      <c r="L757" s="15" t="s">
        <v>755</v>
      </c>
      <c r="M757" s="15" t="str">
        <f t="shared" si="11"/>
        <v>insert into dbo.LifeInsJobCode (JobCode,JobGrade,JobDescription,JobGroupCode1,JobGroupName1,JobGroupCode2,JobGroupName2,CreateTime,Creator,ModifyTime,Modifier) VALUES ('14020041','5','電力工程設施之架設人員','','','','',getdate(),'Alvin',getdate(),'Alvin')</v>
      </c>
    </row>
    <row r="758" spans="2:13" ht="13.8">
      <c r="B758" s="15" t="s">
        <v>2236</v>
      </c>
      <c r="C758" s="15">
        <v>7</v>
      </c>
      <c r="D758" s="15" t="s">
        <v>2237</v>
      </c>
      <c r="E758" s="15" t="s">
        <v>758</v>
      </c>
      <c r="F758" s="15" t="s">
        <v>758</v>
      </c>
      <c r="G758" s="15" t="s">
        <v>758</v>
      </c>
      <c r="H758" s="15" t="s">
        <v>758</v>
      </c>
      <c r="I758" s="15" t="s">
        <v>2895</v>
      </c>
      <c r="J758" s="15" t="s">
        <v>755</v>
      </c>
      <c r="K758" s="15" t="s">
        <v>2895</v>
      </c>
      <c r="L758" s="15" t="s">
        <v>755</v>
      </c>
      <c r="M758" s="15" t="str">
        <f t="shared" si="11"/>
        <v>insert into dbo.LifeInsJobCode (JobCode,JobGrade,JobDescription,JobGroupCode1,JobGroupName1,JobGroupCode2,JobGroupName2,CreateTime,Creator,ModifyTime,Modifier) VALUES ('14020050','7','電力高壓電工程設施人員','','','','',getdate(),'Alvin',getdate(),'Alvin')</v>
      </c>
    </row>
    <row r="759" spans="2:13" ht="13.8">
      <c r="B759" s="15" t="s">
        <v>2238</v>
      </c>
      <c r="C759" s="15">
        <v>5</v>
      </c>
      <c r="D759" s="15" t="s">
        <v>2239</v>
      </c>
      <c r="E759" s="15" t="s">
        <v>758</v>
      </c>
      <c r="F759" s="15" t="s">
        <v>758</v>
      </c>
      <c r="G759" s="15" t="s">
        <v>758</v>
      </c>
      <c r="H759" s="15" t="s">
        <v>758</v>
      </c>
      <c r="I759" s="15" t="s">
        <v>2895</v>
      </c>
      <c r="J759" s="15" t="s">
        <v>755</v>
      </c>
      <c r="K759" s="15" t="s">
        <v>2895</v>
      </c>
      <c r="L759" s="15" t="s">
        <v>755</v>
      </c>
      <c r="M759" s="15" t="str">
        <f t="shared" si="11"/>
        <v>insert into dbo.LifeInsJobCode (JobCode,JobGrade,JobDescription,JobGroupCode1,JobGroupName1,JobGroupCode2,JobGroupName2,CreateTime,Creator,ModifyTime,Modifier) VALUES ('14020060','5','電臺天線維護人員','','','','',getdate(),'Alvin',getdate(),'Alvin')</v>
      </c>
    </row>
    <row r="760" spans="2:13" ht="13.8">
      <c r="B760" s="15" t="s">
        <v>2240</v>
      </c>
      <c r="C760" s="15">
        <v>2</v>
      </c>
      <c r="D760" s="15" t="s">
        <v>2241</v>
      </c>
      <c r="E760" s="15" t="s">
        <v>758</v>
      </c>
      <c r="F760" s="15" t="s">
        <v>758</v>
      </c>
      <c r="G760" s="15" t="s">
        <v>758</v>
      </c>
      <c r="H760" s="15" t="s">
        <v>758</v>
      </c>
      <c r="I760" s="15" t="s">
        <v>2895</v>
      </c>
      <c r="J760" s="15" t="s">
        <v>755</v>
      </c>
      <c r="K760" s="15" t="s">
        <v>2895</v>
      </c>
      <c r="L760" s="15" t="s">
        <v>755</v>
      </c>
      <c r="M760" s="15" t="str">
        <f t="shared" si="11"/>
        <v>insert into dbo.LifeInsJobCode (JobCode,JobGrade,JobDescription,JobGroupCode1,JobGroupName1,JobGroupCode2,JobGroupName2,CreateTime,Creator,ModifyTime,Modifier) VALUES ('14020080','2','核能電廠行政人員','','','','',getdate(),'Alvin',getdate(),'Alvin')</v>
      </c>
    </row>
    <row r="761" spans="2:13" ht="13.8">
      <c r="B761" s="15">
        <v>14020081</v>
      </c>
      <c r="C761" s="15">
        <v>4</v>
      </c>
      <c r="D761" s="15" t="s">
        <v>2242</v>
      </c>
      <c r="E761" s="15" t="s">
        <v>758</v>
      </c>
      <c r="F761" s="15" t="s">
        <v>758</v>
      </c>
      <c r="G761" s="15" t="s">
        <v>758</v>
      </c>
      <c r="H761" s="15" t="s">
        <v>758</v>
      </c>
      <c r="I761" s="15" t="s">
        <v>2895</v>
      </c>
      <c r="J761" s="15" t="s">
        <v>755</v>
      </c>
      <c r="K761" s="15" t="s">
        <v>2895</v>
      </c>
      <c r="L761" s="15" t="s">
        <v>755</v>
      </c>
      <c r="M761" s="15" t="str">
        <f t="shared" si="11"/>
        <v>insert into dbo.LifeInsJobCode (JobCode,JobGrade,JobDescription,JobGroupCode1,JobGroupName1,JobGroupCode2,JobGroupName2,CreateTime,Creator,ModifyTime,Modifier) VALUES ('14020081','4','核電廠工作人員','','','','',getdate(),'Alvin',getdate(),'Alvin')</v>
      </c>
    </row>
    <row r="762" spans="2:13" ht="13.8">
      <c r="B762" s="15" t="s">
        <v>2243</v>
      </c>
      <c r="C762" s="15">
        <v>2</v>
      </c>
      <c r="D762" s="15" t="s">
        <v>3311</v>
      </c>
      <c r="E762" s="15" t="s">
        <v>758</v>
      </c>
      <c r="F762" s="15" t="s">
        <v>758</v>
      </c>
      <c r="G762" s="15" t="s">
        <v>758</v>
      </c>
      <c r="H762" s="15" t="s">
        <v>758</v>
      </c>
      <c r="I762" s="15" t="s">
        <v>2895</v>
      </c>
      <c r="J762" s="15" t="s">
        <v>755</v>
      </c>
      <c r="K762" s="15" t="s">
        <v>2895</v>
      </c>
      <c r="L762" s="15" t="s">
        <v>755</v>
      </c>
      <c r="M762" s="15" t="str">
        <f t="shared" si="11"/>
        <v>insert into dbo.LifeInsJobCode (JobCode,JobGrade,JobDescription,JobGroupCode1,JobGroupName1,JobGroupCode2,JobGroupName2,CreateTime,Creator,ModifyTime,Modifier) VALUES ('14020090','2','設計工程師(含現場監工)','','','','',getdate(),'Alvin',getdate(),'Alvin')</v>
      </c>
    </row>
    <row r="763" spans="2:13" ht="13.8">
      <c r="B763" s="15" t="s">
        <v>2244</v>
      </c>
      <c r="C763" s="15">
        <v>4</v>
      </c>
      <c r="D763" s="15" t="s">
        <v>2245</v>
      </c>
      <c r="E763" s="15" t="s">
        <v>758</v>
      </c>
      <c r="F763" s="15" t="s">
        <v>758</v>
      </c>
      <c r="G763" s="15" t="s">
        <v>758</v>
      </c>
      <c r="H763" s="15" t="s">
        <v>758</v>
      </c>
      <c r="I763" s="15" t="s">
        <v>2895</v>
      </c>
      <c r="J763" s="15" t="s">
        <v>755</v>
      </c>
      <c r="K763" s="15" t="s">
        <v>2895</v>
      </c>
      <c r="L763" s="15" t="s">
        <v>755</v>
      </c>
      <c r="M763" s="15" t="str">
        <f t="shared" si="11"/>
        <v>insert into dbo.LifeInsJobCode (JobCode,JobGrade,JobDescription,JobGroupCode1,JobGroupName1,JobGroupCode2,JobGroupName2,CreateTime,Creator,ModifyTime,Modifier) VALUES ('14020100','4','水力、火力發電廠工作人員','','','','',getdate(),'Alvin',getdate(),'Alvin')</v>
      </c>
    </row>
    <row r="764" spans="2:13" ht="13.8">
      <c r="B764" s="15" t="s">
        <v>2246</v>
      </c>
      <c r="C764" s="15">
        <v>7</v>
      </c>
      <c r="D764" s="15" t="s">
        <v>2247</v>
      </c>
      <c r="E764" s="15" t="s">
        <v>758</v>
      </c>
      <c r="F764" s="15" t="s">
        <v>758</v>
      </c>
      <c r="G764" s="15" t="s">
        <v>758</v>
      </c>
      <c r="H764" s="15" t="s">
        <v>758</v>
      </c>
      <c r="I764" s="15" t="s">
        <v>2895</v>
      </c>
      <c r="J764" s="15" t="s">
        <v>755</v>
      </c>
      <c r="K764" s="15" t="s">
        <v>2895</v>
      </c>
      <c r="L764" s="15" t="s">
        <v>755</v>
      </c>
      <c r="M764" s="15" t="str">
        <f t="shared" si="11"/>
        <v>insert into dbo.LifeInsJobCode (JobCode,JobGrade,JobDescription,JobGroupCode1,JobGroupName1,JobGroupCode2,JobGroupName2,CreateTime,Creator,ModifyTime,Modifier) VALUES ('14020110','7','核廢料處理人員','','','','',getdate(),'Alvin',getdate(),'Alvin')</v>
      </c>
    </row>
    <row r="765" spans="2:13" ht="13.8">
      <c r="B765" s="15" t="s">
        <v>2248</v>
      </c>
      <c r="C765" s="15">
        <v>6</v>
      </c>
      <c r="D765" s="15" t="s">
        <v>3312</v>
      </c>
      <c r="E765" s="15" t="s">
        <v>758</v>
      </c>
      <c r="F765" s="15" t="s">
        <v>758</v>
      </c>
      <c r="G765" s="15" t="s">
        <v>758</v>
      </c>
      <c r="H765" s="15" t="s">
        <v>758</v>
      </c>
      <c r="I765" s="15" t="s">
        <v>2895</v>
      </c>
      <c r="J765" s="15" t="s">
        <v>755</v>
      </c>
      <c r="K765" s="15" t="s">
        <v>2895</v>
      </c>
      <c r="L765" s="15" t="s">
        <v>755</v>
      </c>
      <c r="M765" s="15" t="str">
        <f t="shared" si="11"/>
        <v>insert into dbo.LifeInsJobCode (JobCode,JobGrade,JobDescription,JobGroupCode1,JobGroupName1,JobGroupCode2,JobGroupName2,CreateTime,Creator,ModifyTime,Modifier) VALUES ('14020120','6','核能工作人員(核工系、中研院、中科院、台電核工人員)','','','','',getdate(),'Alvin',getdate(),'Alvin')</v>
      </c>
    </row>
    <row r="766" spans="2:13" ht="13.8">
      <c r="B766" s="15" t="s">
        <v>2249</v>
      </c>
      <c r="C766" s="15">
        <v>2</v>
      </c>
      <c r="D766" s="15" t="s">
        <v>958</v>
      </c>
      <c r="E766" s="15" t="s">
        <v>758</v>
      </c>
      <c r="F766" s="15" t="s">
        <v>758</v>
      </c>
      <c r="G766" s="15" t="s">
        <v>2250</v>
      </c>
      <c r="H766" s="15" t="s">
        <v>2251</v>
      </c>
      <c r="I766" s="15" t="s">
        <v>2895</v>
      </c>
      <c r="J766" s="15" t="s">
        <v>755</v>
      </c>
      <c r="K766" s="15" t="s">
        <v>2895</v>
      </c>
      <c r="L766" s="15" t="s">
        <v>755</v>
      </c>
      <c r="M766" s="15" t="str">
        <f t="shared" si="11"/>
        <v>insert into dbo.LifeInsJobCode (JobCode,JobGrade,JobDescription,JobGroupCode1,JobGroupName1,JobGroupCode2,JobGroupName2,CreateTime,Creator,ModifyTime,Modifier) VALUES ('14030010','2','工程師','','','1403','自來水水利',getdate(),'Alvin',getdate(),'Alvin')</v>
      </c>
    </row>
    <row r="767" spans="2:13" ht="13.8">
      <c r="B767" s="15" t="s">
        <v>2252</v>
      </c>
      <c r="C767" s="15">
        <v>3</v>
      </c>
      <c r="D767" s="15" t="s">
        <v>2253</v>
      </c>
      <c r="E767" s="15" t="s">
        <v>758</v>
      </c>
      <c r="F767" s="15" t="s">
        <v>758</v>
      </c>
      <c r="G767" s="15" t="s">
        <v>758</v>
      </c>
      <c r="H767" s="15" t="s">
        <v>758</v>
      </c>
      <c r="I767" s="15" t="s">
        <v>2895</v>
      </c>
      <c r="J767" s="15" t="s">
        <v>755</v>
      </c>
      <c r="K767" s="15" t="s">
        <v>2895</v>
      </c>
      <c r="L767" s="15" t="s">
        <v>755</v>
      </c>
      <c r="M767" s="15" t="str">
        <f t="shared" si="11"/>
        <v>insert into dbo.LifeInsJobCode (JobCode,JobGrade,JobDescription,JobGroupCode1,JobGroupName1,JobGroupCode2,JobGroupName2,CreateTime,Creator,ModifyTime,Modifier) VALUES ('14030020','3','水壩、水庫管理人員','','','','',getdate(),'Alvin',getdate(),'Alvin')</v>
      </c>
    </row>
    <row r="768" spans="2:13" ht="13.8">
      <c r="B768" s="15" t="s">
        <v>2254</v>
      </c>
      <c r="C768" s="15">
        <v>4</v>
      </c>
      <c r="D768" s="15" t="s">
        <v>2255</v>
      </c>
      <c r="E768" s="15" t="s">
        <v>758</v>
      </c>
      <c r="F768" s="15" t="s">
        <v>758</v>
      </c>
      <c r="G768" s="15" t="s">
        <v>758</v>
      </c>
      <c r="H768" s="15" t="s">
        <v>758</v>
      </c>
      <c r="I768" s="15" t="s">
        <v>2895</v>
      </c>
      <c r="J768" s="15" t="s">
        <v>755</v>
      </c>
      <c r="K768" s="15" t="s">
        <v>2895</v>
      </c>
      <c r="L768" s="15" t="s">
        <v>755</v>
      </c>
      <c r="M768" s="15" t="str">
        <f t="shared" si="11"/>
        <v>insert into dbo.LifeInsJobCode (JobCode,JobGrade,JobDescription,JobGroupCode1,JobGroupName1,JobGroupCode2,JobGroupName2,CreateTime,Creator,ModifyTime,Modifier) VALUES ('14030030','4','水利工程設施人員','','','','',getdate(),'Alvin',getdate(),'Alvin')</v>
      </c>
    </row>
    <row r="769" spans="2:13" ht="13.8">
      <c r="B769" s="15" t="s">
        <v>2256</v>
      </c>
      <c r="C769" s="15">
        <v>3</v>
      </c>
      <c r="D769" s="15" t="s">
        <v>2257</v>
      </c>
      <c r="E769" s="15" t="s">
        <v>758</v>
      </c>
      <c r="F769" s="15" t="s">
        <v>758</v>
      </c>
      <c r="G769" s="15" t="s">
        <v>758</v>
      </c>
      <c r="H769" s="15" t="s">
        <v>758</v>
      </c>
      <c r="I769" s="15" t="s">
        <v>2895</v>
      </c>
      <c r="J769" s="15" t="s">
        <v>755</v>
      </c>
      <c r="K769" s="15" t="s">
        <v>2895</v>
      </c>
      <c r="L769" s="15" t="s">
        <v>755</v>
      </c>
      <c r="M769" s="15" t="str">
        <f t="shared" si="11"/>
        <v>insert into dbo.LifeInsJobCode (JobCode,JobGrade,JobDescription,JobGroupCode1,JobGroupName1,JobGroupCode2,JobGroupName2,CreateTime,Creator,ModifyTime,Modifier) VALUES ('14030040','3','自來水管裝修人員','','','','',getdate(),'Alvin',getdate(),'Alvin')</v>
      </c>
    </row>
    <row r="770" spans="2:13" ht="13.8">
      <c r="B770" s="15" t="s">
        <v>2258</v>
      </c>
      <c r="C770" s="15">
        <v>2</v>
      </c>
      <c r="D770" s="15" t="s">
        <v>2227</v>
      </c>
      <c r="E770" s="15" t="s">
        <v>758</v>
      </c>
      <c r="F770" s="15" t="s">
        <v>758</v>
      </c>
      <c r="G770" s="15" t="s">
        <v>758</v>
      </c>
      <c r="H770" s="15" t="s">
        <v>758</v>
      </c>
      <c r="I770" s="15" t="s">
        <v>2895</v>
      </c>
      <c r="J770" s="15" t="s">
        <v>755</v>
      </c>
      <c r="K770" s="15" t="s">
        <v>2895</v>
      </c>
      <c r="L770" s="15" t="s">
        <v>755</v>
      </c>
      <c r="M770" s="15" t="str">
        <f t="shared" ref="M770:M833" si="12">$M$1 &amp; " VALUES ('"&amp;B770&amp;"','"&amp;C770&amp;"','"&amp;D770&amp;"','"&amp;E770&amp;"','"&amp;F770&amp;"','"&amp;G770&amp;"','"&amp;H770&amp;"',"&amp;I770&amp;",'"&amp;J770&amp;"',"&amp;K770&amp;",'"&amp;L770&amp;"')"</f>
        <v>insert into dbo.LifeInsJobCode (JobCode,JobGrade,JobDescription,JobGroupCode1,JobGroupName1,JobGroupCode2,JobGroupName2,CreateTime,Creator,ModifyTime,Modifier) VALUES ('14030050','2','抄錶員、收費員','','','','',getdate(),'Alvin',getdate(),'Alvin')</v>
      </c>
    </row>
    <row r="771" spans="2:13" ht="13.8">
      <c r="B771" s="15" t="s">
        <v>2259</v>
      </c>
      <c r="C771" s="15">
        <v>3</v>
      </c>
      <c r="D771" s="15" t="s">
        <v>3313</v>
      </c>
      <c r="E771" s="15" t="s">
        <v>758</v>
      </c>
      <c r="F771" s="15" t="s">
        <v>758</v>
      </c>
      <c r="G771" s="15" t="s">
        <v>758</v>
      </c>
      <c r="H771" s="15" t="s">
        <v>758</v>
      </c>
      <c r="I771" s="15" t="s">
        <v>2895</v>
      </c>
      <c r="J771" s="15" t="s">
        <v>755</v>
      </c>
      <c r="K771" s="15" t="s">
        <v>2895</v>
      </c>
      <c r="L771" s="15" t="s">
        <v>755</v>
      </c>
      <c r="M771" s="15" t="str">
        <f t="shared" si="12"/>
        <v>insert into dbo.LifeInsJobCode (JobCode,JobGrade,JobDescription,JobGroupCode1,JobGroupName1,JobGroupCode2,JobGroupName2,CreateTime,Creator,ModifyTime,Modifier) VALUES ('14030060','3','自來水廠水質分析員(實地)','','','','',getdate(),'Alvin',getdate(),'Alvin')</v>
      </c>
    </row>
    <row r="772" spans="2:13" ht="13.8">
      <c r="B772" s="15" t="s">
        <v>2260</v>
      </c>
      <c r="C772" s="15">
        <v>3</v>
      </c>
      <c r="D772" s="15" t="s">
        <v>3344</v>
      </c>
      <c r="E772" s="15" t="s">
        <v>758</v>
      </c>
      <c r="F772" s="15" t="s">
        <v>758</v>
      </c>
      <c r="G772" s="15" t="s">
        <v>758</v>
      </c>
      <c r="H772" s="15" t="s">
        <v>758</v>
      </c>
      <c r="I772" s="15" t="s">
        <v>2895</v>
      </c>
      <c r="J772" s="15" t="s">
        <v>755</v>
      </c>
      <c r="K772" s="15" t="s">
        <v>2895</v>
      </c>
      <c r="L772" s="15" t="s">
        <v>755</v>
      </c>
      <c r="M772" s="15" t="str">
        <f t="shared" si="12"/>
        <v>insert into dbo.LifeInsJobCode (JobCode,JobGrade,JobDescription,JobGroupCode1,JobGroupName1,JobGroupCode2,JobGroupName2,CreateTime,Creator,ModifyTime,Modifier) VALUES ('14030070','3','巡水員','','','','',getdate(),'Alvin',getdate(),'Alvin')</v>
      </c>
    </row>
    <row r="773" spans="2:13" ht="13.8">
      <c r="B773" s="15" t="s">
        <v>2261</v>
      </c>
      <c r="C773" s="15">
        <v>2</v>
      </c>
      <c r="D773" s="15" t="s">
        <v>958</v>
      </c>
      <c r="E773" s="15" t="s">
        <v>758</v>
      </c>
      <c r="F773" s="15" t="s">
        <v>758</v>
      </c>
      <c r="G773" s="15" t="s">
        <v>2262</v>
      </c>
      <c r="H773" s="15" t="s">
        <v>2263</v>
      </c>
      <c r="I773" s="15" t="s">
        <v>2895</v>
      </c>
      <c r="J773" s="15" t="s">
        <v>755</v>
      </c>
      <c r="K773" s="15" t="s">
        <v>2895</v>
      </c>
      <c r="L773" s="15" t="s">
        <v>755</v>
      </c>
      <c r="M773" s="15" t="str">
        <f t="shared" si="12"/>
        <v>insert into dbo.LifeInsJobCode (JobCode,JobGrade,JobDescription,JobGroupCode1,JobGroupName1,JobGroupCode2,JobGroupName2,CreateTime,Creator,ModifyTime,Modifier) VALUES ('14040010','2','工程師','','','1404','瓦斯',getdate(),'Alvin',getdate(),'Alvin')</v>
      </c>
    </row>
    <row r="774" spans="2:13" ht="13.8">
      <c r="B774" s="15" t="s">
        <v>2264</v>
      </c>
      <c r="C774" s="15">
        <v>3</v>
      </c>
      <c r="D774" s="15" t="s">
        <v>2265</v>
      </c>
      <c r="E774" s="15" t="s">
        <v>758</v>
      </c>
      <c r="F774" s="15" t="s">
        <v>758</v>
      </c>
      <c r="G774" s="15" t="s">
        <v>758</v>
      </c>
      <c r="H774" s="15" t="s">
        <v>758</v>
      </c>
      <c r="I774" s="15" t="s">
        <v>2895</v>
      </c>
      <c r="J774" s="15" t="s">
        <v>755</v>
      </c>
      <c r="K774" s="15" t="s">
        <v>2895</v>
      </c>
      <c r="L774" s="15" t="s">
        <v>755</v>
      </c>
      <c r="M774" s="15" t="str">
        <f t="shared" si="12"/>
        <v>insert into dbo.LifeInsJobCode (JobCode,JobGrade,JobDescription,JobGroupCode1,JobGroupName1,JobGroupCode2,JobGroupName2,CreateTime,Creator,ModifyTime,Modifier) VALUES ('14040020','3','管線裝修工','','','','',getdate(),'Alvin',getdate(),'Alvin')</v>
      </c>
    </row>
    <row r="775" spans="2:13" ht="13.8">
      <c r="B775" s="15" t="s">
        <v>2266</v>
      </c>
      <c r="C775" s="15">
        <v>2</v>
      </c>
      <c r="D775" s="15" t="s">
        <v>2267</v>
      </c>
      <c r="E775" s="15" t="s">
        <v>758</v>
      </c>
      <c r="F775" s="15" t="s">
        <v>758</v>
      </c>
      <c r="G775" s="15" t="s">
        <v>758</v>
      </c>
      <c r="H775" s="15" t="s">
        <v>758</v>
      </c>
      <c r="I775" s="15" t="s">
        <v>2895</v>
      </c>
      <c r="J775" s="15" t="s">
        <v>755</v>
      </c>
      <c r="K775" s="15" t="s">
        <v>2895</v>
      </c>
      <c r="L775" s="15" t="s">
        <v>755</v>
      </c>
      <c r="M775" s="15" t="str">
        <f t="shared" si="12"/>
        <v>insert into dbo.LifeInsJobCode (JobCode,JobGrade,JobDescription,JobGroupCode1,JobGroupName1,JobGroupCode2,JobGroupName2,CreateTime,Creator,ModifyTime,Modifier) VALUES ('14040030','2','收費員、抄錶員','','','','',getdate(),'Alvin',getdate(),'Alvin')</v>
      </c>
    </row>
    <row r="776" spans="2:13" ht="13.8">
      <c r="B776" s="15" t="s">
        <v>2268</v>
      </c>
      <c r="C776" s="15">
        <v>2</v>
      </c>
      <c r="D776" s="15" t="s">
        <v>860</v>
      </c>
      <c r="E776" s="15" t="s">
        <v>758</v>
      </c>
      <c r="F776" s="15" t="s">
        <v>758</v>
      </c>
      <c r="G776" s="15" t="s">
        <v>758</v>
      </c>
      <c r="H776" s="15" t="s">
        <v>758</v>
      </c>
      <c r="I776" s="15" t="s">
        <v>2895</v>
      </c>
      <c r="J776" s="15" t="s">
        <v>755</v>
      </c>
      <c r="K776" s="15" t="s">
        <v>2895</v>
      </c>
      <c r="L776" s="15" t="s">
        <v>755</v>
      </c>
      <c r="M776" s="15" t="str">
        <f t="shared" si="12"/>
        <v>insert into dbo.LifeInsJobCode (JobCode,JobGrade,JobDescription,JobGroupCode1,JobGroupName1,JobGroupCode2,JobGroupName2,CreateTime,Creator,ModifyTime,Modifier) VALUES ('14040040','2','檢查員','','','','',getdate(),'Alvin',getdate(),'Alvin')</v>
      </c>
    </row>
    <row r="777" spans="2:13" ht="13.8">
      <c r="B777" s="15" t="s">
        <v>2269</v>
      </c>
      <c r="C777" s="15">
        <v>4</v>
      </c>
      <c r="D777" s="15" t="s">
        <v>2270</v>
      </c>
      <c r="E777" s="15" t="s">
        <v>758</v>
      </c>
      <c r="F777" s="15" t="s">
        <v>758</v>
      </c>
      <c r="G777" s="15" t="s">
        <v>758</v>
      </c>
      <c r="H777" s="15" t="s">
        <v>758</v>
      </c>
      <c r="I777" s="15" t="s">
        <v>2895</v>
      </c>
      <c r="J777" s="15" t="s">
        <v>755</v>
      </c>
      <c r="K777" s="15" t="s">
        <v>2895</v>
      </c>
      <c r="L777" s="15" t="s">
        <v>755</v>
      </c>
      <c r="M777" s="15" t="str">
        <f t="shared" si="12"/>
        <v>insert into dbo.LifeInsJobCode (JobCode,JobGrade,JobDescription,JobGroupCode1,JobGroupName1,JobGroupCode2,JobGroupName2,CreateTime,Creator,ModifyTime,Modifier) VALUES ('14040050','4','瓦斯器具製造工','','','','',getdate(),'Alvin',getdate(),'Alvin')</v>
      </c>
    </row>
    <row r="778" spans="2:13" ht="13.8">
      <c r="B778" s="15" t="s">
        <v>2271</v>
      </c>
      <c r="C778" s="15">
        <v>2</v>
      </c>
      <c r="D778" s="15" t="s">
        <v>2272</v>
      </c>
      <c r="E778" s="15" t="s">
        <v>758</v>
      </c>
      <c r="F778" s="15" t="s">
        <v>758</v>
      </c>
      <c r="G778" s="15" t="s">
        <v>2273</v>
      </c>
      <c r="H778" s="15" t="s">
        <v>2274</v>
      </c>
      <c r="I778" s="15" t="s">
        <v>2895</v>
      </c>
      <c r="J778" s="15" t="s">
        <v>755</v>
      </c>
      <c r="K778" s="15" t="s">
        <v>2895</v>
      </c>
      <c r="L778" s="15" t="s">
        <v>755</v>
      </c>
      <c r="M778" s="15" t="str">
        <f t="shared" si="12"/>
        <v>insert into dbo.LifeInsJobCode (JobCode,JobGrade,JobDescription,JobGroupCode1,JobGroupName1,JobGroupCode2,JobGroupName2,CreateTime,Creator,ModifyTime,Modifier) VALUES ('14050010','2','探測員','','','1405','環境保護',getdate(),'Alvin',getdate(),'Alvin')</v>
      </c>
    </row>
    <row r="779" spans="2:13" ht="13.8">
      <c r="B779" s="15" t="s">
        <v>2275</v>
      </c>
      <c r="C779" s="15">
        <v>3</v>
      </c>
      <c r="D779" s="15" t="s">
        <v>1495</v>
      </c>
      <c r="E779" s="15" t="s">
        <v>758</v>
      </c>
      <c r="F779" s="15" t="s">
        <v>758</v>
      </c>
      <c r="G779" s="15" t="s">
        <v>758</v>
      </c>
      <c r="H779" s="15" t="s">
        <v>758</v>
      </c>
      <c r="I779" s="15" t="s">
        <v>2895</v>
      </c>
      <c r="J779" s="15" t="s">
        <v>755</v>
      </c>
      <c r="K779" s="15" t="s">
        <v>2895</v>
      </c>
      <c r="L779" s="15" t="s">
        <v>755</v>
      </c>
      <c r="M779" s="15" t="str">
        <f t="shared" si="12"/>
        <v>insert into dbo.LifeInsJobCode (JobCode,JobGrade,JobDescription,JobGroupCode1,JobGroupName1,JobGroupCode2,JobGroupName2,CreateTime,Creator,ModifyTime,Modifier) VALUES ('14050020','3','技師','','','','',getdate(),'Alvin',getdate(),'Alvin')</v>
      </c>
    </row>
    <row r="780" spans="2:13" ht="13.8">
      <c r="B780" s="15" t="s">
        <v>2276</v>
      </c>
      <c r="C780" s="15">
        <v>3</v>
      </c>
      <c r="D780" s="15" t="s">
        <v>2277</v>
      </c>
      <c r="E780" s="15" t="s">
        <v>758</v>
      </c>
      <c r="F780" s="15" t="s">
        <v>758</v>
      </c>
      <c r="G780" s="15" t="s">
        <v>758</v>
      </c>
      <c r="H780" s="15" t="s">
        <v>758</v>
      </c>
      <c r="I780" s="15" t="s">
        <v>2895</v>
      </c>
      <c r="J780" s="15" t="s">
        <v>755</v>
      </c>
      <c r="K780" s="15" t="s">
        <v>2895</v>
      </c>
      <c r="L780" s="15" t="s">
        <v>755</v>
      </c>
      <c r="M780" s="15" t="str">
        <f t="shared" si="12"/>
        <v>insert into dbo.LifeInsJobCode (JobCode,JobGrade,JobDescription,JobGroupCode1,JobGroupName1,JobGroupCode2,JobGroupName2,CreateTime,Creator,ModifyTime,Modifier) VALUES ('14050030','3','一般工廠環保人員','','','','',getdate(),'Alvin',getdate(),'Alvin')</v>
      </c>
    </row>
    <row r="781" spans="2:13" ht="13.8">
      <c r="B781" s="15" t="s">
        <v>2278</v>
      </c>
      <c r="C781" s="15">
        <v>3</v>
      </c>
      <c r="D781" s="15" t="s">
        <v>2279</v>
      </c>
      <c r="E781" s="15" t="s">
        <v>758</v>
      </c>
      <c r="F781" s="15" t="s">
        <v>758</v>
      </c>
      <c r="G781" s="15" t="s">
        <v>758</v>
      </c>
      <c r="H781" s="15" t="s">
        <v>758</v>
      </c>
      <c r="I781" s="15" t="s">
        <v>2895</v>
      </c>
      <c r="J781" s="15" t="s">
        <v>755</v>
      </c>
      <c r="K781" s="15" t="s">
        <v>2895</v>
      </c>
      <c r="L781" s="15" t="s">
        <v>755</v>
      </c>
      <c r="M781" s="15" t="str">
        <f t="shared" si="12"/>
        <v>insert into dbo.LifeInsJobCode (JobCode,JobGrade,JobDescription,JobGroupCode1,JobGroupName1,JobGroupCode2,JobGroupName2,CreateTime,Creator,ModifyTime,Modifier) VALUES ('14050040','3','道路清潔工','','','','',getdate(),'Alvin',getdate(),'Alvin')</v>
      </c>
    </row>
    <row r="782" spans="2:13" ht="13.8">
      <c r="B782" s="15" t="s">
        <v>2280</v>
      </c>
      <c r="C782" s="15">
        <v>3</v>
      </c>
      <c r="D782" s="15" t="s">
        <v>2281</v>
      </c>
      <c r="E782" s="15" t="s">
        <v>758</v>
      </c>
      <c r="F782" s="15" t="s">
        <v>758</v>
      </c>
      <c r="G782" s="15" t="s">
        <v>758</v>
      </c>
      <c r="H782" s="15" t="s">
        <v>758</v>
      </c>
      <c r="I782" s="15" t="s">
        <v>2895</v>
      </c>
      <c r="J782" s="15" t="s">
        <v>755</v>
      </c>
      <c r="K782" s="15" t="s">
        <v>2895</v>
      </c>
      <c r="L782" s="15" t="s">
        <v>755</v>
      </c>
      <c r="M782" s="15" t="str">
        <f t="shared" si="12"/>
        <v>insert into dbo.LifeInsJobCode (JobCode,JobGrade,JobDescription,JobGroupCode1,JobGroupName1,JobGroupCode2,JobGroupName2,CreateTime,Creator,ModifyTime,Modifier) VALUES ('14050050','3','環保稽核巡查人員、垃圾車駕駛及清潔隊員','','','','',getdate(),'Alvin',getdate(),'Alvin')</v>
      </c>
    </row>
    <row r="783" spans="2:13" ht="13.8">
      <c r="B783" s="15" t="s">
        <v>2282</v>
      </c>
      <c r="C783" s="15">
        <v>3</v>
      </c>
      <c r="D783" s="15" t="s">
        <v>2283</v>
      </c>
      <c r="E783" s="15" t="s">
        <v>758</v>
      </c>
      <c r="F783" s="15" t="s">
        <v>758</v>
      </c>
      <c r="G783" s="15" t="s">
        <v>758</v>
      </c>
      <c r="H783" s="15" t="s">
        <v>758</v>
      </c>
      <c r="I783" s="15" t="s">
        <v>2895</v>
      </c>
      <c r="J783" s="15" t="s">
        <v>755</v>
      </c>
      <c r="K783" s="15" t="s">
        <v>2895</v>
      </c>
      <c r="L783" s="15" t="s">
        <v>755</v>
      </c>
      <c r="M783" s="15" t="str">
        <f t="shared" si="12"/>
        <v>insert into dbo.LifeInsJobCode (JobCode,JobGrade,JobDescription,JobGroupCode1,JobGroupName1,JobGroupCode2,JobGroupName2,CreateTime,Creator,ModifyTime,Modifier) VALUES ('14050060','3','捕狗大隊','','','','',getdate(),'Alvin',getdate(),'Alvin')</v>
      </c>
    </row>
    <row r="784" spans="2:13" ht="13.8">
      <c r="B784" s="15" t="s">
        <v>2284</v>
      </c>
      <c r="C784" s="15">
        <v>4</v>
      </c>
      <c r="D784" s="15" t="s">
        <v>2285</v>
      </c>
      <c r="E784" s="15" t="s">
        <v>758</v>
      </c>
      <c r="F784" s="15" t="s">
        <v>758</v>
      </c>
      <c r="G784" s="15" t="s">
        <v>758</v>
      </c>
      <c r="H784" s="15" t="s">
        <v>758</v>
      </c>
      <c r="I784" s="15" t="s">
        <v>2895</v>
      </c>
      <c r="J784" s="15" t="s">
        <v>755</v>
      </c>
      <c r="K784" s="15" t="s">
        <v>2895</v>
      </c>
      <c r="L784" s="15" t="s">
        <v>755</v>
      </c>
      <c r="M784" s="15" t="str">
        <f t="shared" si="12"/>
        <v>insert into dbo.LifeInsJobCode (JobCode,JobGrade,JobDescription,JobGroupCode1,JobGroupName1,JobGroupCode2,JobGroupName2,CreateTime,Creator,ModifyTime,Modifier) VALUES ('14050070','4','化學工程環保人員','','','','',getdate(),'Alvin',getdate(),'Alvin')</v>
      </c>
    </row>
    <row r="785" spans="2:13" ht="13.8">
      <c r="B785" s="15" t="s">
        <v>2286</v>
      </c>
      <c r="C785" s="15">
        <v>4</v>
      </c>
      <c r="D785" s="15" t="s">
        <v>2287</v>
      </c>
      <c r="E785" s="15" t="s">
        <v>758</v>
      </c>
      <c r="F785" s="15" t="s">
        <v>758</v>
      </c>
      <c r="G785" s="15" t="s">
        <v>758</v>
      </c>
      <c r="H785" s="15" t="s">
        <v>758</v>
      </c>
      <c r="I785" s="15" t="s">
        <v>2895</v>
      </c>
      <c r="J785" s="15" t="s">
        <v>755</v>
      </c>
      <c r="K785" s="15" t="s">
        <v>2895</v>
      </c>
      <c r="L785" s="15" t="s">
        <v>755</v>
      </c>
      <c r="M785" s="15" t="str">
        <f t="shared" si="12"/>
        <v>insert into dbo.LifeInsJobCode (JobCode,JobGrade,JobDescription,JobGroupCode1,JobGroupName1,JobGroupCode2,JobGroupName2,CreateTime,Creator,ModifyTime,Modifier) VALUES ('14050080','4','下水道清潔工','','','','',getdate(),'Alvin',getdate(),'Alvin')</v>
      </c>
    </row>
    <row r="786" spans="2:13" ht="13.8">
      <c r="B786" s="15" t="s">
        <v>2288</v>
      </c>
      <c r="C786" s="15">
        <v>5</v>
      </c>
      <c r="D786" s="15" t="s">
        <v>2289</v>
      </c>
      <c r="E786" s="15" t="s">
        <v>758</v>
      </c>
      <c r="F786" s="15" t="s">
        <v>758</v>
      </c>
      <c r="G786" s="15" t="s">
        <v>758</v>
      </c>
      <c r="H786" s="15" t="s">
        <v>758</v>
      </c>
      <c r="I786" s="15" t="s">
        <v>2895</v>
      </c>
      <c r="J786" s="15" t="s">
        <v>755</v>
      </c>
      <c r="K786" s="15" t="s">
        <v>2895</v>
      </c>
      <c r="L786" s="15" t="s">
        <v>755</v>
      </c>
      <c r="M786" s="15" t="str">
        <f t="shared" si="12"/>
        <v>insert into dbo.LifeInsJobCode (JobCode,JobGrade,JobDescription,JobGroupCode1,JobGroupName1,JobGroupCode2,JobGroupName2,CreateTime,Creator,ModifyTime,Modifier) VALUES ('14050090','5','儲油槽、儲氣槽清理人員','','','','',getdate(),'Alvin',getdate(),'Alvin')</v>
      </c>
    </row>
    <row r="787" spans="2:13" ht="13.8">
      <c r="B787" s="15" t="s">
        <v>2290</v>
      </c>
      <c r="C787" s="15">
        <v>7</v>
      </c>
      <c r="D787" s="15" t="s">
        <v>2291</v>
      </c>
      <c r="E787" s="15" t="s">
        <v>758</v>
      </c>
      <c r="F787" s="15" t="s">
        <v>758</v>
      </c>
      <c r="G787" s="15" t="s">
        <v>758</v>
      </c>
      <c r="H787" s="15" t="s">
        <v>758</v>
      </c>
      <c r="I787" s="15" t="s">
        <v>2895</v>
      </c>
      <c r="J787" s="15" t="s">
        <v>755</v>
      </c>
      <c r="K787" s="15" t="s">
        <v>2895</v>
      </c>
      <c r="L787" s="15" t="s">
        <v>755</v>
      </c>
      <c r="M787" s="15" t="str">
        <f t="shared" si="12"/>
        <v>insert into dbo.LifeInsJobCode (JobCode,JobGrade,JobDescription,JobGroupCode1,JobGroupName1,JobGroupCode2,JobGroupName2,CreateTime,Creator,ModifyTime,Modifier) VALUES ('14050100','7','海上油污處理人員','','','','',getdate(),'Alvin',getdate(),'Alvin')</v>
      </c>
    </row>
    <row r="788" spans="2:13" ht="13.8">
      <c r="B788" s="15" t="s">
        <v>2292</v>
      </c>
      <c r="C788" s="15">
        <v>3</v>
      </c>
      <c r="D788" s="15" t="s">
        <v>2293</v>
      </c>
      <c r="E788" s="15" t="s">
        <v>758</v>
      </c>
      <c r="F788" s="15" t="s">
        <v>758</v>
      </c>
      <c r="G788" s="15" t="s">
        <v>758</v>
      </c>
      <c r="H788" s="15" t="s">
        <v>758</v>
      </c>
      <c r="I788" s="15" t="s">
        <v>2895</v>
      </c>
      <c r="J788" s="15" t="s">
        <v>755</v>
      </c>
      <c r="K788" s="15" t="s">
        <v>2895</v>
      </c>
      <c r="L788" s="15" t="s">
        <v>755</v>
      </c>
      <c r="M788" s="15" t="str">
        <f t="shared" si="12"/>
        <v>insert into dbo.LifeInsJobCode (JobCode,JobGrade,JobDescription,JobGroupCode1,JobGroupName1,JobGroupCode2,JobGroupName2,CreateTime,Creator,ModifyTime,Modifier) VALUES ('14050110','3','資源回收站分類人員','','','','',getdate(),'Alvin',getdate(),'Alvin')</v>
      </c>
    </row>
    <row r="789" spans="2:13" ht="13.8">
      <c r="B789" s="15" t="s">
        <v>2294</v>
      </c>
      <c r="C789" s="15">
        <v>2</v>
      </c>
      <c r="D789" s="15" t="s">
        <v>2295</v>
      </c>
      <c r="E789" s="15" t="s">
        <v>758</v>
      </c>
      <c r="F789" s="15" t="s">
        <v>758</v>
      </c>
      <c r="G789" s="15" t="s">
        <v>758</v>
      </c>
      <c r="H789" s="15" t="s">
        <v>758</v>
      </c>
      <c r="I789" s="15" t="s">
        <v>2895</v>
      </c>
      <c r="J789" s="15" t="s">
        <v>755</v>
      </c>
      <c r="K789" s="15" t="s">
        <v>2895</v>
      </c>
      <c r="L789" s="15" t="s">
        <v>755</v>
      </c>
      <c r="M789" s="15" t="str">
        <f t="shared" si="12"/>
        <v>insert into dbo.LifeInsJobCode (JobCode,JobGrade,JobDescription,JobGroupCode1,JobGroupName1,JobGroupCode2,JobGroupName2,CreateTime,Creator,ModifyTime,Modifier) VALUES ('14050120','2','環境噴灑工人','','','','',getdate(),'Alvin',getdate(),'Alvin')</v>
      </c>
    </row>
    <row r="790" spans="2:13" ht="13.8">
      <c r="B790" s="15" t="s">
        <v>2296</v>
      </c>
      <c r="C790" s="15">
        <v>3</v>
      </c>
      <c r="D790" s="15" t="s">
        <v>2297</v>
      </c>
      <c r="E790" s="15" t="s">
        <v>758</v>
      </c>
      <c r="F790" s="15" t="s">
        <v>758</v>
      </c>
      <c r="G790" s="15" t="s">
        <v>758</v>
      </c>
      <c r="H790" s="15" t="s">
        <v>758</v>
      </c>
      <c r="I790" s="15" t="s">
        <v>2895</v>
      </c>
      <c r="J790" s="15" t="s">
        <v>755</v>
      </c>
      <c r="K790" s="15" t="s">
        <v>2895</v>
      </c>
      <c r="L790" s="15" t="s">
        <v>755</v>
      </c>
      <c r="M790" s="15" t="str">
        <f t="shared" si="12"/>
        <v>insert into dbo.LifeInsJobCode (JobCode,JobGrade,JobDescription,JobGroupCode1,JobGroupName1,JobGroupCode2,JobGroupName2,CreateTime,Creator,ModifyTime,Modifier) VALUES ('14050130','3','工廠廢棄物清潔人員','','','','',getdate(),'Alvin',getdate(),'Alvin')</v>
      </c>
    </row>
    <row r="791" spans="2:13" ht="13.8">
      <c r="B791" s="15" t="s">
        <v>2298</v>
      </c>
      <c r="C791" s="15">
        <v>3</v>
      </c>
      <c r="D791" s="15" t="s">
        <v>2299</v>
      </c>
      <c r="E791" s="15" t="s">
        <v>758</v>
      </c>
      <c r="F791" s="15" t="s">
        <v>758</v>
      </c>
      <c r="G791" s="15" t="s">
        <v>758</v>
      </c>
      <c r="H791" s="15" t="s">
        <v>758</v>
      </c>
      <c r="I791" s="15" t="s">
        <v>2895</v>
      </c>
      <c r="J791" s="15" t="s">
        <v>755</v>
      </c>
      <c r="K791" s="15" t="s">
        <v>2895</v>
      </c>
      <c r="L791" s="15" t="s">
        <v>755</v>
      </c>
      <c r="M791" s="15" t="str">
        <f t="shared" si="12"/>
        <v>insert into dbo.LifeInsJobCode (JobCode,JobGrade,JobDescription,JobGroupCode1,JobGroupName1,JobGroupCode2,JobGroupName2,CreateTime,Creator,ModifyTime,Modifier) VALUES ('14050140','3','污水處理(化糞池/水塔清潔人員)','','','','',getdate(),'Alvin',getdate(),'Alvin')</v>
      </c>
    </row>
    <row r="792" spans="2:13" ht="13.8">
      <c r="B792" s="15" t="s">
        <v>2300</v>
      </c>
      <c r="C792" s="15">
        <v>3</v>
      </c>
      <c r="D792" s="15" t="s">
        <v>2301</v>
      </c>
      <c r="E792" s="15" t="s">
        <v>758</v>
      </c>
      <c r="F792" s="15" t="s">
        <v>758</v>
      </c>
      <c r="G792" s="15" t="s">
        <v>758</v>
      </c>
      <c r="H792" s="15" t="s">
        <v>758</v>
      </c>
      <c r="I792" s="15" t="s">
        <v>2895</v>
      </c>
      <c r="J792" s="15" t="s">
        <v>755</v>
      </c>
      <c r="K792" s="15" t="s">
        <v>2895</v>
      </c>
      <c r="L792" s="15" t="s">
        <v>755</v>
      </c>
      <c r="M792" s="15" t="str">
        <f t="shared" si="12"/>
        <v>insert into dbo.LifeInsJobCode (JobCode,JobGrade,JobDescription,JobGroupCode1,JobGroupName1,JobGroupCode2,JobGroupName2,CreateTime,Creator,ModifyTime,Modifier) VALUES ('14050150','3','垃圾焚化爐處理人員','','','','',getdate(),'Alvin',getdate(),'Alvin')</v>
      </c>
    </row>
    <row r="793" spans="2:13" ht="13.8">
      <c r="B793" s="15" t="s">
        <v>2302</v>
      </c>
      <c r="C793" s="15">
        <v>3</v>
      </c>
      <c r="D793" s="15" t="s">
        <v>2303</v>
      </c>
      <c r="E793" s="15" t="s">
        <v>758</v>
      </c>
      <c r="F793" s="15" t="s">
        <v>758</v>
      </c>
      <c r="G793" s="15" t="s">
        <v>758</v>
      </c>
      <c r="H793" s="15" t="s">
        <v>758</v>
      </c>
      <c r="I793" s="15" t="s">
        <v>2895</v>
      </c>
      <c r="J793" s="15" t="s">
        <v>755</v>
      </c>
      <c r="K793" s="15" t="s">
        <v>2895</v>
      </c>
      <c r="L793" s="15" t="s">
        <v>755</v>
      </c>
      <c r="M793" s="15" t="str">
        <f t="shared" si="12"/>
        <v>insert into dbo.LifeInsJobCode (JobCode,JobGrade,JobDescription,JobGroupCode1,JobGroupName1,JobGroupCode2,JobGroupName2,CreateTime,Creator,ModifyTime,Modifier) VALUES ('14050160','3','廢五金處理人員','','','','',getdate(),'Alvin',getdate(),'Alvin')</v>
      </c>
    </row>
    <row r="794" spans="2:13" ht="13.8">
      <c r="B794" s="15" t="s">
        <v>2304</v>
      </c>
      <c r="C794" s="15">
        <v>2</v>
      </c>
      <c r="D794" s="15" t="s">
        <v>2305</v>
      </c>
      <c r="E794" s="15" t="s">
        <v>758</v>
      </c>
      <c r="F794" s="15" t="s">
        <v>758</v>
      </c>
      <c r="G794" s="15" t="s">
        <v>2306</v>
      </c>
      <c r="H794" s="15" t="s">
        <v>2307</v>
      </c>
      <c r="I794" s="15" t="s">
        <v>2895</v>
      </c>
      <c r="J794" s="15" t="s">
        <v>755</v>
      </c>
      <c r="K794" s="15" t="s">
        <v>2895</v>
      </c>
      <c r="L794" s="15" t="s">
        <v>755</v>
      </c>
      <c r="M794" s="15" t="str">
        <f t="shared" si="12"/>
        <v>insert into dbo.LifeInsJobCode (JobCode,JobGrade,JobDescription,JobGroupCode1,JobGroupName1,JobGroupCode2,JobGroupName2,CreateTime,Creator,ModifyTime,Modifier) VALUES ('14060010','2','廠區行政人員','','','1406','石化工業',getdate(),'Alvin',getdate(),'Alvin')</v>
      </c>
    </row>
    <row r="795" spans="2:13" ht="13.8">
      <c r="B795" s="15" t="s">
        <v>2308</v>
      </c>
      <c r="C795" s="15">
        <v>3</v>
      </c>
      <c r="D795" s="15" t="s">
        <v>3345</v>
      </c>
      <c r="E795" s="15" t="s">
        <v>758</v>
      </c>
      <c r="F795" s="15" t="s">
        <v>758</v>
      </c>
      <c r="G795" s="15" t="s">
        <v>758</v>
      </c>
      <c r="H795" s="15" t="s">
        <v>758</v>
      </c>
      <c r="I795" s="15" t="s">
        <v>2895</v>
      </c>
      <c r="J795" s="15" t="s">
        <v>755</v>
      </c>
      <c r="K795" s="15" t="s">
        <v>2895</v>
      </c>
      <c r="L795" s="15" t="s">
        <v>755</v>
      </c>
      <c r="M795" s="15" t="str">
        <f t="shared" si="12"/>
        <v>insert into dbo.LifeInsJobCode (JobCode,JobGrade,JobDescription,JobGroupCode1,JobGroupName1,JobGroupCode2,JobGroupName2,CreateTime,Creator,ModifyTime,Modifier) VALUES ('14060020','3','煉油廠工程師','','','','',getdate(),'Alvin',getdate(),'Alvin')</v>
      </c>
    </row>
    <row r="796" spans="2:13" ht="13.8">
      <c r="B796" s="15" t="s">
        <v>2309</v>
      </c>
      <c r="C796" s="15">
        <v>3</v>
      </c>
      <c r="D796" s="15" t="s">
        <v>3346</v>
      </c>
      <c r="E796" s="15" t="s">
        <v>758</v>
      </c>
      <c r="F796" s="15" t="s">
        <v>758</v>
      </c>
      <c r="G796" s="15" t="s">
        <v>758</v>
      </c>
      <c r="H796" s="15" t="s">
        <v>758</v>
      </c>
      <c r="I796" s="15" t="s">
        <v>2895</v>
      </c>
      <c r="J796" s="15" t="s">
        <v>755</v>
      </c>
      <c r="K796" s="15" t="s">
        <v>2895</v>
      </c>
      <c r="L796" s="15" t="s">
        <v>755</v>
      </c>
      <c r="M796" s="15" t="str">
        <f t="shared" si="12"/>
        <v>insert into dbo.LifeInsJobCode (JobCode,JobGrade,JobDescription,JobGroupCode1,JobGroupName1,JobGroupCode2,JobGroupName2,CreateTime,Creator,ModifyTime,Modifier) VALUES ('14060030','3','煉油廠領班','','','','',getdate(),'Alvin',getdate(),'Alvin')</v>
      </c>
    </row>
    <row r="797" spans="2:13" ht="13.8">
      <c r="B797" s="15" t="s">
        <v>2310</v>
      </c>
      <c r="C797" s="15">
        <v>5</v>
      </c>
      <c r="D797" s="15" t="s">
        <v>2311</v>
      </c>
      <c r="E797" s="15" t="s">
        <v>758</v>
      </c>
      <c r="F797" s="15" t="s">
        <v>758</v>
      </c>
      <c r="G797" s="15" t="s">
        <v>758</v>
      </c>
      <c r="H797" s="15" t="s">
        <v>758</v>
      </c>
      <c r="I797" s="15" t="s">
        <v>2895</v>
      </c>
      <c r="J797" s="15" t="s">
        <v>755</v>
      </c>
      <c r="K797" s="15" t="s">
        <v>2895</v>
      </c>
      <c r="L797" s="15" t="s">
        <v>755</v>
      </c>
      <c r="M797" s="15" t="str">
        <f t="shared" si="12"/>
        <v>insert into dbo.LifeInsJobCode (JobCode,JobGrade,JobDescription,JobGroupCode1,JobGroupName1,JobGroupCode2,JobGroupName2,CreateTime,Creator,ModifyTime,Modifier) VALUES ('14060040','5','煉油廠技術工人','','','','',getdate(),'Alvin',getdate(),'Alvin')</v>
      </c>
    </row>
    <row r="798" spans="2:13" ht="13.8">
      <c r="B798" s="15" t="s">
        <v>2312</v>
      </c>
      <c r="C798" s="15">
        <v>3</v>
      </c>
      <c r="D798" s="15" t="s">
        <v>2313</v>
      </c>
      <c r="E798" s="15" t="s">
        <v>758</v>
      </c>
      <c r="F798" s="15" t="s">
        <v>758</v>
      </c>
      <c r="G798" s="15" t="s">
        <v>758</v>
      </c>
      <c r="H798" s="15" t="s">
        <v>758</v>
      </c>
      <c r="I798" s="15" t="s">
        <v>2895</v>
      </c>
      <c r="J798" s="15" t="s">
        <v>755</v>
      </c>
      <c r="K798" s="15" t="s">
        <v>2895</v>
      </c>
      <c r="L798" s="15" t="s">
        <v>755</v>
      </c>
      <c r="M798" s="15" t="str">
        <f t="shared" si="12"/>
        <v>insert into dbo.LifeInsJobCode (JobCode,JobGrade,JobDescription,JobGroupCode1,JobGroupName1,JobGroupCode2,JobGroupName2,CreateTime,Creator,ModifyTime,Modifier) VALUES ('14060050','3','煉油廠加油工作人員','','','','',getdate(),'Alvin',getdate(),'Alvin')</v>
      </c>
    </row>
    <row r="799" spans="2:13" ht="13.8">
      <c r="B799" s="15" t="s">
        <v>2314</v>
      </c>
      <c r="C799" s="15">
        <v>5</v>
      </c>
      <c r="D799" s="15" t="s">
        <v>2315</v>
      </c>
      <c r="E799" s="15" t="s">
        <v>758</v>
      </c>
      <c r="F799" s="15" t="s">
        <v>758</v>
      </c>
      <c r="G799" s="15" t="s">
        <v>758</v>
      </c>
      <c r="H799" s="15" t="s">
        <v>758</v>
      </c>
      <c r="I799" s="15" t="s">
        <v>2895</v>
      </c>
      <c r="J799" s="15" t="s">
        <v>755</v>
      </c>
      <c r="K799" s="15" t="s">
        <v>2895</v>
      </c>
      <c r="L799" s="15" t="s">
        <v>755</v>
      </c>
      <c r="M799" s="15" t="str">
        <f t="shared" si="12"/>
        <v>insert into dbo.LifeInsJobCode (JobCode,JobGrade,JobDescription,JobGroupCode1,JobGroupName1,JobGroupCode2,JobGroupName2,CreateTime,Creator,ModifyTime,Modifier) VALUES ('14060060','5','煉油廠管線維修','','','','',getdate(),'Alvin',getdate(),'Alvin')</v>
      </c>
    </row>
    <row r="800" spans="2:13" ht="13.8">
      <c r="B800" s="15" t="s">
        <v>2316</v>
      </c>
      <c r="C800" s="15">
        <v>5</v>
      </c>
      <c r="D800" s="15" t="s">
        <v>2317</v>
      </c>
      <c r="E800" s="15" t="s">
        <v>758</v>
      </c>
      <c r="F800" s="15" t="s">
        <v>758</v>
      </c>
      <c r="G800" s="15" t="s">
        <v>758</v>
      </c>
      <c r="H800" s="15" t="s">
        <v>758</v>
      </c>
      <c r="I800" s="15" t="s">
        <v>2895</v>
      </c>
      <c r="J800" s="15" t="s">
        <v>755</v>
      </c>
      <c r="K800" s="15" t="s">
        <v>2895</v>
      </c>
      <c r="L800" s="15" t="s">
        <v>755</v>
      </c>
      <c r="M800" s="15" t="str">
        <f t="shared" si="12"/>
        <v>insert into dbo.LifeInsJobCode (JobCode,JobGrade,JobDescription,JobGroupCode1,JobGroupName1,JobGroupCode2,JobGroupName2,CreateTime,Creator,ModifyTime,Modifier) VALUES ('14060070','5','加油站管線維修','','','','',getdate(),'Alvin',getdate(),'Alvin')</v>
      </c>
    </row>
    <row r="801" spans="2:13" ht="13.8">
      <c r="B801" s="15" t="s">
        <v>2318</v>
      </c>
      <c r="C801" s="15">
        <v>1</v>
      </c>
      <c r="D801" s="15" t="s">
        <v>2319</v>
      </c>
      <c r="E801" s="15" t="s">
        <v>2320</v>
      </c>
      <c r="F801" s="15" t="s">
        <v>2321</v>
      </c>
      <c r="G801" s="15" t="s">
        <v>2322</v>
      </c>
      <c r="H801" s="15" t="s">
        <v>2323</v>
      </c>
      <c r="I801" s="15" t="s">
        <v>2895</v>
      </c>
      <c r="J801" s="15" t="s">
        <v>755</v>
      </c>
      <c r="K801" s="15" t="s">
        <v>2895</v>
      </c>
      <c r="L801" s="15" t="s">
        <v>755</v>
      </c>
      <c r="M801" s="15" t="str">
        <f t="shared" si="12"/>
        <v>insert into dbo.LifeInsJobCode (JobCode,JobGrade,JobDescription,JobGroupCode1,JobGroupName1,JobGroupCode2,JobGroupName2,CreateTime,Creator,ModifyTime,Modifier) VALUES ('15000010','1','廚具商(不含安裝)','15','一般商業','1500','買賣',getdate(),'Alvin',getdate(),'Alvin')</v>
      </c>
    </row>
    <row r="802" spans="2:13" ht="13.8">
      <c r="B802" s="15" t="s">
        <v>2324</v>
      </c>
      <c r="C802" s="15">
        <v>1</v>
      </c>
      <c r="D802" s="15" t="s">
        <v>2325</v>
      </c>
      <c r="E802" s="15" t="s">
        <v>758</v>
      </c>
      <c r="F802" s="15" t="s">
        <v>758</v>
      </c>
      <c r="G802" s="15" t="s">
        <v>758</v>
      </c>
      <c r="H802" s="15" t="s">
        <v>758</v>
      </c>
      <c r="I802" s="15" t="s">
        <v>2895</v>
      </c>
      <c r="J802" s="15" t="s">
        <v>755</v>
      </c>
      <c r="K802" s="15" t="s">
        <v>2895</v>
      </c>
      <c r="L802" s="15" t="s">
        <v>755</v>
      </c>
      <c r="M802" s="15" t="str">
        <f t="shared" si="12"/>
        <v>insert into dbo.LifeInsJobCode (JobCode,JobGrade,JobDescription,JobGroupCode1,JobGroupName1,JobGroupCode2,JobGroupName2,CreateTime,Creator,ModifyTime,Modifier) VALUES ('15000020','1','陶瓷器商','','','','',getdate(),'Alvin',getdate(),'Alvin')</v>
      </c>
    </row>
    <row r="803" spans="2:13" ht="13.8">
      <c r="B803" s="15" t="s">
        <v>2326</v>
      </c>
      <c r="C803" s="15">
        <v>1</v>
      </c>
      <c r="D803" s="15" t="s">
        <v>2327</v>
      </c>
      <c r="E803" s="15" t="s">
        <v>758</v>
      </c>
      <c r="F803" s="15" t="s">
        <v>758</v>
      </c>
      <c r="G803" s="15" t="s">
        <v>758</v>
      </c>
      <c r="H803" s="15" t="s">
        <v>758</v>
      </c>
      <c r="I803" s="15" t="s">
        <v>2895</v>
      </c>
      <c r="J803" s="15" t="s">
        <v>755</v>
      </c>
      <c r="K803" s="15" t="s">
        <v>2895</v>
      </c>
      <c r="L803" s="15" t="s">
        <v>755</v>
      </c>
      <c r="M803" s="15" t="str">
        <f t="shared" si="12"/>
        <v>insert into dbo.LifeInsJobCode (JobCode,JobGrade,JobDescription,JobGroupCode1,JobGroupName1,JobGroupCode2,JobGroupName2,CreateTime,Creator,ModifyTime,Modifier) VALUES ('15000030','1','古董商','','','','',getdate(),'Alvin',getdate(),'Alvin')</v>
      </c>
    </row>
    <row r="804" spans="2:13" ht="13.8">
      <c r="B804" s="15" t="s">
        <v>2328</v>
      </c>
      <c r="C804" s="15">
        <v>1</v>
      </c>
      <c r="D804" s="15" t="s">
        <v>2329</v>
      </c>
      <c r="E804" s="15" t="s">
        <v>758</v>
      </c>
      <c r="F804" s="15" t="s">
        <v>758</v>
      </c>
      <c r="G804" s="15" t="s">
        <v>758</v>
      </c>
      <c r="H804" s="15" t="s">
        <v>758</v>
      </c>
      <c r="I804" s="15" t="s">
        <v>2895</v>
      </c>
      <c r="J804" s="15" t="s">
        <v>755</v>
      </c>
      <c r="K804" s="15" t="s">
        <v>2895</v>
      </c>
      <c r="L804" s="15" t="s">
        <v>755</v>
      </c>
      <c r="M804" s="15" t="str">
        <f t="shared" si="12"/>
        <v>insert into dbo.LifeInsJobCode (JobCode,JobGrade,JobDescription,JobGroupCode1,JobGroupName1,JobGroupCode2,JobGroupName2,CreateTime,Creator,ModifyTime,Modifier) VALUES ('15000040','1','花卉商','','','','',getdate(),'Alvin',getdate(),'Alvin')</v>
      </c>
    </row>
    <row r="805" spans="2:13" ht="13.8">
      <c r="B805" s="15" t="s">
        <v>2330</v>
      </c>
      <c r="C805" s="15">
        <v>1</v>
      </c>
      <c r="D805" s="15" t="s">
        <v>2331</v>
      </c>
      <c r="E805" s="15" t="s">
        <v>758</v>
      </c>
      <c r="F805" s="15" t="s">
        <v>758</v>
      </c>
      <c r="G805" s="15" t="s">
        <v>758</v>
      </c>
      <c r="H805" s="15" t="s">
        <v>758</v>
      </c>
      <c r="I805" s="15" t="s">
        <v>2895</v>
      </c>
      <c r="J805" s="15" t="s">
        <v>755</v>
      </c>
      <c r="K805" s="15" t="s">
        <v>2895</v>
      </c>
      <c r="L805" s="15" t="s">
        <v>755</v>
      </c>
      <c r="M805" s="15" t="str">
        <f t="shared" si="12"/>
        <v>insert into dbo.LifeInsJobCode (JobCode,JobGrade,JobDescription,JobGroupCode1,JobGroupName1,JobGroupCode2,JobGroupName2,CreateTime,Creator,ModifyTime,Modifier) VALUES ('15000050','1','米商(不參與碾米作業)','','','','',getdate(),'Alvin',getdate(),'Alvin')</v>
      </c>
    </row>
    <row r="806" spans="2:13" ht="13.8">
      <c r="B806" s="15" t="s">
        <v>2332</v>
      </c>
      <c r="C806" s="15">
        <v>1</v>
      </c>
      <c r="D806" s="15" t="s">
        <v>2333</v>
      </c>
      <c r="E806" s="15" t="s">
        <v>758</v>
      </c>
      <c r="F806" s="15" t="s">
        <v>758</v>
      </c>
      <c r="G806" s="15" t="s">
        <v>758</v>
      </c>
      <c r="H806" s="15" t="s">
        <v>758</v>
      </c>
      <c r="I806" s="15" t="s">
        <v>2895</v>
      </c>
      <c r="J806" s="15" t="s">
        <v>755</v>
      </c>
      <c r="K806" s="15" t="s">
        <v>2895</v>
      </c>
      <c r="L806" s="15" t="s">
        <v>755</v>
      </c>
      <c r="M806" s="15" t="str">
        <f t="shared" si="12"/>
        <v>insert into dbo.LifeInsJobCode (JobCode,JobGrade,JobDescription,JobGroupCode1,JobGroupName1,JobGroupCode2,JobGroupName2,CreateTime,Creator,ModifyTime,Modifier) VALUES ('15000060','1','雜貨商','','','','',getdate(),'Alvin',getdate(),'Alvin')</v>
      </c>
    </row>
    <row r="807" spans="2:13" ht="13.8">
      <c r="B807" s="15" t="s">
        <v>2334</v>
      </c>
      <c r="C807" s="15">
        <v>2</v>
      </c>
      <c r="D807" s="15" t="s">
        <v>2335</v>
      </c>
      <c r="E807" s="15" t="s">
        <v>758</v>
      </c>
      <c r="F807" s="15" t="s">
        <v>758</v>
      </c>
      <c r="G807" s="15" t="s">
        <v>758</v>
      </c>
      <c r="H807" s="15" t="s">
        <v>758</v>
      </c>
      <c r="I807" s="15" t="s">
        <v>2895</v>
      </c>
      <c r="J807" s="15" t="s">
        <v>755</v>
      </c>
      <c r="K807" s="15" t="s">
        <v>2895</v>
      </c>
      <c r="L807" s="15" t="s">
        <v>755</v>
      </c>
      <c r="M807" s="15" t="str">
        <f t="shared" si="12"/>
        <v>insert into dbo.LifeInsJobCode (JobCode,JobGrade,JobDescription,JobGroupCode1,JobGroupName1,JobGroupCode2,JobGroupName2,CreateTime,Creator,ModifyTime,Modifier) VALUES ('15000070','2','玻璃商','','','','',getdate(),'Alvin',getdate(),'Alvin')</v>
      </c>
    </row>
    <row r="808" spans="2:13" ht="13.8">
      <c r="B808" s="15" t="s">
        <v>2336</v>
      </c>
      <c r="C808" s="15">
        <v>1</v>
      </c>
      <c r="D808" s="15" t="s">
        <v>2337</v>
      </c>
      <c r="E808" s="15" t="s">
        <v>758</v>
      </c>
      <c r="F808" s="15" t="s">
        <v>758</v>
      </c>
      <c r="G808" s="15" t="s">
        <v>758</v>
      </c>
      <c r="H808" s="15" t="s">
        <v>758</v>
      </c>
      <c r="I808" s="15" t="s">
        <v>2895</v>
      </c>
      <c r="J808" s="15" t="s">
        <v>755</v>
      </c>
      <c r="K808" s="15" t="s">
        <v>2895</v>
      </c>
      <c r="L808" s="15" t="s">
        <v>755</v>
      </c>
      <c r="M808" s="15" t="str">
        <f t="shared" si="12"/>
        <v>insert into dbo.LifeInsJobCode (JobCode,JobGrade,JobDescription,JobGroupCode1,JobGroupName1,JobGroupCode2,JobGroupName2,CreateTime,Creator,ModifyTime,Modifier) VALUES ('15000080','1','果菜商(固定攤販)','','','','',getdate(),'Alvin',getdate(),'Alvin')</v>
      </c>
    </row>
    <row r="809" spans="2:13" ht="13.8">
      <c r="B809" s="15" t="s">
        <v>2338</v>
      </c>
      <c r="C809" s="15">
        <v>2</v>
      </c>
      <c r="D809" s="15" t="s">
        <v>2339</v>
      </c>
      <c r="E809" s="15" t="s">
        <v>758</v>
      </c>
      <c r="F809" s="15" t="s">
        <v>758</v>
      </c>
      <c r="G809" s="15" t="s">
        <v>758</v>
      </c>
      <c r="H809" s="15" t="s">
        <v>758</v>
      </c>
      <c r="I809" s="15" t="s">
        <v>2895</v>
      </c>
      <c r="J809" s="15" t="s">
        <v>755</v>
      </c>
      <c r="K809" s="15" t="s">
        <v>2895</v>
      </c>
      <c r="L809" s="15" t="s">
        <v>755</v>
      </c>
      <c r="M809" s="15" t="str">
        <f t="shared" si="12"/>
        <v>insert into dbo.LifeInsJobCode (JobCode,JobGrade,JobDescription,JobGroupCode1,JobGroupName1,JobGroupCode2,JobGroupName2,CreateTime,Creator,ModifyTime,Modifier) VALUES ('15000090','2','石材商','','','','',getdate(),'Alvin',getdate(),'Alvin')</v>
      </c>
    </row>
    <row r="810" spans="2:13" ht="13.8">
      <c r="B810" s="15" t="s">
        <v>2340</v>
      </c>
      <c r="C810" s="15">
        <v>2</v>
      </c>
      <c r="D810" s="15" t="s">
        <v>2341</v>
      </c>
      <c r="E810" s="15" t="s">
        <v>758</v>
      </c>
      <c r="F810" s="15" t="s">
        <v>758</v>
      </c>
      <c r="G810" s="15" t="s">
        <v>758</v>
      </c>
      <c r="H810" s="15" t="s">
        <v>758</v>
      </c>
      <c r="I810" s="15" t="s">
        <v>2895</v>
      </c>
      <c r="J810" s="15" t="s">
        <v>755</v>
      </c>
      <c r="K810" s="15" t="s">
        <v>2895</v>
      </c>
      <c r="L810" s="15" t="s">
        <v>755</v>
      </c>
      <c r="M810" s="15" t="str">
        <f t="shared" si="12"/>
        <v>insert into dbo.LifeInsJobCode (JobCode,JobGrade,JobDescription,JobGroupCode1,JobGroupName1,JobGroupCode2,JobGroupName2,CreateTime,Creator,ModifyTime,Modifier) VALUES ('15000100','2','建材商','','','','',getdate(),'Alvin',getdate(),'Alvin')</v>
      </c>
    </row>
    <row r="811" spans="2:13" ht="13.8">
      <c r="B811" s="15" t="s">
        <v>2342</v>
      </c>
      <c r="C811" s="15">
        <v>2</v>
      </c>
      <c r="D811" s="15" t="s">
        <v>2343</v>
      </c>
      <c r="E811" s="15" t="s">
        <v>758</v>
      </c>
      <c r="F811" s="15" t="s">
        <v>758</v>
      </c>
      <c r="G811" s="15" t="s">
        <v>758</v>
      </c>
      <c r="H811" s="15" t="s">
        <v>758</v>
      </c>
      <c r="I811" s="15" t="s">
        <v>2895</v>
      </c>
      <c r="J811" s="15" t="s">
        <v>755</v>
      </c>
      <c r="K811" s="15" t="s">
        <v>2895</v>
      </c>
      <c r="L811" s="15" t="s">
        <v>755</v>
      </c>
      <c r="M811" s="15" t="str">
        <f t="shared" si="12"/>
        <v>insert into dbo.LifeInsJobCode (JobCode,JobGrade,JobDescription,JobGroupCode1,JobGroupName1,JobGroupCode2,JobGroupName2,CreateTime,Creator,ModifyTime,Modifier) VALUES ('15000110','2','鐵材商','','','','',getdate(),'Alvin',getdate(),'Alvin')</v>
      </c>
    </row>
    <row r="812" spans="2:13" ht="13.8">
      <c r="B812" s="15" t="s">
        <v>2344</v>
      </c>
      <c r="C812" s="15">
        <v>2</v>
      </c>
      <c r="D812" s="15" t="s">
        <v>2345</v>
      </c>
      <c r="E812" s="15" t="s">
        <v>758</v>
      </c>
      <c r="F812" s="15" t="s">
        <v>758</v>
      </c>
      <c r="G812" s="15" t="s">
        <v>758</v>
      </c>
      <c r="H812" s="15" t="s">
        <v>758</v>
      </c>
      <c r="I812" s="15" t="s">
        <v>2895</v>
      </c>
      <c r="J812" s="15" t="s">
        <v>755</v>
      </c>
      <c r="K812" s="15" t="s">
        <v>2895</v>
      </c>
      <c r="L812" s="15" t="s">
        <v>755</v>
      </c>
      <c r="M812" s="15" t="str">
        <f t="shared" si="12"/>
        <v>insert into dbo.LifeInsJobCode (JobCode,JobGrade,JobDescription,JobGroupCode1,JobGroupName1,JobGroupCode2,JobGroupName2,CreateTime,Creator,ModifyTime,Modifier) VALUES ('15000120','2','木材商','','','','',getdate(),'Alvin',getdate(),'Alvin')</v>
      </c>
    </row>
    <row r="813" spans="2:13" ht="13.8">
      <c r="B813" s="15" t="s">
        <v>2346</v>
      </c>
      <c r="C813" s="15">
        <v>2</v>
      </c>
      <c r="D813" s="15" t="s">
        <v>2347</v>
      </c>
      <c r="E813" s="15" t="s">
        <v>758</v>
      </c>
      <c r="F813" s="15" t="s">
        <v>758</v>
      </c>
      <c r="G813" s="15" t="s">
        <v>758</v>
      </c>
      <c r="H813" s="15" t="s">
        <v>758</v>
      </c>
      <c r="I813" s="15" t="s">
        <v>2895</v>
      </c>
      <c r="J813" s="15" t="s">
        <v>755</v>
      </c>
      <c r="K813" s="15" t="s">
        <v>2895</v>
      </c>
      <c r="L813" s="15" t="s">
        <v>755</v>
      </c>
      <c r="M813" s="15" t="str">
        <f t="shared" si="12"/>
        <v>insert into dbo.LifeInsJobCode (JobCode,JobGrade,JobDescription,JobGroupCode1,JobGroupName1,JobGroupCode2,JobGroupName2,CreateTime,Creator,ModifyTime,Modifier) VALUES ('15000130','2','五金商','','','','',getdate(),'Alvin',getdate(),'Alvin')</v>
      </c>
    </row>
    <row r="814" spans="2:13" ht="13.8">
      <c r="B814" s="15" t="s">
        <v>2348</v>
      </c>
      <c r="C814" s="15">
        <v>2</v>
      </c>
      <c r="D814" s="15" t="s">
        <v>2349</v>
      </c>
      <c r="E814" s="15" t="s">
        <v>758</v>
      </c>
      <c r="F814" s="15" t="s">
        <v>758</v>
      </c>
      <c r="G814" s="15" t="s">
        <v>758</v>
      </c>
      <c r="H814" s="15" t="s">
        <v>758</v>
      </c>
      <c r="I814" s="15" t="s">
        <v>2895</v>
      </c>
      <c r="J814" s="15" t="s">
        <v>755</v>
      </c>
      <c r="K814" s="15" t="s">
        <v>2895</v>
      </c>
      <c r="L814" s="15" t="s">
        <v>755</v>
      </c>
      <c r="M814" s="15" t="str">
        <f t="shared" si="12"/>
        <v>insert into dbo.LifeInsJobCode (JobCode,JobGrade,JobDescription,JobGroupCode1,JobGroupName1,JobGroupCode2,JobGroupName2,CreateTime,Creator,ModifyTime,Modifier) VALUES ('15000140','2','電器商(不含安裝)','','','','',getdate(),'Alvin',getdate(),'Alvin')</v>
      </c>
    </row>
    <row r="815" spans="2:13" ht="13.8">
      <c r="B815" s="15" t="s">
        <v>2350</v>
      </c>
      <c r="C815" s="15">
        <v>2</v>
      </c>
      <c r="D815" s="15" t="s">
        <v>2351</v>
      </c>
      <c r="E815" s="15" t="s">
        <v>758</v>
      </c>
      <c r="F815" s="15" t="s">
        <v>758</v>
      </c>
      <c r="G815" s="15" t="s">
        <v>758</v>
      </c>
      <c r="H815" s="15" t="s">
        <v>758</v>
      </c>
      <c r="I815" s="15" t="s">
        <v>2895</v>
      </c>
      <c r="J815" s="15" t="s">
        <v>755</v>
      </c>
      <c r="K815" s="15" t="s">
        <v>2895</v>
      </c>
      <c r="L815" s="15" t="s">
        <v>755</v>
      </c>
      <c r="M815" s="15" t="str">
        <f t="shared" si="12"/>
        <v>insert into dbo.LifeInsJobCode (JobCode,JobGrade,JobDescription,JobGroupCode1,JobGroupName1,JobGroupCode2,JobGroupName2,CreateTime,Creator,ModifyTime,Modifier) VALUES ('15000150','2','水電衛生器材商(不含安裝)','','','','',getdate(),'Alvin',getdate(),'Alvin')</v>
      </c>
    </row>
    <row r="816" spans="2:13" ht="13.8">
      <c r="B816" s="15" t="s">
        <v>2352</v>
      </c>
      <c r="C816" s="15">
        <v>1</v>
      </c>
      <c r="D816" s="15" t="s">
        <v>2353</v>
      </c>
      <c r="E816" s="15" t="s">
        <v>758</v>
      </c>
      <c r="F816" s="15" t="s">
        <v>758</v>
      </c>
      <c r="G816" s="15" t="s">
        <v>758</v>
      </c>
      <c r="H816" s="15" t="s">
        <v>758</v>
      </c>
      <c r="I816" s="15" t="s">
        <v>2895</v>
      </c>
      <c r="J816" s="15" t="s">
        <v>755</v>
      </c>
      <c r="K816" s="15" t="s">
        <v>2895</v>
      </c>
      <c r="L816" s="15" t="s">
        <v>755</v>
      </c>
      <c r="M816" s="15" t="str">
        <f t="shared" si="12"/>
        <v>insert into dbo.LifeInsJobCode (JobCode,JobGrade,JobDescription,JobGroupCode1,JobGroupName1,JobGroupCode2,JobGroupName2,CreateTime,Creator,ModifyTime,Modifier) VALUES ('15000160','1','傢俱、寢具商(不含安裝)','','','','',getdate(),'Alvin',getdate(),'Alvin')</v>
      </c>
    </row>
    <row r="817" spans="2:13" ht="13.8">
      <c r="B817" s="15" t="s">
        <v>2354</v>
      </c>
      <c r="C817" s="15">
        <v>1</v>
      </c>
      <c r="D817" s="15" t="s">
        <v>2355</v>
      </c>
      <c r="E817" s="15" t="s">
        <v>758</v>
      </c>
      <c r="F817" s="15" t="s">
        <v>758</v>
      </c>
      <c r="G817" s="15" t="s">
        <v>758</v>
      </c>
      <c r="H817" s="15" t="s">
        <v>758</v>
      </c>
      <c r="I817" s="15" t="s">
        <v>2895</v>
      </c>
      <c r="J817" s="15" t="s">
        <v>755</v>
      </c>
      <c r="K817" s="15" t="s">
        <v>2895</v>
      </c>
      <c r="L817" s="15" t="s">
        <v>755</v>
      </c>
      <c r="M817" s="15" t="str">
        <f t="shared" si="12"/>
        <v>insert into dbo.LifeInsJobCode (JobCode,JobGrade,JobDescription,JobGroupCode1,JobGroupName1,JobGroupCode2,JobGroupName2,CreateTime,Creator,ModifyTime,Modifier) VALUES ('15000170','1','自行車買賣商(不含修理)','','','','',getdate(),'Alvin',getdate(),'Alvin')</v>
      </c>
    </row>
    <row r="818" spans="2:13" ht="13.8">
      <c r="B818" s="15" t="s">
        <v>2356</v>
      </c>
      <c r="C818" s="15">
        <v>1</v>
      </c>
      <c r="D818" s="15" t="s">
        <v>2357</v>
      </c>
      <c r="E818" s="15" t="s">
        <v>758</v>
      </c>
      <c r="F818" s="15" t="s">
        <v>758</v>
      </c>
      <c r="G818" s="15" t="s">
        <v>758</v>
      </c>
      <c r="H818" s="15" t="s">
        <v>758</v>
      </c>
      <c r="I818" s="15" t="s">
        <v>2895</v>
      </c>
      <c r="J818" s="15" t="s">
        <v>755</v>
      </c>
      <c r="K818" s="15" t="s">
        <v>2895</v>
      </c>
      <c r="L818" s="15" t="s">
        <v>755</v>
      </c>
      <c r="M818" s="15" t="str">
        <f t="shared" si="12"/>
        <v>insert into dbo.LifeInsJobCode (JobCode,JobGrade,JobDescription,JobGroupCode1,JobGroupName1,JobGroupCode2,JobGroupName2,CreateTime,Creator,ModifyTime,Modifier) VALUES ('15000180','1','機車買賣商(不含修理)','','','','',getdate(),'Alvin',getdate(),'Alvin')</v>
      </c>
    </row>
    <row r="819" spans="2:13" ht="13.8">
      <c r="B819" s="15" t="s">
        <v>2358</v>
      </c>
      <c r="C819" s="15">
        <v>1</v>
      </c>
      <c r="D819" s="15" t="s">
        <v>2359</v>
      </c>
      <c r="E819" s="15" t="s">
        <v>758</v>
      </c>
      <c r="F819" s="15" t="s">
        <v>758</v>
      </c>
      <c r="G819" s="15" t="s">
        <v>758</v>
      </c>
      <c r="H819" s="15" t="s">
        <v>758</v>
      </c>
      <c r="I819" s="15" t="s">
        <v>2895</v>
      </c>
      <c r="J819" s="15" t="s">
        <v>755</v>
      </c>
      <c r="K819" s="15" t="s">
        <v>2895</v>
      </c>
      <c r="L819" s="15" t="s">
        <v>755</v>
      </c>
      <c r="M819" s="15" t="str">
        <f t="shared" si="12"/>
        <v>insert into dbo.LifeInsJobCode (JobCode,JobGrade,JobDescription,JobGroupCode1,JobGroupName1,JobGroupCode2,JobGroupName2,CreateTime,Creator,ModifyTime,Modifier) VALUES ('15000190','1','汽車買賣商(不含修理)','','','','',getdate(),'Alvin',getdate(),'Alvin')</v>
      </c>
    </row>
    <row r="820" spans="2:13" ht="13.8">
      <c r="B820" s="15" t="s">
        <v>2360</v>
      </c>
      <c r="C820" s="15">
        <v>2</v>
      </c>
      <c r="D820" s="15" t="s">
        <v>3314</v>
      </c>
      <c r="E820" s="15" t="s">
        <v>758</v>
      </c>
      <c r="F820" s="15" t="s">
        <v>758</v>
      </c>
      <c r="G820" s="15" t="s">
        <v>758</v>
      </c>
      <c r="H820" s="15" t="s">
        <v>758</v>
      </c>
      <c r="I820" s="15" t="s">
        <v>2895</v>
      </c>
      <c r="J820" s="15" t="s">
        <v>755</v>
      </c>
      <c r="K820" s="15" t="s">
        <v>2895</v>
      </c>
      <c r="L820" s="15" t="s">
        <v>755</v>
      </c>
      <c r="M820" s="15" t="str">
        <f t="shared" si="12"/>
        <v>insert into dbo.LifeInsJobCode (JobCode,JobGrade,JobDescription,JobGroupCode1,JobGroupName1,JobGroupCode2,JobGroupName2,CreateTime,Creator,ModifyTime,Modifier) VALUES ('15000200','2','車輛器材、用品買賣商(不含礦物油)','','','','',getdate(),'Alvin',getdate(),'Alvin')</v>
      </c>
    </row>
    <row r="821" spans="2:13" ht="13.8">
      <c r="B821" s="15" t="s">
        <v>2361</v>
      </c>
      <c r="C821" s="15">
        <v>3</v>
      </c>
      <c r="D821" s="15" t="s">
        <v>2362</v>
      </c>
      <c r="E821" s="15" t="s">
        <v>758</v>
      </c>
      <c r="F821" s="15" t="s">
        <v>758</v>
      </c>
      <c r="G821" s="15" t="s">
        <v>758</v>
      </c>
      <c r="H821" s="15" t="s">
        <v>758</v>
      </c>
      <c r="I821" s="15" t="s">
        <v>2895</v>
      </c>
      <c r="J821" s="15" t="s">
        <v>755</v>
      </c>
      <c r="K821" s="15" t="s">
        <v>2895</v>
      </c>
      <c r="L821" s="15" t="s">
        <v>755</v>
      </c>
      <c r="M821" s="15" t="str">
        <f t="shared" si="12"/>
        <v>insert into dbo.LifeInsJobCode (JobCode,JobGrade,JobDescription,JobGroupCode1,JobGroupName1,JobGroupCode2,JobGroupName2,CreateTime,Creator,ModifyTime,Modifier) VALUES ('15000210','3','礦物油買賣商','','','','',getdate(),'Alvin',getdate(),'Alvin')</v>
      </c>
    </row>
    <row r="822" spans="2:13" ht="13.8">
      <c r="B822" s="15" t="s">
        <v>2363</v>
      </c>
      <c r="C822" s="15">
        <v>1</v>
      </c>
      <c r="D822" s="15" t="s">
        <v>2364</v>
      </c>
      <c r="E822" s="15" t="s">
        <v>758</v>
      </c>
      <c r="F822" s="15" t="s">
        <v>758</v>
      </c>
      <c r="G822" s="15" t="s">
        <v>758</v>
      </c>
      <c r="H822" s="15" t="s">
        <v>758</v>
      </c>
      <c r="I822" s="15" t="s">
        <v>2895</v>
      </c>
      <c r="J822" s="15" t="s">
        <v>755</v>
      </c>
      <c r="K822" s="15" t="s">
        <v>2895</v>
      </c>
      <c r="L822" s="15" t="s">
        <v>755</v>
      </c>
      <c r="M822" s="15" t="str">
        <f t="shared" si="12"/>
        <v>insert into dbo.LifeInsJobCode (JobCode,JobGrade,JobDescription,JobGroupCode1,JobGroupName1,JobGroupCode2,JobGroupName2,CreateTime,Creator,ModifyTime,Modifier) VALUES ('15000220','1','眼鏡商、驗光師','','','','',getdate(),'Alvin',getdate(),'Alvin')</v>
      </c>
    </row>
    <row r="823" spans="2:13" ht="13.8">
      <c r="B823" s="15" t="s">
        <v>2365</v>
      </c>
      <c r="C823" s="15">
        <v>1</v>
      </c>
      <c r="D823" s="15" t="s">
        <v>2366</v>
      </c>
      <c r="E823" s="15" t="s">
        <v>758</v>
      </c>
      <c r="F823" s="15" t="s">
        <v>758</v>
      </c>
      <c r="G823" s="15" t="s">
        <v>758</v>
      </c>
      <c r="H823" s="15" t="s">
        <v>758</v>
      </c>
      <c r="I823" s="15" t="s">
        <v>2895</v>
      </c>
      <c r="J823" s="15" t="s">
        <v>755</v>
      </c>
      <c r="K823" s="15" t="s">
        <v>2895</v>
      </c>
      <c r="L823" s="15" t="s">
        <v>755</v>
      </c>
      <c r="M823" s="15" t="str">
        <f t="shared" si="12"/>
        <v>insert into dbo.LifeInsJobCode (JobCode,JobGrade,JobDescription,JobGroupCode1,JobGroupName1,JobGroupCode2,JobGroupName2,CreateTime,Creator,ModifyTime,Modifier) VALUES ('15000230','1','食品飲料商','','','','',getdate(),'Alvin',getdate(),'Alvin')</v>
      </c>
    </row>
    <row r="824" spans="2:13" ht="13.8">
      <c r="B824" s="15" t="s">
        <v>2367</v>
      </c>
      <c r="C824" s="15">
        <v>1</v>
      </c>
      <c r="D824" s="15" t="s">
        <v>2368</v>
      </c>
      <c r="E824" s="15" t="s">
        <v>758</v>
      </c>
      <c r="F824" s="15" t="s">
        <v>758</v>
      </c>
      <c r="G824" s="15" t="s">
        <v>758</v>
      </c>
      <c r="H824" s="15" t="s">
        <v>758</v>
      </c>
      <c r="I824" s="15" t="s">
        <v>2895</v>
      </c>
      <c r="J824" s="15" t="s">
        <v>755</v>
      </c>
      <c r="K824" s="15" t="s">
        <v>2895</v>
      </c>
      <c r="L824" s="15" t="s">
        <v>755</v>
      </c>
      <c r="M824" s="15" t="str">
        <f t="shared" si="12"/>
        <v>insert into dbo.LifeInsJobCode (JobCode,JobGrade,JobDescription,JobGroupCode1,JobGroupName1,JobGroupCode2,JobGroupName2,CreateTime,Creator,ModifyTime,Modifier) VALUES ('15000240','1','文具商、禮品買賣商','','','','',getdate(),'Alvin',getdate(),'Alvin')</v>
      </c>
    </row>
    <row r="825" spans="2:13" ht="13.8">
      <c r="B825" s="15" t="s">
        <v>2369</v>
      </c>
      <c r="C825" s="15">
        <v>1</v>
      </c>
      <c r="D825" s="15" t="s">
        <v>2370</v>
      </c>
      <c r="E825" s="15" t="s">
        <v>758</v>
      </c>
      <c r="F825" s="15" t="s">
        <v>758</v>
      </c>
      <c r="G825" s="15" t="s">
        <v>758</v>
      </c>
      <c r="H825" s="15" t="s">
        <v>758</v>
      </c>
      <c r="I825" s="15" t="s">
        <v>2895</v>
      </c>
      <c r="J825" s="15" t="s">
        <v>755</v>
      </c>
      <c r="K825" s="15" t="s">
        <v>2895</v>
      </c>
      <c r="L825" s="15" t="s">
        <v>755</v>
      </c>
      <c r="M825" s="15" t="str">
        <f t="shared" si="12"/>
        <v>insert into dbo.LifeInsJobCode (JobCode,JobGrade,JobDescription,JobGroupCode1,JobGroupName1,JobGroupCode2,JobGroupName2,CreateTime,Creator,ModifyTime,Modifier) VALUES ('15000250','1','布商','','','','',getdate(),'Alvin',getdate(),'Alvin')</v>
      </c>
    </row>
    <row r="826" spans="2:13" ht="13.8">
      <c r="B826" s="15" t="s">
        <v>2371</v>
      </c>
      <c r="C826" s="15">
        <v>1</v>
      </c>
      <c r="D826" s="15" t="s">
        <v>2372</v>
      </c>
      <c r="E826" s="15" t="s">
        <v>758</v>
      </c>
      <c r="F826" s="15" t="s">
        <v>758</v>
      </c>
      <c r="G826" s="15" t="s">
        <v>758</v>
      </c>
      <c r="H826" s="15" t="s">
        <v>758</v>
      </c>
      <c r="I826" s="15" t="s">
        <v>2895</v>
      </c>
      <c r="J826" s="15" t="s">
        <v>755</v>
      </c>
      <c r="K826" s="15" t="s">
        <v>2895</v>
      </c>
      <c r="L826" s="15" t="s">
        <v>755</v>
      </c>
      <c r="M826" s="15" t="str">
        <f t="shared" si="12"/>
        <v>insert into dbo.LifeInsJobCode (JobCode,JobGrade,JobDescription,JobGroupCode1,JobGroupName1,JobGroupCode2,JobGroupName2,CreateTime,Creator,ModifyTime,Modifier) VALUES ('15000260','1','服飾、皮鞋、皮件買賣商','','','','',getdate(),'Alvin',getdate(),'Alvin')</v>
      </c>
    </row>
    <row r="827" spans="2:13" ht="13.8">
      <c r="B827" s="15" t="s">
        <v>2373</v>
      </c>
      <c r="C827" s="15">
        <v>2</v>
      </c>
      <c r="D827" s="15" t="s">
        <v>2374</v>
      </c>
      <c r="E827" s="15" t="s">
        <v>758</v>
      </c>
      <c r="F827" s="15" t="s">
        <v>758</v>
      </c>
      <c r="G827" s="15" t="s">
        <v>758</v>
      </c>
      <c r="H827" s="15" t="s">
        <v>758</v>
      </c>
      <c r="I827" s="15" t="s">
        <v>2895</v>
      </c>
      <c r="J827" s="15" t="s">
        <v>755</v>
      </c>
      <c r="K827" s="15" t="s">
        <v>2895</v>
      </c>
      <c r="L827" s="15" t="s">
        <v>755</v>
      </c>
      <c r="M827" s="15" t="str">
        <f t="shared" si="12"/>
        <v>insert into dbo.LifeInsJobCode (JobCode,JobGrade,JobDescription,JobGroupCode1,JobGroupName1,JobGroupCode2,JobGroupName2,CreateTime,Creator,ModifyTime,Modifier) VALUES ('15000270','2','魚販(含流動、固定攤販)','','','','',getdate(),'Alvin',getdate(),'Alvin')</v>
      </c>
    </row>
    <row r="828" spans="2:13" ht="13.8">
      <c r="B828" s="15" t="s">
        <v>2375</v>
      </c>
      <c r="C828" s="15">
        <v>2</v>
      </c>
      <c r="D828" s="15" t="s">
        <v>2376</v>
      </c>
      <c r="E828" s="15" t="s">
        <v>758</v>
      </c>
      <c r="F828" s="15" t="s">
        <v>758</v>
      </c>
      <c r="G828" s="15" t="s">
        <v>758</v>
      </c>
      <c r="H828" s="15" t="s">
        <v>758</v>
      </c>
      <c r="I828" s="15" t="s">
        <v>2895</v>
      </c>
      <c r="J828" s="15" t="s">
        <v>755</v>
      </c>
      <c r="K828" s="15" t="s">
        <v>2895</v>
      </c>
      <c r="L828" s="15" t="s">
        <v>755</v>
      </c>
      <c r="M828" s="15" t="str">
        <f t="shared" si="12"/>
        <v>insert into dbo.LifeInsJobCode (JobCode,JobGrade,JobDescription,JobGroupCode1,JobGroupName1,JobGroupCode2,JobGroupName2,CreateTime,Creator,ModifyTime,Modifier) VALUES ('15000280','2','肉販(含流動、固定攤販)','','','','',getdate(),'Alvin',getdate(),'Alvin')</v>
      </c>
    </row>
    <row r="829" spans="2:13" ht="13.8">
      <c r="B829" s="15" t="s">
        <v>2377</v>
      </c>
      <c r="C829" s="15">
        <v>1</v>
      </c>
      <c r="D829" s="15" t="s">
        <v>2378</v>
      </c>
      <c r="E829" s="15" t="s">
        <v>758</v>
      </c>
      <c r="F829" s="15" t="s">
        <v>758</v>
      </c>
      <c r="G829" s="15" t="s">
        <v>758</v>
      </c>
      <c r="H829" s="15" t="s">
        <v>758</v>
      </c>
      <c r="I829" s="15" t="s">
        <v>2895</v>
      </c>
      <c r="J829" s="15" t="s">
        <v>755</v>
      </c>
      <c r="K829" s="15" t="s">
        <v>2895</v>
      </c>
      <c r="L829" s="15" t="s">
        <v>755</v>
      </c>
      <c r="M829" s="15" t="str">
        <f t="shared" si="12"/>
        <v>insert into dbo.LifeInsJobCode (JobCode,JobGrade,JobDescription,JobGroupCode1,JobGroupName1,JobGroupCode2,JobGroupName2,CreateTime,Creator,ModifyTime,Modifier) VALUES ('15000290','1','藥品買賣商','','','','',getdate(),'Alvin',getdate(),'Alvin')</v>
      </c>
    </row>
    <row r="830" spans="2:13" ht="13.8">
      <c r="B830" s="15" t="s">
        <v>2379</v>
      </c>
      <c r="C830" s="15">
        <v>3</v>
      </c>
      <c r="D830" s="15" t="s">
        <v>2380</v>
      </c>
      <c r="E830" s="15" t="s">
        <v>758</v>
      </c>
      <c r="F830" s="15" t="s">
        <v>758</v>
      </c>
      <c r="G830" s="15" t="s">
        <v>758</v>
      </c>
      <c r="H830" s="15" t="s">
        <v>758</v>
      </c>
      <c r="I830" s="15" t="s">
        <v>2895</v>
      </c>
      <c r="J830" s="15" t="s">
        <v>755</v>
      </c>
      <c r="K830" s="15" t="s">
        <v>2895</v>
      </c>
      <c r="L830" s="15" t="s">
        <v>755</v>
      </c>
      <c r="M830" s="15" t="str">
        <f t="shared" si="12"/>
        <v>insert into dbo.LifeInsJobCode (JobCode,JobGrade,JobDescription,JobGroupCode1,JobGroupName1,JobGroupCode2,JobGroupName2,CreateTime,Creator,ModifyTime,Modifier) VALUES ('15000300','3','化學原料商、肥料買賣商','','','','',getdate(),'Alvin',getdate(),'Alvin')</v>
      </c>
    </row>
    <row r="831" spans="2:13" ht="13.8">
      <c r="B831" s="15" t="s">
        <v>2381</v>
      </c>
      <c r="C831" s="15">
        <v>2</v>
      </c>
      <c r="D831" s="15" t="s">
        <v>2382</v>
      </c>
      <c r="E831" s="15" t="s">
        <v>758</v>
      </c>
      <c r="F831" s="15" t="s">
        <v>758</v>
      </c>
      <c r="G831" s="15" t="s">
        <v>758</v>
      </c>
      <c r="H831" s="15" t="s">
        <v>758</v>
      </c>
      <c r="I831" s="15" t="s">
        <v>2895</v>
      </c>
      <c r="J831" s="15" t="s">
        <v>755</v>
      </c>
      <c r="K831" s="15" t="s">
        <v>2895</v>
      </c>
      <c r="L831" s="15" t="s">
        <v>755</v>
      </c>
      <c r="M831" s="15" t="str">
        <f t="shared" si="12"/>
        <v>insert into dbo.LifeInsJobCode (JobCode,JobGrade,JobDescription,JobGroupCode1,JobGroupName1,JobGroupCode2,JobGroupName2,CreateTime,Creator,ModifyTime,Modifier) VALUES ('15000310','2','醫療機械儀器商','','','','',getdate(),'Alvin',getdate(),'Alvin')</v>
      </c>
    </row>
    <row r="832" spans="2:13" ht="13.8">
      <c r="B832" s="15" t="s">
        <v>2383</v>
      </c>
      <c r="C832" s="15">
        <v>1</v>
      </c>
      <c r="D832" s="15" t="s">
        <v>2384</v>
      </c>
      <c r="E832" s="15" t="s">
        <v>758</v>
      </c>
      <c r="F832" s="15" t="s">
        <v>758</v>
      </c>
      <c r="G832" s="15" t="s">
        <v>758</v>
      </c>
      <c r="H832" s="15" t="s">
        <v>758</v>
      </c>
      <c r="I832" s="15" t="s">
        <v>2895</v>
      </c>
      <c r="J832" s="15" t="s">
        <v>755</v>
      </c>
      <c r="K832" s="15" t="s">
        <v>2895</v>
      </c>
      <c r="L832" s="15" t="s">
        <v>755</v>
      </c>
      <c r="M832" s="15" t="str">
        <f t="shared" si="12"/>
        <v>insert into dbo.LifeInsJobCode (JobCode,JobGrade,JobDescription,JobGroupCode1,JobGroupName1,JobGroupCode2,JobGroupName2,CreateTime,Creator,ModifyTime,Modifier) VALUES ('15000320','1','手工藝品買賣商','','','','',getdate(),'Alvin',getdate(),'Alvin')</v>
      </c>
    </row>
    <row r="833" spans="2:13" ht="13.8">
      <c r="B833" s="15" t="s">
        <v>2385</v>
      </c>
      <c r="C833" s="15">
        <v>1</v>
      </c>
      <c r="D833" s="15" t="s">
        <v>2386</v>
      </c>
      <c r="E833" s="15" t="s">
        <v>758</v>
      </c>
      <c r="F833" s="15" t="s">
        <v>758</v>
      </c>
      <c r="G833" s="15" t="s">
        <v>758</v>
      </c>
      <c r="H833" s="15" t="s">
        <v>758</v>
      </c>
      <c r="I833" s="15" t="s">
        <v>2895</v>
      </c>
      <c r="J833" s="15" t="s">
        <v>755</v>
      </c>
      <c r="K833" s="15" t="s">
        <v>2895</v>
      </c>
      <c r="L833" s="15" t="s">
        <v>755</v>
      </c>
      <c r="M833" s="15" t="str">
        <f t="shared" si="12"/>
        <v>insert into dbo.LifeInsJobCode (JobCode,JobGrade,JobDescription,JobGroupCode1,JobGroupName1,JobGroupCode2,JobGroupName2,CreateTime,Creator,ModifyTime,Modifier) VALUES ('15000330','1','瓦斯器具商：負責人','','','','',getdate(),'Alvin',getdate(),'Alvin')</v>
      </c>
    </row>
    <row r="834" spans="2:13" ht="13.8">
      <c r="B834" s="15" t="s">
        <v>2387</v>
      </c>
      <c r="C834" s="15">
        <v>1</v>
      </c>
      <c r="D834" s="15" t="s">
        <v>2388</v>
      </c>
      <c r="E834" s="15" t="s">
        <v>758</v>
      </c>
      <c r="F834" s="15" t="s">
        <v>758</v>
      </c>
      <c r="G834" s="15" t="s">
        <v>758</v>
      </c>
      <c r="H834" s="15" t="s">
        <v>758</v>
      </c>
      <c r="I834" s="15" t="s">
        <v>2895</v>
      </c>
      <c r="J834" s="15" t="s">
        <v>755</v>
      </c>
      <c r="K834" s="15" t="s">
        <v>2895</v>
      </c>
      <c r="L834" s="15" t="s">
        <v>755</v>
      </c>
      <c r="M834" s="15" t="str">
        <f t="shared" ref="M834:M897" si="13">$M$1 &amp; " VALUES ('"&amp;B834&amp;"','"&amp;C834&amp;"','"&amp;D834&amp;"','"&amp;E834&amp;"','"&amp;F834&amp;"','"&amp;G834&amp;"','"&amp;H834&amp;"',"&amp;I834&amp;",'"&amp;J834&amp;"',"&amp;K834&amp;",'"&amp;L834&amp;"')"</f>
        <v>insert into dbo.LifeInsJobCode (JobCode,JobGrade,JobDescription,JobGroupCode1,JobGroupName1,JobGroupCode2,JobGroupName2,CreateTime,Creator,ModifyTime,Modifier) VALUES ('15000340','1','瓦斯器具商：店員','','','','',getdate(),'Alvin',getdate(),'Alvin')</v>
      </c>
    </row>
    <row r="835" spans="2:13" ht="13.8">
      <c r="B835" s="15" t="s">
        <v>2389</v>
      </c>
      <c r="C835" s="15">
        <v>3</v>
      </c>
      <c r="D835" s="15" t="s">
        <v>2390</v>
      </c>
      <c r="E835" s="15" t="s">
        <v>758</v>
      </c>
      <c r="F835" s="15" t="s">
        <v>758</v>
      </c>
      <c r="G835" s="15" t="s">
        <v>758</v>
      </c>
      <c r="H835" s="15" t="s">
        <v>758</v>
      </c>
      <c r="I835" s="15" t="s">
        <v>2895</v>
      </c>
      <c r="J835" s="15" t="s">
        <v>755</v>
      </c>
      <c r="K835" s="15" t="s">
        <v>2895</v>
      </c>
      <c r="L835" s="15" t="s">
        <v>755</v>
      </c>
      <c r="M835" s="15" t="str">
        <f t="shared" si="13"/>
        <v>insert into dbo.LifeInsJobCode (JobCode,JobGrade,JobDescription,JobGroupCode1,JobGroupName1,JobGroupCode2,JobGroupName2,CreateTime,Creator,ModifyTime,Modifier) VALUES ('15000350','3','瓦斯器具商：送貨員','','','','',getdate(),'Alvin',getdate(),'Alvin')</v>
      </c>
    </row>
    <row r="836" spans="2:13" ht="13.8">
      <c r="B836" s="15" t="s">
        <v>2391</v>
      </c>
      <c r="C836" s="15">
        <v>3</v>
      </c>
      <c r="D836" s="15" t="s">
        <v>2392</v>
      </c>
      <c r="E836" s="15" t="s">
        <v>758</v>
      </c>
      <c r="F836" s="15" t="s">
        <v>758</v>
      </c>
      <c r="G836" s="15" t="s">
        <v>758</v>
      </c>
      <c r="H836" s="15" t="s">
        <v>758</v>
      </c>
      <c r="I836" s="15" t="s">
        <v>2895</v>
      </c>
      <c r="J836" s="15" t="s">
        <v>755</v>
      </c>
      <c r="K836" s="15" t="s">
        <v>2895</v>
      </c>
      <c r="L836" s="15" t="s">
        <v>755</v>
      </c>
      <c r="M836" s="15" t="str">
        <f t="shared" si="13"/>
        <v>insert into dbo.LifeInsJobCode (JobCode,JobGrade,JobDescription,JobGroupCode1,JobGroupName1,JobGroupCode2,JobGroupName2,CreateTime,Creator,ModifyTime,Modifier) VALUES ('15000360','3','瓦斯器具商：裝設工','','','','',getdate(),'Alvin',getdate(),'Alvin')</v>
      </c>
    </row>
    <row r="837" spans="2:13" ht="13.8">
      <c r="B837" s="15" t="s">
        <v>2393</v>
      </c>
      <c r="C837" s="15">
        <v>2</v>
      </c>
      <c r="D837" s="15" t="s">
        <v>2394</v>
      </c>
      <c r="E837" s="15" t="s">
        <v>758</v>
      </c>
      <c r="F837" s="15" t="s">
        <v>758</v>
      </c>
      <c r="G837" s="15" t="s">
        <v>758</v>
      </c>
      <c r="H837" s="15" t="s">
        <v>758</v>
      </c>
      <c r="I837" s="15" t="s">
        <v>2895</v>
      </c>
      <c r="J837" s="15" t="s">
        <v>755</v>
      </c>
      <c r="K837" s="15" t="s">
        <v>2895</v>
      </c>
      <c r="L837" s="15" t="s">
        <v>755</v>
      </c>
      <c r="M837" s="15" t="str">
        <f t="shared" si="13"/>
        <v>insert into dbo.LifeInsJobCode (JobCode,JobGrade,JobDescription,JobGroupCode1,JobGroupName1,JobGroupCode2,JobGroupName2,CreateTime,Creator,ModifyTime,Modifier) VALUES ('15000370','2','液化瓦斯零售商：負責人','','','','',getdate(),'Alvin',getdate(),'Alvin')</v>
      </c>
    </row>
    <row r="838" spans="2:13" ht="13.8">
      <c r="B838" s="15" t="s">
        <v>2395</v>
      </c>
      <c r="C838" s="15">
        <v>2</v>
      </c>
      <c r="D838" s="15" t="s">
        <v>2396</v>
      </c>
      <c r="E838" s="15" t="s">
        <v>758</v>
      </c>
      <c r="F838" s="15" t="s">
        <v>758</v>
      </c>
      <c r="G838" s="15" t="s">
        <v>758</v>
      </c>
      <c r="H838" s="15" t="s">
        <v>758</v>
      </c>
      <c r="I838" s="15" t="s">
        <v>2895</v>
      </c>
      <c r="J838" s="15" t="s">
        <v>755</v>
      </c>
      <c r="K838" s="15" t="s">
        <v>2895</v>
      </c>
      <c r="L838" s="15" t="s">
        <v>755</v>
      </c>
      <c r="M838" s="15" t="str">
        <f t="shared" si="13"/>
        <v>insert into dbo.LifeInsJobCode (JobCode,JobGrade,JobDescription,JobGroupCode1,JobGroupName1,JobGroupCode2,JobGroupName2,CreateTime,Creator,ModifyTime,Modifier) VALUES ('15000380','2','液化瓦斯零售商：店員','','','','',getdate(),'Alvin',getdate(),'Alvin')</v>
      </c>
    </row>
    <row r="839" spans="2:13" ht="13.8">
      <c r="B839" s="15" t="s">
        <v>2397</v>
      </c>
      <c r="C839" s="15">
        <v>4</v>
      </c>
      <c r="D839" s="15" t="s">
        <v>2398</v>
      </c>
      <c r="E839" s="15" t="s">
        <v>758</v>
      </c>
      <c r="F839" s="15" t="s">
        <v>758</v>
      </c>
      <c r="G839" s="15" t="s">
        <v>758</v>
      </c>
      <c r="H839" s="15" t="s">
        <v>758</v>
      </c>
      <c r="I839" s="15" t="s">
        <v>2895</v>
      </c>
      <c r="J839" s="15" t="s">
        <v>755</v>
      </c>
      <c r="K839" s="15" t="s">
        <v>2895</v>
      </c>
      <c r="L839" s="15" t="s">
        <v>755</v>
      </c>
      <c r="M839" s="15" t="str">
        <f t="shared" si="13"/>
        <v>insert into dbo.LifeInsJobCode (JobCode,JobGrade,JobDescription,JobGroupCode1,JobGroupName1,JobGroupCode2,JobGroupName2,CreateTime,Creator,ModifyTime,Modifier) VALUES ('15000390','4','液化瓦斯零售商：送貨員','','','','',getdate(),'Alvin',getdate(),'Alvin')</v>
      </c>
    </row>
    <row r="840" spans="2:13" ht="13.8">
      <c r="B840" s="15" t="s">
        <v>2399</v>
      </c>
      <c r="C840" s="15">
        <v>5</v>
      </c>
      <c r="D840" s="15" t="s">
        <v>2400</v>
      </c>
      <c r="E840" s="15" t="s">
        <v>758</v>
      </c>
      <c r="F840" s="15" t="s">
        <v>758</v>
      </c>
      <c r="G840" s="15" t="s">
        <v>758</v>
      </c>
      <c r="H840" s="15" t="s">
        <v>758</v>
      </c>
      <c r="I840" s="15" t="s">
        <v>2895</v>
      </c>
      <c r="J840" s="15" t="s">
        <v>755</v>
      </c>
      <c r="K840" s="15" t="s">
        <v>2895</v>
      </c>
      <c r="L840" s="15" t="s">
        <v>755</v>
      </c>
      <c r="M840" s="15" t="str">
        <f t="shared" si="13"/>
        <v>insert into dbo.LifeInsJobCode (JobCode,JobGrade,JobDescription,JobGroupCode1,JobGroupName1,JobGroupCode2,JobGroupName2,CreateTime,Creator,ModifyTime,Modifier) VALUES ('15000400','5','液化瓦斯零售商：瓦斯分裝工','','','','',getdate(),'Alvin',getdate(),'Alvin')</v>
      </c>
    </row>
    <row r="841" spans="2:13" ht="13.8">
      <c r="B841" s="15" t="s">
        <v>2401</v>
      </c>
      <c r="C841" s="15">
        <v>3</v>
      </c>
      <c r="D841" s="15" t="s">
        <v>2402</v>
      </c>
      <c r="E841" s="15" t="s">
        <v>758</v>
      </c>
      <c r="F841" s="15" t="s">
        <v>758</v>
      </c>
      <c r="G841" s="15" t="s">
        <v>758</v>
      </c>
      <c r="H841" s="15" t="s">
        <v>758</v>
      </c>
      <c r="I841" s="15" t="s">
        <v>2895</v>
      </c>
      <c r="J841" s="15" t="s">
        <v>755</v>
      </c>
      <c r="K841" s="15" t="s">
        <v>2895</v>
      </c>
      <c r="L841" s="15" t="s">
        <v>755</v>
      </c>
      <c r="M841" s="15" t="str">
        <f t="shared" si="13"/>
        <v>insert into dbo.LifeInsJobCode (JobCode,JobGrade,JobDescription,JobGroupCode1,JobGroupName1,JobGroupCode2,JobGroupName2,CreateTime,Creator,ModifyTime,Modifier) VALUES ('15000410','3','液化瓦斯零售商：舊貨收購人員','','','','',getdate(),'Alvin',getdate(),'Alvin')</v>
      </c>
    </row>
    <row r="842" spans="2:13" ht="13.8">
      <c r="B842" s="15" t="s">
        <v>2403</v>
      </c>
      <c r="C842" s="15">
        <v>1</v>
      </c>
      <c r="D842" s="15" t="s">
        <v>2404</v>
      </c>
      <c r="E842" s="15" t="s">
        <v>758</v>
      </c>
      <c r="F842" s="15" t="s">
        <v>758</v>
      </c>
      <c r="G842" s="15" t="s">
        <v>758</v>
      </c>
      <c r="H842" s="15" t="s">
        <v>758</v>
      </c>
      <c r="I842" s="15" t="s">
        <v>2895</v>
      </c>
      <c r="J842" s="15" t="s">
        <v>755</v>
      </c>
      <c r="K842" s="15" t="s">
        <v>2895</v>
      </c>
      <c r="L842" s="15" t="s">
        <v>755</v>
      </c>
      <c r="M842" s="15" t="str">
        <f t="shared" si="13"/>
        <v>insert into dbo.LifeInsJobCode (JobCode,JobGrade,JobDescription,JobGroupCode1,JobGroupName1,JobGroupCode2,JobGroupName2,CreateTime,Creator,ModifyTime,Modifier) VALUES ('15000420','1','液化瓦斯零售商：超市、便利商店店員','','','','',getdate(),'Alvin',getdate(),'Alvin')</v>
      </c>
    </row>
    <row r="843" spans="2:13" ht="13.8">
      <c r="B843" s="15" t="s">
        <v>2405</v>
      </c>
      <c r="C843" s="15">
        <v>1</v>
      </c>
      <c r="D843" s="15" t="s">
        <v>2406</v>
      </c>
      <c r="E843" s="15" t="s">
        <v>758</v>
      </c>
      <c r="F843" s="15" t="s">
        <v>758</v>
      </c>
      <c r="G843" s="15" t="s">
        <v>758</v>
      </c>
      <c r="H843" s="15" t="s">
        <v>758</v>
      </c>
      <c r="I843" s="15" t="s">
        <v>2895</v>
      </c>
      <c r="J843" s="15" t="s">
        <v>755</v>
      </c>
      <c r="K843" s="15" t="s">
        <v>2895</v>
      </c>
      <c r="L843" s="15" t="s">
        <v>755</v>
      </c>
      <c r="M843" s="15" t="str">
        <f t="shared" si="13"/>
        <v>insert into dbo.LifeInsJobCode (JobCode,JobGrade,JobDescription,JobGroupCode1,JobGroupName1,JobGroupCode2,JobGroupName2,CreateTime,Creator,ModifyTime,Modifier) VALUES ('15000430','1','液化瓦斯零售商：銀樓商','','','','',getdate(),'Alvin',getdate(),'Alvin')</v>
      </c>
    </row>
    <row r="844" spans="2:13" ht="13.8">
      <c r="B844" s="15" t="s">
        <v>2407</v>
      </c>
      <c r="C844" s="15">
        <v>1</v>
      </c>
      <c r="D844" s="15" t="s">
        <v>2408</v>
      </c>
      <c r="E844" s="15" t="s">
        <v>758</v>
      </c>
      <c r="F844" s="15" t="s">
        <v>758</v>
      </c>
      <c r="G844" s="15" t="s">
        <v>758</v>
      </c>
      <c r="H844" s="15" t="s">
        <v>758</v>
      </c>
      <c r="I844" s="15" t="s">
        <v>2895</v>
      </c>
      <c r="J844" s="15" t="s">
        <v>755</v>
      </c>
      <c r="K844" s="15" t="s">
        <v>2895</v>
      </c>
      <c r="L844" s="15" t="s">
        <v>755</v>
      </c>
      <c r="M844" s="15" t="str">
        <f t="shared" si="13"/>
        <v>insert into dbo.LifeInsJobCode (JobCode,JobGrade,JobDescription,JobGroupCode1,JobGroupName1,JobGroupCode2,JobGroupName2,CreateTime,Creator,ModifyTime,Modifier) VALUES ('15000440','1','液化瓦斯零售商：珠寶買賣(不參與加工作業)、珠寶公司內勤人員','','','','',getdate(),'Alvin',getdate(),'Alvin')</v>
      </c>
    </row>
    <row r="845" spans="2:13" ht="13.8">
      <c r="B845" s="15" t="s">
        <v>2409</v>
      </c>
      <c r="C845" s="15">
        <v>1</v>
      </c>
      <c r="D845" s="15" t="s">
        <v>2410</v>
      </c>
      <c r="E845" s="15" t="s">
        <v>758</v>
      </c>
      <c r="F845" s="15" t="s">
        <v>758</v>
      </c>
      <c r="G845" s="15" t="s">
        <v>758</v>
      </c>
      <c r="H845" s="15" t="s">
        <v>758</v>
      </c>
      <c r="I845" s="15" t="s">
        <v>2895</v>
      </c>
      <c r="J845" s="15" t="s">
        <v>755</v>
      </c>
      <c r="K845" s="15" t="s">
        <v>2895</v>
      </c>
      <c r="L845" s="15" t="s">
        <v>755</v>
      </c>
      <c r="M845" s="15" t="str">
        <f t="shared" si="13"/>
        <v>insert into dbo.LifeInsJobCode (JobCode,JobGrade,JobDescription,JobGroupCode1,JobGroupName1,JobGroupCode2,JobGroupName2,CreateTime,Creator,ModifyTime,Modifier) VALUES ('15000450','1','液化瓦斯零售商：當鋪商','','','','',getdate(),'Alvin',getdate(),'Alvin')</v>
      </c>
    </row>
    <row r="846" spans="2:13" ht="13.8">
      <c r="B846" s="15" t="s">
        <v>2411</v>
      </c>
      <c r="C846" s="15">
        <v>2</v>
      </c>
      <c r="D846" s="15" t="s">
        <v>3347</v>
      </c>
      <c r="E846" s="15" t="s">
        <v>758</v>
      </c>
      <c r="F846" s="15" t="s">
        <v>758</v>
      </c>
      <c r="G846" s="15" t="s">
        <v>758</v>
      </c>
      <c r="H846" s="15" t="s">
        <v>758</v>
      </c>
      <c r="I846" s="15" t="s">
        <v>2895</v>
      </c>
      <c r="J846" s="15" t="s">
        <v>755</v>
      </c>
      <c r="K846" s="15" t="s">
        <v>2895</v>
      </c>
      <c r="L846" s="15" t="s">
        <v>755</v>
      </c>
      <c r="M846" s="15" t="str">
        <f t="shared" si="13"/>
        <v>insert into dbo.LifeInsJobCode (JobCode,JobGrade,JobDescription,JobGroupCode1,JobGroupName1,JobGroupCode2,JobGroupName2,CreateTime,Creator,ModifyTime,Modifier) VALUES ('15000460','2','液化瓦斯零售商：香燭、紙錢、爆竹買賣','','','','',getdate(),'Alvin',getdate(),'Alvin')</v>
      </c>
    </row>
    <row r="847" spans="2:13" ht="13.8">
      <c r="B847" s="15" t="s">
        <v>2412</v>
      </c>
      <c r="C847" s="15">
        <v>2</v>
      </c>
      <c r="D847" s="15" t="s">
        <v>3348</v>
      </c>
      <c r="E847" s="15" t="s">
        <v>758</v>
      </c>
      <c r="F847" s="15" t="s">
        <v>758</v>
      </c>
      <c r="G847" s="15" t="s">
        <v>758</v>
      </c>
      <c r="H847" s="15" t="s">
        <v>758</v>
      </c>
      <c r="I847" s="15" t="s">
        <v>2895</v>
      </c>
      <c r="J847" s="15" t="s">
        <v>755</v>
      </c>
      <c r="K847" s="15" t="s">
        <v>2895</v>
      </c>
      <c r="L847" s="15" t="s">
        <v>755</v>
      </c>
      <c r="M847" s="15" t="str">
        <f t="shared" si="13"/>
        <v>insert into dbo.LifeInsJobCode (JobCode,JobGrade,JobDescription,JobGroupCode1,JobGroupName1,JobGroupCode2,JobGroupName2,CreateTime,Creator,ModifyTime,Modifier) VALUES ('15000470','2','液化瓦斯零售商：檳榔商','','','','',getdate(),'Alvin',getdate(),'Alvin')</v>
      </c>
    </row>
    <row r="848" spans="2:13" ht="13.8">
      <c r="B848" s="15" t="s">
        <v>2413</v>
      </c>
      <c r="C848" s="15">
        <v>2</v>
      </c>
      <c r="D848" s="15" t="s">
        <v>2414</v>
      </c>
      <c r="E848" s="15" t="s">
        <v>758</v>
      </c>
      <c r="F848" s="15" t="s">
        <v>758</v>
      </c>
      <c r="G848" s="15" t="s">
        <v>758</v>
      </c>
      <c r="H848" s="15" t="s">
        <v>758</v>
      </c>
      <c r="I848" s="15" t="s">
        <v>2895</v>
      </c>
      <c r="J848" s="15" t="s">
        <v>755</v>
      </c>
      <c r="K848" s="15" t="s">
        <v>2895</v>
      </c>
      <c r="L848" s="15" t="s">
        <v>755</v>
      </c>
      <c r="M848" s="15" t="str">
        <f t="shared" si="13"/>
        <v>insert into dbo.LifeInsJobCode (JobCode,JobGrade,JobDescription,JobGroupCode1,JobGroupName1,JobGroupCode2,JobGroupName2,CreateTime,Creator,ModifyTime,Modifier) VALUES ('15000480','2','液化瓦斯零售商：一般流動、固定攤販','','','','',getdate(),'Alvin',getdate(),'Alvin')</v>
      </c>
    </row>
    <row r="849" spans="2:13" ht="13.8">
      <c r="B849" s="15" t="s">
        <v>2415</v>
      </c>
      <c r="C849" s="15">
        <v>3</v>
      </c>
      <c r="D849" s="15" t="s">
        <v>2416</v>
      </c>
      <c r="E849" s="15" t="s">
        <v>758</v>
      </c>
      <c r="F849" s="15" t="s">
        <v>758</v>
      </c>
      <c r="G849" s="15" t="s">
        <v>758</v>
      </c>
      <c r="H849" s="15" t="s">
        <v>758</v>
      </c>
      <c r="I849" s="15" t="s">
        <v>2895</v>
      </c>
      <c r="J849" s="15" t="s">
        <v>755</v>
      </c>
      <c r="K849" s="15" t="s">
        <v>2895</v>
      </c>
      <c r="L849" s="15" t="s">
        <v>755</v>
      </c>
      <c r="M849" s="15" t="str">
        <f t="shared" si="13"/>
        <v>insert into dbo.LifeInsJobCode (JobCode,JobGrade,JobDescription,JobGroupCode1,JobGroupName1,JobGroupCode2,JobGroupName2,CreateTime,Creator,ModifyTime,Modifier) VALUES ('15000490','3','液化瓦斯零售商：廢五金買賣商','','','','',getdate(),'Alvin',getdate(),'Alvin')</v>
      </c>
    </row>
    <row r="850" spans="2:13" ht="13.8">
      <c r="B850" s="15" t="s">
        <v>2417</v>
      </c>
      <c r="C850" s="15">
        <v>2</v>
      </c>
      <c r="D850" s="15" t="s">
        <v>2418</v>
      </c>
      <c r="E850" s="15" t="s">
        <v>758</v>
      </c>
      <c r="F850" s="15" t="s">
        <v>758</v>
      </c>
      <c r="G850" s="15" t="s">
        <v>758</v>
      </c>
      <c r="H850" s="15" t="s">
        <v>758</v>
      </c>
      <c r="I850" s="15" t="s">
        <v>2895</v>
      </c>
      <c r="J850" s="15" t="s">
        <v>755</v>
      </c>
      <c r="K850" s="15" t="s">
        <v>2895</v>
      </c>
      <c r="L850" s="15" t="s">
        <v>755</v>
      </c>
      <c r="M850" s="15" t="str">
        <f t="shared" si="13"/>
        <v>insert into dbo.LifeInsJobCode (JobCode,JobGrade,JobDescription,JobGroupCode1,JobGroupName1,JobGroupCode2,JobGroupName2,CreateTime,Creator,ModifyTime,Modifier) VALUES ('15000500','2','液化瓦斯零售商：碾米商','','','','',getdate(),'Alvin',getdate(),'Alvin')</v>
      </c>
    </row>
    <row r="851" spans="2:13" ht="13.8">
      <c r="B851" s="15" t="s">
        <v>2419</v>
      </c>
      <c r="C851" s="15">
        <v>1</v>
      </c>
      <c r="D851" s="15" t="s">
        <v>1067</v>
      </c>
      <c r="E851" s="15" t="s">
        <v>2420</v>
      </c>
      <c r="F851" s="15" t="s">
        <v>2421</v>
      </c>
      <c r="G851" s="15" t="s">
        <v>2422</v>
      </c>
      <c r="H851" s="15" t="s">
        <v>2423</v>
      </c>
      <c r="I851" s="15" t="s">
        <v>2895</v>
      </c>
      <c r="J851" s="15" t="s">
        <v>755</v>
      </c>
      <c r="K851" s="15" t="s">
        <v>2895</v>
      </c>
      <c r="L851" s="15" t="s">
        <v>755</v>
      </c>
      <c r="M851" s="15" t="str">
        <f t="shared" si="13"/>
        <v>insert into dbo.LifeInsJobCode (JobCode,JobGrade,JobDescription,JobGroupCode1,JobGroupName1,JobGroupCode2,JobGroupName2,CreateTime,Creator,ModifyTime,Modifier) VALUES ('16010010','1','一般內勤人員','16','服務業','1601','銀行、保險、信託、租貸',getdate(),'Alvin',getdate(),'Alvin')</v>
      </c>
    </row>
    <row r="852" spans="2:13" ht="13.8">
      <c r="B852" s="15" t="s">
        <v>2424</v>
      </c>
      <c r="C852" s="15">
        <v>2</v>
      </c>
      <c r="D852" s="15" t="s">
        <v>971</v>
      </c>
      <c r="E852" s="15" t="s">
        <v>758</v>
      </c>
      <c r="F852" s="15" t="s">
        <v>758</v>
      </c>
      <c r="G852" s="15" t="s">
        <v>758</v>
      </c>
      <c r="H852" s="15" t="s">
        <v>758</v>
      </c>
      <c r="I852" s="15" t="s">
        <v>2895</v>
      </c>
      <c r="J852" s="15" t="s">
        <v>755</v>
      </c>
      <c r="K852" s="15" t="s">
        <v>2895</v>
      </c>
      <c r="L852" s="15" t="s">
        <v>755</v>
      </c>
      <c r="M852" s="15" t="str">
        <f t="shared" si="13"/>
        <v>insert into dbo.LifeInsJobCode (JobCode,JobGrade,JobDescription,JobGroupCode1,JobGroupName1,JobGroupCode2,JobGroupName2,CreateTime,Creator,ModifyTime,Modifier) VALUES ('16010020','2','外務員','','','','',getdate(),'Alvin',getdate(),'Alvin')</v>
      </c>
    </row>
    <row r="853" spans="2:13" ht="13.8">
      <c r="B853" s="15" t="s">
        <v>2425</v>
      </c>
      <c r="C853" s="15">
        <v>2</v>
      </c>
      <c r="D853" s="15" t="s">
        <v>2426</v>
      </c>
      <c r="E853" s="15" t="s">
        <v>758</v>
      </c>
      <c r="F853" s="15" t="s">
        <v>758</v>
      </c>
      <c r="G853" s="15" t="s">
        <v>758</v>
      </c>
      <c r="H853" s="15" t="s">
        <v>758</v>
      </c>
      <c r="I853" s="15" t="s">
        <v>2895</v>
      </c>
      <c r="J853" s="15" t="s">
        <v>755</v>
      </c>
      <c r="K853" s="15" t="s">
        <v>2895</v>
      </c>
      <c r="L853" s="15" t="s">
        <v>755</v>
      </c>
      <c r="M853" s="15" t="str">
        <f t="shared" si="13"/>
        <v>insert into dbo.LifeInsJobCode (JobCode,JobGrade,JobDescription,JobGroupCode1,JobGroupName1,JobGroupCode2,JobGroupName2,CreateTime,Creator,ModifyTime,Modifier) VALUES ('16010030','2','收費員','','','','',getdate(),'Alvin',getdate(),'Alvin')</v>
      </c>
    </row>
    <row r="854" spans="2:13" ht="13.8">
      <c r="B854" s="15" t="s">
        <v>2427</v>
      </c>
      <c r="C854" s="15">
        <v>2</v>
      </c>
      <c r="D854" s="15" t="s">
        <v>2428</v>
      </c>
      <c r="E854" s="15" t="s">
        <v>758</v>
      </c>
      <c r="F854" s="15" t="s">
        <v>758</v>
      </c>
      <c r="G854" s="15" t="s">
        <v>758</v>
      </c>
      <c r="H854" s="15" t="s">
        <v>758</v>
      </c>
      <c r="I854" s="15" t="s">
        <v>2895</v>
      </c>
      <c r="J854" s="15" t="s">
        <v>755</v>
      </c>
      <c r="K854" s="15" t="s">
        <v>2895</v>
      </c>
      <c r="L854" s="15" t="s">
        <v>755</v>
      </c>
      <c r="M854" s="15" t="str">
        <f t="shared" si="13"/>
        <v>insert into dbo.LifeInsJobCode (JobCode,JobGrade,JobDescription,JobGroupCode1,JobGroupName1,JobGroupCode2,JobGroupName2,CreateTime,Creator,ModifyTime,Modifier) VALUES ('16010040','2','調查徵信人員','','','','',getdate(),'Alvin',getdate(),'Alvin')</v>
      </c>
    </row>
    <row r="855" spans="2:13" ht="13.8">
      <c r="B855" s="15" t="s">
        <v>2429</v>
      </c>
      <c r="C855" s="15">
        <v>3</v>
      </c>
      <c r="D855" s="15" t="s">
        <v>2430</v>
      </c>
      <c r="E855" s="15" t="s">
        <v>758</v>
      </c>
      <c r="F855" s="15" t="s">
        <v>758</v>
      </c>
      <c r="G855" s="15" t="s">
        <v>758</v>
      </c>
      <c r="H855" s="15" t="s">
        <v>758</v>
      </c>
      <c r="I855" s="15" t="s">
        <v>2895</v>
      </c>
      <c r="J855" s="15" t="s">
        <v>755</v>
      </c>
      <c r="K855" s="15" t="s">
        <v>2895</v>
      </c>
      <c r="L855" s="15" t="s">
        <v>755</v>
      </c>
      <c r="M855" s="15" t="str">
        <f t="shared" si="13"/>
        <v>insert into dbo.LifeInsJobCode (JobCode,JobGrade,JobDescription,JobGroupCode1,JobGroupName1,JobGroupCode2,JobGroupName2,CreateTime,Creator,ModifyTime,Modifier) VALUES ('16010050','3','現金運送員、司機','','','','',getdate(),'Alvin',getdate(),'Alvin')</v>
      </c>
    </row>
    <row r="856" spans="2:13" ht="13.8">
      <c r="B856" s="15" t="s">
        <v>2431</v>
      </c>
      <c r="C856" s="15">
        <v>1</v>
      </c>
      <c r="D856" s="15" t="s">
        <v>2432</v>
      </c>
      <c r="E856" s="15" t="s">
        <v>758</v>
      </c>
      <c r="F856" s="15" t="s">
        <v>758</v>
      </c>
      <c r="G856" s="15" t="s">
        <v>2433</v>
      </c>
      <c r="H856" s="15" t="s">
        <v>2434</v>
      </c>
      <c r="I856" s="15" t="s">
        <v>2895</v>
      </c>
      <c r="J856" s="15" t="s">
        <v>755</v>
      </c>
      <c r="K856" s="15" t="s">
        <v>2895</v>
      </c>
      <c r="L856" s="15" t="s">
        <v>755</v>
      </c>
      <c r="M856" s="15" t="str">
        <f t="shared" si="13"/>
        <v>insert into dbo.LifeInsJobCode (JobCode,JobGrade,JobDescription,JobGroupCode1,JobGroupName1,JobGroupCode2,JobGroupName2,CreateTime,Creator,ModifyTime,Modifier) VALUES ('16020010','1','律師','','','1602','自由業',getdate(),'Alvin',getdate(),'Alvin')</v>
      </c>
    </row>
    <row r="857" spans="2:13" ht="13.8">
      <c r="B857" s="15" t="s">
        <v>2435</v>
      </c>
      <c r="C857" s="15">
        <v>1</v>
      </c>
      <c r="D857" s="15" t="s">
        <v>2436</v>
      </c>
      <c r="E857" s="15" t="s">
        <v>758</v>
      </c>
      <c r="F857" s="15" t="s">
        <v>758</v>
      </c>
      <c r="G857" s="15" t="s">
        <v>758</v>
      </c>
      <c r="H857" s="15" t="s">
        <v>758</v>
      </c>
      <c r="I857" s="15" t="s">
        <v>2895</v>
      </c>
      <c r="J857" s="15" t="s">
        <v>755</v>
      </c>
      <c r="K857" s="15" t="s">
        <v>2895</v>
      </c>
      <c r="L857" s="15" t="s">
        <v>755</v>
      </c>
      <c r="M857" s="15" t="str">
        <f t="shared" si="13"/>
        <v>insert into dbo.LifeInsJobCode (JobCode,JobGrade,JobDescription,JobGroupCode1,JobGroupName1,JobGroupCode2,JobGroupName2,CreateTime,Creator,ModifyTime,Modifier) VALUES ('16020020','1','會計師','','','','',getdate(),'Alvin',getdate(),'Alvin')</v>
      </c>
    </row>
    <row r="858" spans="2:13" ht="13.8">
      <c r="B858" s="15" t="s">
        <v>2437</v>
      </c>
      <c r="C858" s="15">
        <v>1</v>
      </c>
      <c r="D858" s="15" t="s">
        <v>3315</v>
      </c>
      <c r="E858" s="15" t="s">
        <v>758</v>
      </c>
      <c r="F858" s="15" t="s">
        <v>758</v>
      </c>
      <c r="G858" s="15" t="s">
        <v>758</v>
      </c>
      <c r="H858" s="15" t="s">
        <v>758</v>
      </c>
      <c r="I858" s="15" t="s">
        <v>2895</v>
      </c>
      <c r="J858" s="15" t="s">
        <v>755</v>
      </c>
      <c r="K858" s="15" t="s">
        <v>2895</v>
      </c>
      <c r="L858" s="15" t="s">
        <v>755</v>
      </c>
      <c r="M858" s="15" t="str">
        <f t="shared" si="13"/>
        <v>insert into dbo.LifeInsJobCode (JobCode,JobGrade,JobDescription,JobGroupCode1,JobGroupName1,JobGroupCode2,JobGroupName2,CreateTime,Creator,ModifyTime,Modifier) VALUES ('16020030','1','代書(內勤)','','','','',getdate(),'Alvin',getdate(),'Alvin')</v>
      </c>
    </row>
    <row r="859" spans="2:13" ht="13.8">
      <c r="B859" s="15" t="s">
        <v>2438</v>
      </c>
      <c r="C859" s="15">
        <v>1</v>
      </c>
      <c r="D859" s="15" t="s">
        <v>3316</v>
      </c>
      <c r="E859" s="15" t="s">
        <v>758</v>
      </c>
      <c r="F859" s="15" t="s">
        <v>758</v>
      </c>
      <c r="G859" s="15" t="s">
        <v>758</v>
      </c>
      <c r="H859" s="15" t="s">
        <v>758</v>
      </c>
      <c r="I859" s="15" t="s">
        <v>2895</v>
      </c>
      <c r="J859" s="15" t="s">
        <v>755</v>
      </c>
      <c r="K859" s="15" t="s">
        <v>2895</v>
      </c>
      <c r="L859" s="15" t="s">
        <v>755</v>
      </c>
      <c r="M859" s="15" t="str">
        <f t="shared" si="13"/>
        <v>insert into dbo.LifeInsJobCode (JobCode,JobGrade,JobDescription,JobGroupCode1,JobGroupName1,JobGroupCode2,JobGroupName2,CreateTime,Creator,ModifyTime,Modifier) VALUES ('16020040','1','經紀人(內勤)','','','','',getdate(),'Alvin',getdate(),'Alvin')</v>
      </c>
    </row>
    <row r="860" spans="2:13" ht="13.8">
      <c r="B860" s="15" t="s">
        <v>2439</v>
      </c>
      <c r="C860" s="15">
        <v>2</v>
      </c>
      <c r="D860" s="15" t="s">
        <v>310</v>
      </c>
      <c r="E860" s="15" t="s">
        <v>758</v>
      </c>
      <c r="F860" s="15" t="s">
        <v>758</v>
      </c>
      <c r="G860" s="15" t="s">
        <v>758</v>
      </c>
      <c r="H860" s="15" t="s">
        <v>758</v>
      </c>
      <c r="I860" s="15" t="s">
        <v>2895</v>
      </c>
      <c r="J860" s="15" t="s">
        <v>755</v>
      </c>
      <c r="K860" s="15" t="s">
        <v>2895</v>
      </c>
      <c r="L860" s="15" t="s">
        <v>755</v>
      </c>
      <c r="M860" s="15" t="str">
        <f t="shared" si="13"/>
        <v>insert into dbo.LifeInsJobCode (JobCode,JobGrade,JobDescription,JobGroupCode1,JobGroupName1,JobGroupCode2,JobGroupName2,CreateTime,Creator,ModifyTime,Modifier) VALUES ('16020050','2','外勤人員','','','','',getdate(),'Alvin',getdate(),'Alvin')</v>
      </c>
    </row>
    <row r="861" spans="2:13" ht="13.8">
      <c r="B861" s="15" t="s">
        <v>2440</v>
      </c>
      <c r="C861" s="15">
        <v>2</v>
      </c>
      <c r="D861" s="15" t="s">
        <v>2441</v>
      </c>
      <c r="E861" s="15" t="s">
        <v>758</v>
      </c>
      <c r="F861" s="15" t="s">
        <v>758</v>
      </c>
      <c r="G861" s="15" t="s">
        <v>758</v>
      </c>
      <c r="H861" s="15" t="s">
        <v>758</v>
      </c>
      <c r="I861" s="15" t="s">
        <v>2895</v>
      </c>
      <c r="J861" s="15" t="s">
        <v>755</v>
      </c>
      <c r="K861" s="15" t="s">
        <v>2895</v>
      </c>
      <c r="L861" s="15" t="s">
        <v>755</v>
      </c>
      <c r="M861" s="15" t="str">
        <f t="shared" si="13"/>
        <v>insert into dbo.LifeInsJobCode (JobCode,JobGrade,JobDescription,JobGroupCode1,JobGroupName1,JobGroupCode2,JobGroupName2,CreateTime,Creator,ModifyTime,Modifier) VALUES ('16020060','2','房屋土地仲介','','','','',getdate(),'Alvin',getdate(),'Alvin')</v>
      </c>
    </row>
    <row r="862" spans="2:13" ht="13.8">
      <c r="B862" s="15" t="s">
        <v>2442</v>
      </c>
      <c r="C862" s="15">
        <v>2</v>
      </c>
      <c r="D862" s="15" t="s">
        <v>2443</v>
      </c>
      <c r="E862" s="15" t="s">
        <v>758</v>
      </c>
      <c r="F862" s="15" t="s">
        <v>758</v>
      </c>
      <c r="G862" s="15" t="s">
        <v>2444</v>
      </c>
      <c r="H862" s="15" t="s">
        <v>2180</v>
      </c>
      <c r="I862" s="15" t="s">
        <v>2895</v>
      </c>
      <c r="J862" s="15" t="s">
        <v>755</v>
      </c>
      <c r="K862" s="15" t="s">
        <v>2895</v>
      </c>
      <c r="L862" s="15" t="s">
        <v>755</v>
      </c>
      <c r="M862" s="15" t="str">
        <f t="shared" si="13"/>
        <v>insert into dbo.LifeInsJobCode (JobCode,JobGrade,JobDescription,JobGroupCode1,JobGroupName1,JobGroupCode2,JobGroupName2,CreateTime,Creator,ModifyTime,Modifier) VALUES ('16030010','2','公證行外務員','','','1603','其他',getdate(),'Alvin',getdate(),'Alvin')</v>
      </c>
    </row>
    <row r="863" spans="2:13" ht="13.8">
      <c r="B863" s="15" t="s">
        <v>2445</v>
      </c>
      <c r="C863" s="15">
        <v>2</v>
      </c>
      <c r="D863" s="15" t="s">
        <v>2446</v>
      </c>
      <c r="E863" s="15" t="s">
        <v>758</v>
      </c>
      <c r="F863" s="15" t="s">
        <v>758</v>
      </c>
      <c r="G863" s="15" t="s">
        <v>758</v>
      </c>
      <c r="H863" s="15" t="s">
        <v>758</v>
      </c>
      <c r="I863" s="15" t="s">
        <v>2895</v>
      </c>
      <c r="J863" s="15" t="s">
        <v>755</v>
      </c>
      <c r="K863" s="15" t="s">
        <v>2895</v>
      </c>
      <c r="L863" s="15" t="s">
        <v>755</v>
      </c>
      <c r="M863" s="15" t="str">
        <f t="shared" si="13"/>
        <v>insert into dbo.LifeInsJobCode (JobCode,JobGrade,JobDescription,JobGroupCode1,JobGroupName1,JobGroupCode2,JobGroupName2,CreateTime,Creator,ModifyTime,Modifier) VALUES ('16030020','2','報關行外務員','','','','',getdate(),'Alvin',getdate(),'Alvin')</v>
      </c>
    </row>
    <row r="864" spans="2:13" ht="13.8">
      <c r="B864" s="15" t="s">
        <v>2447</v>
      </c>
      <c r="C864" s="15">
        <v>1</v>
      </c>
      <c r="D864" s="15" t="s">
        <v>2448</v>
      </c>
      <c r="E864" s="15" t="s">
        <v>758</v>
      </c>
      <c r="F864" s="15" t="s">
        <v>758</v>
      </c>
      <c r="G864" s="15" t="s">
        <v>758</v>
      </c>
      <c r="H864" s="15" t="s">
        <v>758</v>
      </c>
      <c r="I864" s="15" t="s">
        <v>2895</v>
      </c>
      <c r="J864" s="15" t="s">
        <v>755</v>
      </c>
      <c r="K864" s="15" t="s">
        <v>2895</v>
      </c>
      <c r="L864" s="15" t="s">
        <v>755</v>
      </c>
      <c r="M864" s="15" t="str">
        <f t="shared" si="13"/>
        <v>insert into dbo.LifeInsJobCode (JobCode,JobGrade,JobDescription,JobGroupCode1,JobGroupName1,JobGroupCode2,JobGroupName2,CreateTime,Creator,ModifyTime,Modifier) VALUES ('16030030','1','理髮師、造型師','','','','',getdate(),'Alvin',getdate(),'Alvin')</v>
      </c>
    </row>
    <row r="865" spans="2:13" ht="13.8">
      <c r="B865" s="15" t="s">
        <v>2449</v>
      </c>
      <c r="C865" s="15">
        <v>1</v>
      </c>
      <c r="D865" s="15" t="s">
        <v>2450</v>
      </c>
      <c r="E865" s="15" t="s">
        <v>758</v>
      </c>
      <c r="F865" s="15" t="s">
        <v>758</v>
      </c>
      <c r="G865" s="15" t="s">
        <v>758</v>
      </c>
      <c r="H865" s="15" t="s">
        <v>758</v>
      </c>
      <c r="I865" s="15" t="s">
        <v>2895</v>
      </c>
      <c r="J865" s="15" t="s">
        <v>755</v>
      </c>
      <c r="K865" s="15" t="s">
        <v>2895</v>
      </c>
      <c r="L865" s="15" t="s">
        <v>755</v>
      </c>
      <c r="M865" s="15" t="str">
        <f t="shared" si="13"/>
        <v>insert into dbo.LifeInsJobCode (JobCode,JobGrade,JobDescription,JobGroupCode1,JobGroupName1,JobGroupCode2,JobGroupName2,CreateTime,Creator,ModifyTime,Modifier) VALUES ('16030040','1','美容師','','','','',getdate(),'Alvin',getdate(),'Alvin')</v>
      </c>
    </row>
    <row r="866" spans="2:13" ht="13.8">
      <c r="B866" s="15" t="s">
        <v>2451</v>
      </c>
      <c r="C866" s="15">
        <v>2</v>
      </c>
      <c r="D866" s="15" t="s">
        <v>2452</v>
      </c>
      <c r="E866" s="15" t="s">
        <v>758</v>
      </c>
      <c r="F866" s="15" t="s">
        <v>758</v>
      </c>
      <c r="G866" s="15" t="s">
        <v>758</v>
      </c>
      <c r="H866" s="15" t="s">
        <v>758</v>
      </c>
      <c r="I866" s="15" t="s">
        <v>2895</v>
      </c>
      <c r="J866" s="15" t="s">
        <v>755</v>
      </c>
      <c r="K866" s="15" t="s">
        <v>2895</v>
      </c>
      <c r="L866" s="15" t="s">
        <v>755</v>
      </c>
      <c r="M866" s="15" t="str">
        <f t="shared" si="13"/>
        <v>insert into dbo.LifeInsJobCode (JobCode,JobGrade,JobDescription,JobGroupCode1,JobGroupName1,JobGroupCode2,JobGroupName2,CreateTime,Creator,ModifyTime,Modifier) VALUES ('16030041','2','寵物美容師','','','','',getdate(),'Alvin',getdate(),'Alvin')</v>
      </c>
    </row>
    <row r="867" spans="2:13" ht="13.8">
      <c r="B867" s="15" t="s">
        <v>2453</v>
      </c>
      <c r="C867" s="15">
        <v>1</v>
      </c>
      <c r="D867" s="15" t="s">
        <v>2454</v>
      </c>
      <c r="E867" s="15" t="s">
        <v>758</v>
      </c>
      <c r="F867" s="15" t="s">
        <v>758</v>
      </c>
      <c r="G867" s="15" t="s">
        <v>758</v>
      </c>
      <c r="H867" s="15" t="s">
        <v>758</v>
      </c>
      <c r="I867" s="15" t="s">
        <v>2895</v>
      </c>
      <c r="J867" s="15" t="s">
        <v>755</v>
      </c>
      <c r="K867" s="15" t="s">
        <v>2895</v>
      </c>
      <c r="L867" s="15" t="s">
        <v>755</v>
      </c>
      <c r="M867" s="15" t="str">
        <f t="shared" si="13"/>
        <v>insert into dbo.LifeInsJobCode (JobCode,JobGrade,JobDescription,JobGroupCode1,JobGroupName1,JobGroupCode2,JobGroupName2,CreateTime,Creator,ModifyTime,Modifier) VALUES ('16030050','1','鐘錶匠','','','','',getdate(),'Alvin',getdate(),'Alvin')</v>
      </c>
    </row>
    <row r="868" spans="2:13" ht="13.8">
      <c r="B868" s="15" t="s">
        <v>2455</v>
      </c>
      <c r="C868" s="15">
        <v>2</v>
      </c>
      <c r="D868" s="15" t="s">
        <v>2456</v>
      </c>
      <c r="E868" s="15" t="s">
        <v>758</v>
      </c>
      <c r="F868" s="15" t="s">
        <v>758</v>
      </c>
      <c r="G868" s="15" t="s">
        <v>758</v>
      </c>
      <c r="H868" s="15" t="s">
        <v>758</v>
      </c>
      <c r="I868" s="15" t="s">
        <v>2895</v>
      </c>
      <c r="J868" s="15" t="s">
        <v>755</v>
      </c>
      <c r="K868" s="15" t="s">
        <v>2895</v>
      </c>
      <c r="L868" s="15" t="s">
        <v>755</v>
      </c>
      <c r="M868" s="15" t="str">
        <f t="shared" si="13"/>
        <v>insert into dbo.LifeInsJobCode (JobCode,JobGrade,JobDescription,JobGroupCode1,JobGroupName1,JobGroupCode2,JobGroupName2,CreateTime,Creator,ModifyTime,Modifier) VALUES ('16030060','2','鞋匠、雨傘匠、磨刀匠','','','','',getdate(),'Alvin',getdate(),'Alvin')</v>
      </c>
    </row>
    <row r="869" spans="2:13" ht="13.8">
      <c r="B869" s="15" t="s">
        <v>2457</v>
      </c>
      <c r="C869" s="15">
        <v>2</v>
      </c>
      <c r="D869" s="15" t="s">
        <v>2458</v>
      </c>
      <c r="E869" s="15" t="s">
        <v>758</v>
      </c>
      <c r="F869" s="15" t="s">
        <v>758</v>
      </c>
      <c r="G869" s="15" t="s">
        <v>758</v>
      </c>
      <c r="H869" s="15" t="s">
        <v>758</v>
      </c>
      <c r="I869" s="15" t="s">
        <v>2895</v>
      </c>
      <c r="J869" s="15" t="s">
        <v>755</v>
      </c>
      <c r="K869" s="15" t="s">
        <v>2895</v>
      </c>
      <c r="L869" s="15" t="s">
        <v>755</v>
      </c>
      <c r="M869" s="15" t="str">
        <f t="shared" si="13"/>
        <v>insert into dbo.LifeInsJobCode (JobCode,JobGrade,JobDescription,JobGroupCode1,JobGroupName1,JobGroupCode2,JobGroupName2,CreateTime,Creator,ModifyTime,Modifier) VALUES ('16030070','2','洗衣店工人','','','','',getdate(),'Alvin',getdate(),'Alvin')</v>
      </c>
    </row>
    <row r="870" spans="2:13" ht="13.8">
      <c r="B870" s="15" t="s">
        <v>2459</v>
      </c>
      <c r="C870" s="15">
        <v>2</v>
      </c>
      <c r="D870" s="15" t="s">
        <v>3317</v>
      </c>
      <c r="E870" s="15" t="s">
        <v>758</v>
      </c>
      <c r="F870" s="15" t="s">
        <v>758</v>
      </c>
      <c r="G870" s="15" t="s">
        <v>758</v>
      </c>
      <c r="H870" s="15" t="s">
        <v>758</v>
      </c>
      <c r="I870" s="15" t="s">
        <v>2895</v>
      </c>
      <c r="J870" s="15" t="s">
        <v>755</v>
      </c>
      <c r="K870" s="15" t="s">
        <v>2895</v>
      </c>
      <c r="L870" s="15" t="s">
        <v>755</v>
      </c>
      <c r="M870" s="15" t="str">
        <f t="shared" si="13"/>
        <v>insert into dbo.LifeInsJobCode (JobCode,JobGrade,JobDescription,JobGroupCode1,JobGroupName1,JobGroupCode2,JobGroupName2,CreateTime,Creator,ModifyTime,Modifier) VALUES ('16030090','2','警衛、保全人員(內勤)','','','','',getdate(),'Alvin',getdate(),'Alvin')</v>
      </c>
    </row>
    <row r="871" spans="2:13" ht="13.8">
      <c r="B871" s="15" t="s">
        <v>2460</v>
      </c>
      <c r="C871" s="15">
        <v>4</v>
      </c>
      <c r="D871" s="15" t="s">
        <v>3318</v>
      </c>
      <c r="E871" s="15" t="s">
        <v>758</v>
      </c>
      <c r="F871" s="15" t="s">
        <v>758</v>
      </c>
      <c r="G871" s="15" t="s">
        <v>758</v>
      </c>
      <c r="H871" s="15" t="s">
        <v>758</v>
      </c>
      <c r="I871" s="15" t="s">
        <v>2895</v>
      </c>
      <c r="J871" s="15" t="s">
        <v>755</v>
      </c>
      <c r="K871" s="15" t="s">
        <v>2895</v>
      </c>
      <c r="L871" s="15" t="s">
        <v>755</v>
      </c>
      <c r="M871" s="15" t="str">
        <f t="shared" si="13"/>
        <v>insert into dbo.LifeInsJobCode (JobCode,JobGrade,JobDescription,JobGroupCode1,JobGroupName1,JobGroupCode2,JobGroupName2,CreateTime,Creator,ModifyTime,Modifier) VALUES ('16030091','4','警衛、保全人員(負有巡邏押運任務者)','','','','',getdate(),'Alvin',getdate(),'Alvin')</v>
      </c>
    </row>
    <row r="872" spans="2:13" ht="13.8">
      <c r="B872" s="15" t="s">
        <v>2461</v>
      </c>
      <c r="C872" s="15">
        <v>2</v>
      </c>
      <c r="D872" s="15" t="s">
        <v>2462</v>
      </c>
      <c r="E872" s="15" t="s">
        <v>758</v>
      </c>
      <c r="F872" s="15" t="s">
        <v>758</v>
      </c>
      <c r="G872" s="15" t="s">
        <v>758</v>
      </c>
      <c r="H872" s="15" t="s">
        <v>758</v>
      </c>
      <c r="I872" s="15" t="s">
        <v>2895</v>
      </c>
      <c r="J872" s="15" t="s">
        <v>755</v>
      </c>
      <c r="K872" s="15" t="s">
        <v>2895</v>
      </c>
      <c r="L872" s="15" t="s">
        <v>755</v>
      </c>
      <c r="M872" s="15" t="str">
        <f t="shared" si="13"/>
        <v>insert into dbo.LifeInsJobCode (JobCode,JobGrade,JobDescription,JobGroupCode1,JobGroupName1,JobGroupCode2,JobGroupName2,CreateTime,Creator,ModifyTime,Modifier) VALUES ('16030100','2','大樓管理員','','','','',getdate(),'Alvin',getdate(),'Alvin')</v>
      </c>
    </row>
    <row r="873" spans="2:13" ht="13.8">
      <c r="B873" s="15" t="s">
        <v>2463</v>
      </c>
      <c r="C873" s="15">
        <v>1</v>
      </c>
      <c r="D873" s="15" t="s">
        <v>2464</v>
      </c>
      <c r="E873" s="15" t="s">
        <v>758</v>
      </c>
      <c r="F873" s="15" t="s">
        <v>758</v>
      </c>
      <c r="G873" s="15" t="s">
        <v>758</v>
      </c>
      <c r="H873" s="15" t="s">
        <v>758</v>
      </c>
      <c r="I873" s="15" t="s">
        <v>2895</v>
      </c>
      <c r="J873" s="15" t="s">
        <v>755</v>
      </c>
      <c r="K873" s="15" t="s">
        <v>2895</v>
      </c>
      <c r="L873" s="15" t="s">
        <v>755</v>
      </c>
      <c r="M873" s="15" t="str">
        <f t="shared" si="13"/>
        <v>insert into dbo.LifeInsJobCode (JobCode,JobGrade,JobDescription,JobGroupCode1,JobGroupName1,JobGroupCode2,JobGroupName2,CreateTime,Creator,ModifyTime,Modifier) VALUES ('16030110','1','攝影師','','','','',getdate(),'Alvin',getdate(),'Alvin')</v>
      </c>
    </row>
    <row r="874" spans="2:13" ht="13.8">
      <c r="B874" s="15" t="s">
        <v>2465</v>
      </c>
      <c r="C874" s="15">
        <v>2</v>
      </c>
      <c r="D874" s="15" t="s">
        <v>2466</v>
      </c>
      <c r="E874" s="15" t="s">
        <v>758</v>
      </c>
      <c r="F874" s="15" t="s">
        <v>758</v>
      </c>
      <c r="G874" s="15" t="s">
        <v>758</v>
      </c>
      <c r="H874" s="15" t="s">
        <v>758</v>
      </c>
      <c r="I874" s="15" t="s">
        <v>2895</v>
      </c>
      <c r="J874" s="15" t="s">
        <v>755</v>
      </c>
      <c r="K874" s="15" t="s">
        <v>2895</v>
      </c>
      <c r="L874" s="15" t="s">
        <v>755</v>
      </c>
      <c r="M874" s="15" t="str">
        <f t="shared" si="13"/>
        <v>insert into dbo.LifeInsJobCode (JobCode,JobGrade,JobDescription,JobGroupCode1,JobGroupName1,JobGroupCode2,JobGroupName2,CreateTime,Creator,ModifyTime,Modifier) VALUES ('16030140','2','清潔、打蠟、消毒、除蟲工人','','','','',getdate(),'Alvin',getdate(),'Alvin')</v>
      </c>
    </row>
    <row r="875" spans="2:13" ht="13.8">
      <c r="B875" s="15" t="s">
        <v>2467</v>
      </c>
      <c r="C875" s="15">
        <v>5</v>
      </c>
      <c r="D875" s="15" t="s">
        <v>2468</v>
      </c>
      <c r="E875" s="15" t="s">
        <v>758</v>
      </c>
      <c r="F875" s="15" t="s">
        <v>758</v>
      </c>
      <c r="G875" s="15" t="s">
        <v>758</v>
      </c>
      <c r="H875" s="15" t="s">
        <v>758</v>
      </c>
      <c r="I875" s="15" t="s">
        <v>2895</v>
      </c>
      <c r="J875" s="15" t="s">
        <v>755</v>
      </c>
      <c r="K875" s="15" t="s">
        <v>2895</v>
      </c>
      <c r="L875" s="15" t="s">
        <v>755</v>
      </c>
      <c r="M875" s="15" t="str">
        <f t="shared" si="13"/>
        <v>insert into dbo.LifeInsJobCode (JobCode,JobGrade,JobDescription,JobGroupCode1,JobGroupName1,JobGroupCode2,JobGroupName2,CreateTime,Creator,ModifyTime,Modifier) VALUES ('16030150','5','高樓外部清潔工','','','','',getdate(),'Alvin',getdate(),'Alvin')</v>
      </c>
    </row>
    <row r="876" spans="2:13" ht="13.8">
      <c r="B876" s="15" t="s">
        <v>2469</v>
      </c>
      <c r="C876" s="15">
        <v>2</v>
      </c>
      <c r="D876" s="15" t="s">
        <v>2470</v>
      </c>
      <c r="E876" s="15" t="s">
        <v>758</v>
      </c>
      <c r="F876" s="15" t="s">
        <v>758</v>
      </c>
      <c r="G876" s="15" t="s">
        <v>758</v>
      </c>
      <c r="H876" s="15" t="s">
        <v>758</v>
      </c>
      <c r="I876" s="15" t="s">
        <v>2895</v>
      </c>
      <c r="J876" s="15" t="s">
        <v>755</v>
      </c>
      <c r="K876" s="15" t="s">
        <v>2895</v>
      </c>
      <c r="L876" s="15" t="s">
        <v>755</v>
      </c>
      <c r="M876" s="15" t="str">
        <f t="shared" si="13"/>
        <v>insert into dbo.LifeInsJobCode (JobCode,JobGrade,JobDescription,JobGroupCode1,JobGroupName1,JobGroupCode2,JobGroupName2,CreateTime,Creator,ModifyTime,Modifier) VALUES ('16030160','2','車輛保管人員','','','','',getdate(),'Alvin',getdate(),'Alvin')</v>
      </c>
    </row>
    <row r="877" spans="2:13" ht="13.8">
      <c r="B877" s="15" t="s">
        <v>2471</v>
      </c>
      <c r="C877" s="15">
        <v>2</v>
      </c>
      <c r="D877" s="15" t="s">
        <v>2472</v>
      </c>
      <c r="E877" s="15" t="s">
        <v>758</v>
      </c>
      <c r="F877" s="15" t="s">
        <v>758</v>
      </c>
      <c r="G877" s="15" t="s">
        <v>758</v>
      </c>
      <c r="H877" s="15" t="s">
        <v>758</v>
      </c>
      <c r="I877" s="15" t="s">
        <v>2895</v>
      </c>
      <c r="J877" s="15" t="s">
        <v>755</v>
      </c>
      <c r="K877" s="15" t="s">
        <v>2895</v>
      </c>
      <c r="L877" s="15" t="s">
        <v>755</v>
      </c>
      <c r="M877" s="15" t="str">
        <f t="shared" si="13"/>
        <v>insert into dbo.LifeInsJobCode (JobCode,JobGrade,JobDescription,JobGroupCode1,JobGroupName1,JobGroupCode2,JobGroupName2,CreateTime,Creator,ModifyTime,Modifier) VALUES ('16030170','2','加油(氣)站工作人員','','','','',getdate(),'Alvin',getdate(),'Alvin')</v>
      </c>
    </row>
    <row r="878" spans="2:13" ht="13.8">
      <c r="B878" s="15" t="s">
        <v>2473</v>
      </c>
      <c r="C878" s="15">
        <v>2</v>
      </c>
      <c r="D878" s="15" t="s">
        <v>2474</v>
      </c>
      <c r="E878" s="15" t="s">
        <v>758</v>
      </c>
      <c r="F878" s="15" t="s">
        <v>758</v>
      </c>
      <c r="G878" s="15" t="s">
        <v>758</v>
      </c>
      <c r="H878" s="15" t="s">
        <v>758</v>
      </c>
      <c r="I878" s="15" t="s">
        <v>2895</v>
      </c>
      <c r="J878" s="15" t="s">
        <v>755</v>
      </c>
      <c r="K878" s="15" t="s">
        <v>2895</v>
      </c>
      <c r="L878" s="15" t="s">
        <v>755</v>
      </c>
      <c r="M878" s="15" t="str">
        <f t="shared" si="13"/>
        <v>insert into dbo.LifeInsJobCode (JobCode,JobGrade,JobDescription,JobGroupCode1,JobGroupName1,JobGroupCode2,JobGroupName2,CreateTime,Creator,ModifyTime,Modifier) VALUES ('16030180','2','地磅工作人員','','','','',getdate(),'Alvin',getdate(),'Alvin')</v>
      </c>
    </row>
    <row r="879" spans="2:13" ht="13.8">
      <c r="B879" s="15" t="s">
        <v>2475</v>
      </c>
      <c r="C879" s="15">
        <v>5</v>
      </c>
      <c r="D879" s="15" t="s">
        <v>2476</v>
      </c>
      <c r="E879" s="15" t="s">
        <v>758</v>
      </c>
      <c r="F879" s="15" t="s">
        <v>758</v>
      </c>
      <c r="G879" s="15" t="s">
        <v>758</v>
      </c>
      <c r="H879" s="15" t="s">
        <v>758</v>
      </c>
      <c r="I879" s="15" t="s">
        <v>2895</v>
      </c>
      <c r="J879" s="15" t="s">
        <v>755</v>
      </c>
      <c r="K879" s="15" t="s">
        <v>2895</v>
      </c>
      <c r="L879" s="15" t="s">
        <v>755</v>
      </c>
      <c r="M879" s="15" t="str">
        <f t="shared" si="13"/>
        <v>insert into dbo.LifeInsJobCode (JobCode,JobGrade,JobDescription,JobGroupCode1,JobGroupName1,JobGroupCode2,JobGroupName2,CreateTime,Creator,ModifyTime,Modifier) VALUES ('16030190','5','煙囪清潔工','','','','',getdate(),'Alvin',getdate(),'Alvin')</v>
      </c>
    </row>
    <row r="880" spans="2:13" ht="13.8">
      <c r="B880" s="15" t="s">
        <v>2477</v>
      </c>
      <c r="C880" s="15">
        <v>1</v>
      </c>
      <c r="D880" s="15" t="s">
        <v>2478</v>
      </c>
      <c r="E880" s="15" t="s">
        <v>758</v>
      </c>
      <c r="F880" s="15" t="s">
        <v>758</v>
      </c>
      <c r="G880" s="15" t="s">
        <v>758</v>
      </c>
      <c r="H880" s="15" t="s">
        <v>758</v>
      </c>
      <c r="I880" s="15" t="s">
        <v>2895</v>
      </c>
      <c r="J880" s="15" t="s">
        <v>755</v>
      </c>
      <c r="K880" s="15" t="s">
        <v>2895</v>
      </c>
      <c r="L880" s="15" t="s">
        <v>755</v>
      </c>
      <c r="M880" s="15" t="str">
        <f t="shared" si="13"/>
        <v>insert into dbo.LifeInsJobCode (JobCode,JobGrade,JobDescription,JobGroupCode1,JobGroupName1,JobGroupCode2,JobGroupName2,CreateTime,Creator,ModifyTime,Modifier) VALUES ('16030200','1','三溫暖業負責人','','','','',getdate(),'Alvin',getdate(),'Alvin')</v>
      </c>
    </row>
    <row r="881" spans="2:13" ht="13.8">
      <c r="B881" s="15" t="s">
        <v>2479</v>
      </c>
      <c r="C881" s="15">
        <v>1</v>
      </c>
      <c r="D881" s="15" t="s">
        <v>2480</v>
      </c>
      <c r="E881" s="15" t="s">
        <v>758</v>
      </c>
      <c r="F881" s="15" t="s">
        <v>758</v>
      </c>
      <c r="G881" s="15" t="s">
        <v>758</v>
      </c>
      <c r="H881" s="15" t="s">
        <v>758</v>
      </c>
      <c r="I881" s="15" t="s">
        <v>2895</v>
      </c>
      <c r="J881" s="15" t="s">
        <v>755</v>
      </c>
      <c r="K881" s="15" t="s">
        <v>2895</v>
      </c>
      <c r="L881" s="15" t="s">
        <v>755</v>
      </c>
      <c r="M881" s="15" t="str">
        <f t="shared" si="13"/>
        <v>insert into dbo.LifeInsJobCode (JobCode,JobGrade,JobDescription,JobGroupCode1,JobGroupName1,JobGroupCode2,JobGroupName2,CreateTime,Creator,ModifyTime,Modifier) VALUES ('16030210','1','三溫暖業櫃臺人員','','','','',getdate(),'Alvin',getdate(),'Alvin')</v>
      </c>
    </row>
    <row r="882" spans="2:13" ht="13.8">
      <c r="B882" s="15" t="s">
        <v>2481</v>
      </c>
      <c r="C882" s="15">
        <v>2</v>
      </c>
      <c r="D882" s="15" t="s">
        <v>2482</v>
      </c>
      <c r="E882" s="15" t="s">
        <v>758</v>
      </c>
      <c r="F882" s="15" t="s">
        <v>758</v>
      </c>
      <c r="G882" s="15" t="s">
        <v>758</v>
      </c>
      <c r="H882" s="15" t="s">
        <v>758</v>
      </c>
      <c r="I882" s="15" t="s">
        <v>2895</v>
      </c>
      <c r="J882" s="15" t="s">
        <v>755</v>
      </c>
      <c r="K882" s="15" t="s">
        <v>2895</v>
      </c>
      <c r="L882" s="15" t="s">
        <v>755</v>
      </c>
      <c r="M882" s="15" t="str">
        <f t="shared" si="13"/>
        <v>insert into dbo.LifeInsJobCode (JobCode,JobGrade,JobDescription,JobGroupCode1,JobGroupName1,JobGroupCode2,JobGroupName2,CreateTime,Creator,ModifyTime,Modifier) VALUES ('16030220','2','三溫暖業工作人員','','','','',getdate(),'Alvin',getdate(),'Alvin')</v>
      </c>
    </row>
    <row r="883" spans="2:13" ht="13.8">
      <c r="B883" s="15" t="s">
        <v>2483</v>
      </c>
      <c r="C883" s="15">
        <v>2</v>
      </c>
      <c r="D883" s="15" t="s">
        <v>2484</v>
      </c>
      <c r="E883" s="15" t="s">
        <v>758</v>
      </c>
      <c r="F883" s="15" t="s">
        <v>758</v>
      </c>
      <c r="G883" s="15" t="s">
        <v>758</v>
      </c>
      <c r="H883" s="15" t="s">
        <v>758</v>
      </c>
      <c r="I883" s="15" t="s">
        <v>2895</v>
      </c>
      <c r="J883" s="15" t="s">
        <v>755</v>
      </c>
      <c r="K883" s="15" t="s">
        <v>2895</v>
      </c>
      <c r="L883" s="15" t="s">
        <v>755</v>
      </c>
      <c r="M883" s="15" t="str">
        <f t="shared" si="13"/>
        <v>insert into dbo.LifeInsJobCode (JobCode,JobGrade,JobDescription,JobGroupCode1,JobGroupName1,JobGroupCode2,JobGroupName2,CreateTime,Creator,ModifyTime,Modifier) VALUES ('16030230','2','鎖匠、刻印章人員','','','','',getdate(),'Alvin',getdate(),'Alvin')</v>
      </c>
    </row>
    <row r="884" spans="2:13" ht="13.8">
      <c r="B884" s="15" t="s">
        <v>2485</v>
      </c>
      <c r="C884" s="15">
        <v>2</v>
      </c>
      <c r="D884" s="15" t="s">
        <v>2486</v>
      </c>
      <c r="E884" s="15" t="s">
        <v>758</v>
      </c>
      <c r="F884" s="15" t="s">
        <v>758</v>
      </c>
      <c r="G884" s="15" t="s">
        <v>758</v>
      </c>
      <c r="H884" s="15" t="s">
        <v>758</v>
      </c>
      <c r="I884" s="15" t="s">
        <v>2895</v>
      </c>
      <c r="J884" s="15" t="s">
        <v>755</v>
      </c>
      <c r="K884" s="15" t="s">
        <v>2895</v>
      </c>
      <c r="L884" s="15" t="s">
        <v>755</v>
      </c>
      <c r="M884" s="15" t="str">
        <f t="shared" si="13"/>
        <v>insert into dbo.LifeInsJobCode (JobCode,JobGrade,JobDescription,JobGroupCode1,JobGroupName1,JobGroupCode2,JobGroupName2,CreateTime,Creator,ModifyTime,Modifier) VALUES ('16030240','2','汽車洗車、打臘美容工人','','','','',getdate(),'Alvin',getdate(),'Alvin')</v>
      </c>
    </row>
    <row r="885" spans="2:13" ht="13.8">
      <c r="B885" s="15" t="s">
        <v>2487</v>
      </c>
      <c r="C885" s="15">
        <v>1</v>
      </c>
      <c r="D885" s="15" t="s">
        <v>2488</v>
      </c>
      <c r="E885" s="15" t="s">
        <v>758</v>
      </c>
      <c r="F885" s="15" t="s">
        <v>758</v>
      </c>
      <c r="G885" s="15" t="s">
        <v>758</v>
      </c>
      <c r="H885" s="15" t="s">
        <v>758</v>
      </c>
      <c r="I885" s="15" t="s">
        <v>2895</v>
      </c>
      <c r="J885" s="15" t="s">
        <v>755</v>
      </c>
      <c r="K885" s="15" t="s">
        <v>2895</v>
      </c>
      <c r="L885" s="15" t="s">
        <v>755</v>
      </c>
      <c r="M885" s="15" t="str">
        <f t="shared" si="13"/>
        <v>insert into dbo.LifeInsJobCode (JobCode,JobGrade,JobDescription,JobGroupCode1,JobGroupName1,JobGroupCode2,JobGroupName2,CreateTime,Creator,ModifyTime,Modifier) VALUES ('16030250','1','裁縫師','','','','',getdate(),'Alvin',getdate(),'Alvin')</v>
      </c>
    </row>
    <row r="886" spans="2:13" ht="13.8">
      <c r="B886" s="15" t="s">
        <v>2489</v>
      </c>
      <c r="C886" s="15">
        <v>3</v>
      </c>
      <c r="D886" s="15" t="s">
        <v>2490</v>
      </c>
      <c r="E886" s="15" t="s">
        <v>758</v>
      </c>
      <c r="F886" s="15" t="s">
        <v>758</v>
      </c>
      <c r="G886" s="15" t="s">
        <v>758</v>
      </c>
      <c r="H886" s="15" t="s">
        <v>758</v>
      </c>
      <c r="I886" s="15" t="s">
        <v>2895</v>
      </c>
      <c r="J886" s="15" t="s">
        <v>755</v>
      </c>
      <c r="K886" s="15" t="s">
        <v>2895</v>
      </c>
      <c r="L886" s="15" t="s">
        <v>755</v>
      </c>
      <c r="M886" s="15" t="str">
        <f t="shared" si="13"/>
        <v>insert into dbo.LifeInsJobCode (JobCode,JobGrade,JobDescription,JobGroupCode1,JobGroupName1,JobGroupCode2,JobGroupName2,CreateTime,Creator,ModifyTime,Modifier) VALUES ('16030260','3','水塔、化糞池清理人員','','','','',getdate(),'Alvin',getdate(),'Alvin')</v>
      </c>
    </row>
    <row r="887" spans="2:13" ht="13.8">
      <c r="B887" s="15" t="s">
        <v>2491</v>
      </c>
      <c r="C887" s="15">
        <v>4</v>
      </c>
      <c r="D887" s="15" t="s">
        <v>2492</v>
      </c>
      <c r="E887" s="15" t="s">
        <v>758</v>
      </c>
      <c r="F887" s="15" t="s">
        <v>758</v>
      </c>
      <c r="G887" s="15" t="s">
        <v>758</v>
      </c>
      <c r="H887" s="15" t="s">
        <v>758</v>
      </c>
      <c r="I887" s="15" t="s">
        <v>2895</v>
      </c>
      <c r="J887" s="15" t="s">
        <v>755</v>
      </c>
      <c r="K887" s="15" t="s">
        <v>2895</v>
      </c>
      <c r="L887" s="15" t="s">
        <v>755</v>
      </c>
      <c r="M887" s="15" t="str">
        <f t="shared" si="13"/>
        <v>insert into dbo.LifeInsJobCode (JobCode,JobGrade,JobDescription,JobGroupCode1,JobGroupName1,JobGroupCode2,JobGroupName2,CreateTime,Creator,ModifyTime,Modifier) VALUES ('16030280','4','搬家工人','','','','',getdate(),'Alvin',getdate(),'Alvin')</v>
      </c>
    </row>
    <row r="888" spans="2:13" ht="13.8">
      <c r="B888" s="15" t="s">
        <v>2493</v>
      </c>
      <c r="C888" s="15">
        <v>7</v>
      </c>
      <c r="D888" s="15" t="s">
        <v>2494</v>
      </c>
      <c r="E888" s="15" t="s">
        <v>758</v>
      </c>
      <c r="F888" s="15" t="s">
        <v>758</v>
      </c>
      <c r="G888" s="15" t="s">
        <v>758</v>
      </c>
      <c r="H888" s="15" t="s">
        <v>758</v>
      </c>
      <c r="I888" s="15" t="s">
        <v>2895</v>
      </c>
      <c r="J888" s="15" t="s">
        <v>755</v>
      </c>
      <c r="K888" s="15" t="s">
        <v>2895</v>
      </c>
      <c r="L888" s="15" t="s">
        <v>755</v>
      </c>
      <c r="M888" s="15" t="str">
        <f t="shared" si="13"/>
        <v>insert into dbo.LifeInsJobCode (JobCode,JobGrade,JobDescription,JobGroupCode1,JobGroupName1,JobGroupCode2,JobGroupName2,CreateTime,Creator,ModifyTime,Modifier) VALUES ('16030290','7','職業潛水夫','','','','',getdate(),'Alvin',getdate(),'Alvin')</v>
      </c>
    </row>
    <row r="889" spans="2:13" ht="13.8">
      <c r="B889" s="15" t="s">
        <v>2495</v>
      </c>
      <c r="C889" s="15">
        <v>3</v>
      </c>
      <c r="D889" s="15" t="s">
        <v>2496</v>
      </c>
      <c r="E889" s="15" t="s">
        <v>758</v>
      </c>
      <c r="F889" s="15" t="s">
        <v>758</v>
      </c>
      <c r="G889" s="15" t="s">
        <v>758</v>
      </c>
      <c r="H889" s="15" t="s">
        <v>758</v>
      </c>
      <c r="I889" s="15" t="s">
        <v>2895</v>
      </c>
      <c r="J889" s="15" t="s">
        <v>755</v>
      </c>
      <c r="K889" s="15" t="s">
        <v>2895</v>
      </c>
      <c r="L889" s="15" t="s">
        <v>755</v>
      </c>
      <c r="M889" s="15" t="str">
        <f t="shared" si="13"/>
        <v>insert into dbo.LifeInsJobCode (JobCode,JobGrade,JobDescription,JobGroupCode1,JobGroupName1,JobGroupCode2,JobGroupName2,CreateTime,Creator,ModifyTime,Modifier) VALUES ('16030300','3','保全設備裝設人員','','','','',getdate(),'Alvin',getdate(),'Alvin')</v>
      </c>
    </row>
    <row r="890" spans="2:13" ht="13.8">
      <c r="B890" s="15" t="s">
        <v>2497</v>
      </c>
      <c r="C890" s="15">
        <v>3</v>
      </c>
      <c r="D890" s="15" t="s">
        <v>2498</v>
      </c>
      <c r="E890" s="15" t="s">
        <v>758</v>
      </c>
      <c r="F890" s="15" t="s">
        <v>758</v>
      </c>
      <c r="G890" s="15" t="s">
        <v>758</v>
      </c>
      <c r="H890" s="15" t="s">
        <v>758</v>
      </c>
      <c r="I890" s="15" t="s">
        <v>2895</v>
      </c>
      <c r="J890" s="15" t="s">
        <v>755</v>
      </c>
      <c r="K890" s="15" t="s">
        <v>2895</v>
      </c>
      <c r="L890" s="15" t="s">
        <v>755</v>
      </c>
      <c r="M890" s="15" t="str">
        <f t="shared" si="13"/>
        <v>insert into dbo.LifeInsJobCode (JobCode,JobGrade,JobDescription,JobGroupCode1,JobGroupName1,JobGroupCode2,JobGroupName2,CreateTime,Creator,ModifyTime,Modifier) VALUES ('16030310','3','火災現場勘查人員','','','','',getdate(),'Alvin',getdate(),'Alvin')</v>
      </c>
    </row>
    <row r="891" spans="2:13" ht="13.8">
      <c r="B891" s="15" t="s">
        <v>2499</v>
      </c>
      <c r="C891" s="15">
        <v>3</v>
      </c>
      <c r="D891" s="15" t="s">
        <v>2500</v>
      </c>
      <c r="E891" s="15" t="s">
        <v>758</v>
      </c>
      <c r="F891" s="15" t="s">
        <v>758</v>
      </c>
      <c r="G891" s="15" t="s">
        <v>758</v>
      </c>
      <c r="H891" s="15" t="s">
        <v>758</v>
      </c>
      <c r="I891" s="15" t="s">
        <v>2895</v>
      </c>
      <c r="J891" s="15" t="s">
        <v>755</v>
      </c>
      <c r="K891" s="15" t="s">
        <v>2895</v>
      </c>
      <c r="L891" s="15" t="s">
        <v>755</v>
      </c>
      <c r="M891" s="15" t="str">
        <f t="shared" si="13"/>
        <v>insert into dbo.LifeInsJobCode (JobCode,JobGrade,JobDescription,JobGroupCode1,JobGroupName1,JobGroupCode2,JobGroupName2,CreateTime,Creator,ModifyTime,Modifier) VALUES ('16030320','3','徵信社外勤人員','','','','',getdate(),'Alvin',getdate(),'Alvin')</v>
      </c>
    </row>
    <row r="892" spans="2:13" ht="13.8">
      <c r="B892" s="15" t="s">
        <v>2501</v>
      </c>
      <c r="C892" s="15">
        <v>4</v>
      </c>
      <c r="D892" s="15" t="s">
        <v>2502</v>
      </c>
      <c r="E892" s="15" t="s">
        <v>758</v>
      </c>
      <c r="F892" s="15" t="s">
        <v>758</v>
      </c>
      <c r="G892" s="15" t="s">
        <v>758</v>
      </c>
      <c r="H892" s="15" t="s">
        <v>758</v>
      </c>
      <c r="I892" s="15" t="s">
        <v>2895</v>
      </c>
      <c r="J892" s="15" t="s">
        <v>755</v>
      </c>
      <c r="K892" s="15" t="s">
        <v>2895</v>
      </c>
      <c r="L892" s="15" t="s">
        <v>755</v>
      </c>
      <c r="M892" s="15" t="str">
        <f t="shared" si="13"/>
        <v>insert into dbo.LifeInsJobCode (JobCode,JobGrade,JobDescription,JobGroupCode1,JobGroupName1,JobGroupCode2,JobGroupName2,CreateTime,Creator,ModifyTime,Modifier) VALUES ('16030330','4','水電工人','','','','',getdate(),'Alvin',getdate(),'Alvin')</v>
      </c>
    </row>
    <row r="893" spans="2:13" ht="13.8">
      <c r="B893" s="15" t="s">
        <v>2503</v>
      </c>
      <c r="C893" s="15">
        <v>2</v>
      </c>
      <c r="D893" s="15" t="s">
        <v>2504</v>
      </c>
      <c r="E893" s="15" t="s">
        <v>758</v>
      </c>
      <c r="F893" s="15" t="s">
        <v>758</v>
      </c>
      <c r="G893" s="15" t="s">
        <v>758</v>
      </c>
      <c r="H893" s="15" t="s">
        <v>758</v>
      </c>
      <c r="I893" s="15" t="s">
        <v>2895</v>
      </c>
      <c r="J893" s="15" t="s">
        <v>755</v>
      </c>
      <c r="K893" s="15" t="s">
        <v>2895</v>
      </c>
      <c r="L893" s="15" t="s">
        <v>755</v>
      </c>
      <c r="M893" s="15" t="str">
        <f t="shared" si="13"/>
        <v>insert into dbo.LifeInsJobCode (JobCode,JobGrade,JobDescription,JobGroupCode1,JobGroupName1,JobGroupCode2,JobGroupName2,CreateTime,Creator,ModifyTime,Modifier) VALUES ('16030340','2','紋身藝術人員','','','','',getdate(),'Alvin',getdate(),'Alvin')</v>
      </c>
    </row>
    <row r="894" spans="2:13" ht="13.8">
      <c r="B894" s="15" t="s">
        <v>2505</v>
      </c>
      <c r="C894" s="15">
        <v>1</v>
      </c>
      <c r="D894" s="15" t="s">
        <v>2506</v>
      </c>
      <c r="E894" s="15" t="s">
        <v>758</v>
      </c>
      <c r="F894" s="15" t="s">
        <v>758</v>
      </c>
      <c r="G894" s="15" t="s">
        <v>758</v>
      </c>
      <c r="H894" s="15" t="s">
        <v>758</v>
      </c>
      <c r="I894" s="15" t="s">
        <v>2895</v>
      </c>
      <c r="J894" s="15" t="s">
        <v>755</v>
      </c>
      <c r="K894" s="15" t="s">
        <v>2895</v>
      </c>
      <c r="L894" s="15" t="s">
        <v>755</v>
      </c>
      <c r="M894" s="15" t="str">
        <f t="shared" si="13"/>
        <v>insert into dbo.LifeInsJobCode (JobCode,JobGrade,JobDescription,JobGroupCode1,JobGroupName1,JobGroupCode2,JobGroupName2,CreateTime,Creator,ModifyTime,Modifier) VALUES ('16030350','1','民意代表、監立委、省縣市議員','','','','',getdate(),'Alvin',getdate(),'Alvin')</v>
      </c>
    </row>
    <row r="895" spans="2:13" ht="13.8">
      <c r="B895" s="15" t="s">
        <v>2507</v>
      </c>
      <c r="C895" s="15">
        <v>1</v>
      </c>
      <c r="D895" s="15" t="s">
        <v>2508</v>
      </c>
      <c r="E895" s="15" t="s">
        <v>758</v>
      </c>
      <c r="F895" s="15" t="s">
        <v>758</v>
      </c>
      <c r="G895" s="15" t="s">
        <v>758</v>
      </c>
      <c r="H895" s="15" t="s">
        <v>758</v>
      </c>
      <c r="I895" s="15" t="s">
        <v>2895</v>
      </c>
      <c r="J895" s="15" t="s">
        <v>755</v>
      </c>
      <c r="K895" s="15" t="s">
        <v>2895</v>
      </c>
      <c r="L895" s="15" t="s">
        <v>755</v>
      </c>
      <c r="M895" s="15" t="str">
        <f t="shared" si="13"/>
        <v>insert into dbo.LifeInsJobCode (JobCode,JobGrade,JobDescription,JobGroupCode1,JobGroupName1,JobGroupCode2,JobGroupName2,CreateTime,Creator,ModifyTime,Modifier) VALUES ('16030360','1','村里幹事','','','','',getdate(),'Alvin',getdate(),'Alvin')</v>
      </c>
    </row>
    <row r="896" spans="2:13" ht="13.8">
      <c r="B896" s="15">
        <v>16030370</v>
      </c>
      <c r="C896" s="15">
        <v>1</v>
      </c>
      <c r="D896" s="15" t="s">
        <v>2509</v>
      </c>
      <c r="E896" s="15" t="s">
        <v>758</v>
      </c>
      <c r="F896" s="15" t="s">
        <v>758</v>
      </c>
      <c r="G896" s="15" t="s">
        <v>758</v>
      </c>
      <c r="H896" s="15" t="s">
        <v>758</v>
      </c>
      <c r="I896" s="15" t="s">
        <v>2895</v>
      </c>
      <c r="J896" s="15" t="s">
        <v>755</v>
      </c>
      <c r="K896" s="15" t="s">
        <v>2895</v>
      </c>
      <c r="L896" s="15" t="s">
        <v>755</v>
      </c>
      <c r="M896" s="15" t="str">
        <f t="shared" si="13"/>
        <v>insert into dbo.LifeInsJobCode (JobCode,JobGrade,JobDescription,JobGroupCode1,JobGroupName1,JobGroupCode2,JobGroupName2,CreateTime,Creator,ModifyTime,Modifier) VALUES ('16030370','1','錄影帶/光碟片出租店負責人、店員','','','','',getdate(),'Alvin',getdate(),'Alvin')</v>
      </c>
    </row>
    <row r="897" spans="2:13" ht="13.8">
      <c r="B897" s="15" t="s">
        <v>2510</v>
      </c>
      <c r="C897" s="15">
        <v>1</v>
      </c>
      <c r="D897" s="15" t="s">
        <v>2511</v>
      </c>
      <c r="E897" s="15" t="s">
        <v>758</v>
      </c>
      <c r="F897" s="15" t="s">
        <v>758</v>
      </c>
      <c r="G897" s="15" t="s">
        <v>2512</v>
      </c>
      <c r="H897" s="15" t="s">
        <v>2513</v>
      </c>
      <c r="I897" s="15" t="s">
        <v>2895</v>
      </c>
      <c r="J897" s="15" t="s">
        <v>755</v>
      </c>
      <c r="K897" s="15" t="s">
        <v>2895</v>
      </c>
      <c r="L897" s="15" t="s">
        <v>755</v>
      </c>
      <c r="M897" s="15" t="str">
        <f t="shared" si="13"/>
        <v>insert into dbo.LifeInsJobCode (JobCode,JobGrade,JobDescription,JobGroupCode1,JobGroupName1,JobGroupCode2,JobGroupName2,CreateTime,Creator,ModifyTime,Modifier) VALUES ('16040010','1','葬儀社負責人','','','1604','殯葬業',getdate(),'Alvin',getdate(),'Alvin')</v>
      </c>
    </row>
    <row r="898" spans="2:13" ht="13.8">
      <c r="B898" s="15" t="s">
        <v>2514</v>
      </c>
      <c r="C898" s="15">
        <v>1</v>
      </c>
      <c r="D898" s="15" t="s">
        <v>973</v>
      </c>
      <c r="E898" s="15" t="s">
        <v>758</v>
      </c>
      <c r="F898" s="15" t="s">
        <v>758</v>
      </c>
      <c r="G898" s="15" t="s">
        <v>758</v>
      </c>
      <c r="H898" s="15" t="s">
        <v>758</v>
      </c>
      <c r="I898" s="15" t="s">
        <v>2895</v>
      </c>
      <c r="J898" s="15" t="s">
        <v>755</v>
      </c>
      <c r="K898" s="15" t="s">
        <v>2895</v>
      </c>
      <c r="L898" s="15" t="s">
        <v>755</v>
      </c>
      <c r="M898" s="15" t="str">
        <f t="shared" ref="M898:M961" si="14">$M$1 &amp; " VALUES ('"&amp;B898&amp;"','"&amp;C898&amp;"','"&amp;D898&amp;"','"&amp;E898&amp;"','"&amp;F898&amp;"','"&amp;G898&amp;"','"&amp;H898&amp;"',"&amp;I898&amp;",'"&amp;J898&amp;"',"&amp;K898&amp;",'"&amp;L898&amp;"')"</f>
        <v>insert into dbo.LifeInsJobCode (JobCode,JobGrade,JobDescription,JobGroupCode1,JobGroupName1,JobGroupCode2,JobGroupName2,CreateTime,Creator,ModifyTime,Modifier) VALUES ('16040020','1','內勤工作人員','','','','',getdate(),'Alvin',getdate(),'Alvin')</v>
      </c>
    </row>
    <row r="899" spans="2:13" ht="13.8">
      <c r="B899" s="15" t="s">
        <v>2515</v>
      </c>
      <c r="C899" s="15">
        <v>1</v>
      </c>
      <c r="D899" s="15" t="s">
        <v>2516</v>
      </c>
      <c r="E899" s="15" t="s">
        <v>758</v>
      </c>
      <c r="F899" s="15" t="s">
        <v>758</v>
      </c>
      <c r="G899" s="15" t="s">
        <v>758</v>
      </c>
      <c r="H899" s="15" t="s">
        <v>758</v>
      </c>
      <c r="I899" s="15" t="s">
        <v>2895</v>
      </c>
      <c r="J899" s="15" t="s">
        <v>755</v>
      </c>
      <c r="K899" s="15" t="s">
        <v>2895</v>
      </c>
      <c r="L899" s="15" t="s">
        <v>755</v>
      </c>
      <c r="M899" s="15" t="str">
        <f t="shared" si="14"/>
        <v>insert into dbo.LifeInsJobCode (JobCode,JobGrade,JobDescription,JobGroupCode1,JobGroupName1,JobGroupCode2,JobGroupName2,CreateTime,Creator,ModifyTime,Modifier) VALUES ('16040030','1','司儀','','','','',getdate(),'Alvin',getdate(),'Alvin')</v>
      </c>
    </row>
    <row r="900" spans="2:13" ht="13.8">
      <c r="B900" s="15" t="s">
        <v>2517</v>
      </c>
      <c r="C900" s="15">
        <v>1</v>
      </c>
      <c r="D900" s="15" t="s">
        <v>3349</v>
      </c>
      <c r="E900" s="15" t="s">
        <v>758</v>
      </c>
      <c r="F900" s="15" t="s">
        <v>758</v>
      </c>
      <c r="G900" s="15" t="s">
        <v>758</v>
      </c>
      <c r="H900" s="15" t="s">
        <v>758</v>
      </c>
      <c r="I900" s="15" t="s">
        <v>2895</v>
      </c>
      <c r="J900" s="15" t="s">
        <v>755</v>
      </c>
      <c r="K900" s="15" t="s">
        <v>2895</v>
      </c>
      <c r="L900" s="15" t="s">
        <v>755</v>
      </c>
      <c r="M900" s="15" t="str">
        <f t="shared" si="14"/>
        <v>insert into dbo.LifeInsJobCode (JobCode,JobGrade,JobDescription,JobGroupCode1,JobGroupName1,JobGroupCode2,JobGroupName2,CreateTime,Creator,ModifyTime,Modifier) VALUES ('16040040','1','化粧人員','','','','',getdate(),'Alvin',getdate(),'Alvin')</v>
      </c>
    </row>
    <row r="901" spans="2:13" ht="13.8">
      <c r="B901" s="15" t="s">
        <v>2518</v>
      </c>
      <c r="C901" s="15">
        <v>2</v>
      </c>
      <c r="D901" s="15" t="s">
        <v>2519</v>
      </c>
      <c r="E901" s="15" t="s">
        <v>758</v>
      </c>
      <c r="F901" s="15" t="s">
        <v>758</v>
      </c>
      <c r="G901" s="15" t="s">
        <v>758</v>
      </c>
      <c r="H901" s="15" t="s">
        <v>758</v>
      </c>
      <c r="I901" s="15" t="s">
        <v>2895</v>
      </c>
      <c r="J901" s="15" t="s">
        <v>755</v>
      </c>
      <c r="K901" s="15" t="s">
        <v>2895</v>
      </c>
      <c r="L901" s="15" t="s">
        <v>755</v>
      </c>
      <c r="M901" s="15" t="str">
        <f t="shared" si="14"/>
        <v>insert into dbo.LifeInsJobCode (JobCode,JobGrade,JobDescription,JobGroupCode1,JobGroupName1,JobGroupCode2,JobGroupName2,CreateTime,Creator,ModifyTime,Modifier) VALUES ('16040050','2','外務員、生前契約傳銷人員','','','','',getdate(),'Alvin',getdate(),'Alvin')</v>
      </c>
    </row>
    <row r="902" spans="2:13" ht="13.8">
      <c r="B902" s="15" t="s">
        <v>2520</v>
      </c>
      <c r="C902" s="15">
        <v>2</v>
      </c>
      <c r="D902" s="15" t="s">
        <v>2521</v>
      </c>
      <c r="E902" s="15" t="s">
        <v>758</v>
      </c>
      <c r="F902" s="15" t="s">
        <v>758</v>
      </c>
      <c r="G902" s="15" t="s">
        <v>758</v>
      </c>
      <c r="H902" s="15" t="s">
        <v>758</v>
      </c>
      <c r="I902" s="15" t="s">
        <v>2895</v>
      </c>
      <c r="J902" s="15" t="s">
        <v>755</v>
      </c>
      <c r="K902" s="15" t="s">
        <v>2895</v>
      </c>
      <c r="L902" s="15" t="s">
        <v>755</v>
      </c>
      <c r="M902" s="15" t="str">
        <f t="shared" si="14"/>
        <v>insert into dbo.LifeInsJobCode (JobCode,JobGrade,JobDescription,JobGroupCode1,JobGroupName1,JobGroupCode2,JobGroupName2,CreateTime,Creator,ModifyTime,Modifier) VALUES ('16040060','2','殯儀館管理人員','','','','',getdate(),'Alvin',getdate(),'Alvin')</v>
      </c>
    </row>
    <row r="903" spans="2:13" ht="13.8">
      <c r="B903" s="15" t="s">
        <v>2522</v>
      </c>
      <c r="C903" s="15">
        <v>2</v>
      </c>
      <c r="D903" s="15" t="s">
        <v>2523</v>
      </c>
      <c r="E903" s="15" t="s">
        <v>758</v>
      </c>
      <c r="F903" s="15" t="s">
        <v>758</v>
      </c>
      <c r="G903" s="15" t="s">
        <v>758</v>
      </c>
      <c r="H903" s="15" t="s">
        <v>758</v>
      </c>
      <c r="I903" s="15" t="s">
        <v>2895</v>
      </c>
      <c r="J903" s="15" t="s">
        <v>755</v>
      </c>
      <c r="K903" s="15" t="s">
        <v>2895</v>
      </c>
      <c r="L903" s="15" t="s">
        <v>755</v>
      </c>
      <c r="M903" s="15" t="str">
        <f t="shared" si="14"/>
        <v>insert into dbo.LifeInsJobCode (JobCode,JobGrade,JobDescription,JobGroupCode1,JobGroupName1,JobGroupCode2,JobGroupName2,CreateTime,Creator,ModifyTime,Modifier) VALUES ('16040070','2','陣頭、樂隊人員','','','','',getdate(),'Alvin',getdate(),'Alvin')</v>
      </c>
    </row>
    <row r="904" spans="2:13" ht="13.8">
      <c r="B904" s="15" t="s">
        <v>2524</v>
      </c>
      <c r="C904" s="15">
        <v>2</v>
      </c>
      <c r="D904" s="15" t="s">
        <v>3350</v>
      </c>
      <c r="E904" s="15" t="s">
        <v>758</v>
      </c>
      <c r="F904" s="15" t="s">
        <v>758</v>
      </c>
      <c r="G904" s="15" t="s">
        <v>758</v>
      </c>
      <c r="H904" s="15" t="s">
        <v>758</v>
      </c>
      <c r="I904" s="15" t="s">
        <v>2895</v>
      </c>
      <c r="J904" s="15" t="s">
        <v>755</v>
      </c>
      <c r="K904" s="15" t="s">
        <v>2895</v>
      </c>
      <c r="L904" s="15" t="s">
        <v>755</v>
      </c>
      <c r="M904" s="15" t="str">
        <f t="shared" si="14"/>
        <v>insert into dbo.LifeInsJobCode (JobCode,JobGrade,JobDescription,JobGroupCode1,JobGroupName1,JobGroupCode2,JobGroupName2,CreateTime,Creator,ModifyTime,Modifier) VALUES ('16040080','2','墓園管理員','','','','',getdate(),'Alvin',getdate(),'Alvin')</v>
      </c>
    </row>
    <row r="905" spans="2:13" ht="13.8">
      <c r="B905" s="15" t="s">
        <v>2525</v>
      </c>
      <c r="C905" s="15">
        <v>3</v>
      </c>
      <c r="D905" s="15" t="s">
        <v>2526</v>
      </c>
      <c r="E905" s="15" t="s">
        <v>758</v>
      </c>
      <c r="F905" s="15" t="s">
        <v>758</v>
      </c>
      <c r="G905" s="15" t="s">
        <v>758</v>
      </c>
      <c r="H905" s="15" t="s">
        <v>758</v>
      </c>
      <c r="I905" s="15" t="s">
        <v>2895</v>
      </c>
      <c r="J905" s="15" t="s">
        <v>755</v>
      </c>
      <c r="K905" s="15" t="s">
        <v>2895</v>
      </c>
      <c r="L905" s="15" t="s">
        <v>755</v>
      </c>
      <c r="M905" s="15" t="str">
        <f t="shared" si="14"/>
        <v>insert into dbo.LifeInsJobCode (JobCode,JobGrade,JobDescription,JobGroupCode1,JobGroupName1,JobGroupCode2,JobGroupName2,CreateTime,Creator,ModifyTime,Modifier) VALUES ('16040090','3','禮堂佈置人員','','','','',getdate(),'Alvin',getdate(),'Alvin')</v>
      </c>
    </row>
    <row r="906" spans="2:13" ht="13.8">
      <c r="B906" s="15" t="s">
        <v>2527</v>
      </c>
      <c r="C906" s="15">
        <v>2</v>
      </c>
      <c r="D906" s="15" t="s">
        <v>2528</v>
      </c>
      <c r="E906" s="15" t="s">
        <v>758</v>
      </c>
      <c r="F906" s="15" t="s">
        <v>758</v>
      </c>
      <c r="G906" s="15" t="s">
        <v>758</v>
      </c>
      <c r="H906" s="15" t="s">
        <v>758</v>
      </c>
      <c r="I906" s="15" t="s">
        <v>2895</v>
      </c>
      <c r="J906" s="15" t="s">
        <v>755</v>
      </c>
      <c r="K906" s="15" t="s">
        <v>2895</v>
      </c>
      <c r="L906" s="15" t="s">
        <v>755</v>
      </c>
      <c r="M906" s="15" t="str">
        <f t="shared" si="14"/>
        <v>insert into dbo.LifeInsJobCode (JobCode,JobGrade,JobDescription,JobGroupCode1,JobGroupName1,JobGroupCode2,JobGroupName2,CreateTime,Creator,ModifyTime,Modifier) VALUES ('16040100','2','火葬場處理人員','','','','',getdate(),'Alvin',getdate(),'Alvin')</v>
      </c>
    </row>
    <row r="907" spans="2:13" ht="13.8">
      <c r="B907" s="15" t="s">
        <v>2529</v>
      </c>
      <c r="C907" s="15">
        <v>3</v>
      </c>
      <c r="D907" s="15" t="s">
        <v>2530</v>
      </c>
      <c r="E907" s="15" t="s">
        <v>758</v>
      </c>
      <c r="F907" s="15" t="s">
        <v>758</v>
      </c>
      <c r="G907" s="15" t="s">
        <v>758</v>
      </c>
      <c r="H907" s="15" t="s">
        <v>758</v>
      </c>
      <c r="I907" s="15" t="s">
        <v>2895</v>
      </c>
      <c r="J907" s="15" t="s">
        <v>755</v>
      </c>
      <c r="K907" s="15" t="s">
        <v>2895</v>
      </c>
      <c r="L907" s="15" t="s">
        <v>755</v>
      </c>
      <c r="M907" s="15" t="str">
        <f t="shared" si="14"/>
        <v>insert into dbo.LifeInsJobCode (JobCode,JobGrade,JobDescription,JobGroupCode1,JobGroupName1,JobGroupCode2,JobGroupName2,CreateTime,Creator,ModifyTime,Modifier) VALUES ('16040110','3','墓地建造工人','','','','',getdate(),'Alvin',getdate(),'Alvin')</v>
      </c>
    </row>
    <row r="908" spans="2:13" ht="13.8">
      <c r="B908" s="15" t="s">
        <v>2531</v>
      </c>
      <c r="C908" s="15">
        <v>2</v>
      </c>
      <c r="D908" s="15" t="s">
        <v>2532</v>
      </c>
      <c r="E908" s="15" t="s">
        <v>758</v>
      </c>
      <c r="F908" s="15" t="s">
        <v>758</v>
      </c>
      <c r="G908" s="15" t="s">
        <v>758</v>
      </c>
      <c r="H908" s="15" t="s">
        <v>758</v>
      </c>
      <c r="I908" s="15" t="s">
        <v>2895</v>
      </c>
      <c r="J908" s="15" t="s">
        <v>755</v>
      </c>
      <c r="K908" s="15" t="s">
        <v>2895</v>
      </c>
      <c r="L908" s="15" t="s">
        <v>755</v>
      </c>
      <c r="M908" s="15" t="str">
        <f t="shared" si="14"/>
        <v>insert into dbo.LifeInsJobCode (JobCode,JobGrade,JobDescription,JobGroupCode1,JobGroupName1,JobGroupCode2,JobGroupName2,CreateTime,Creator,ModifyTime,Modifier) VALUES ('16040120','2','檢骨師','','','','',getdate(),'Alvin',getdate(),'Alvin')</v>
      </c>
    </row>
    <row r="909" spans="2:13" ht="13.8">
      <c r="B909" s="15" t="s">
        <v>2533</v>
      </c>
      <c r="C909" s="15">
        <v>1</v>
      </c>
      <c r="D909" s="15" t="s">
        <v>2534</v>
      </c>
      <c r="E909" s="15" t="s">
        <v>2535</v>
      </c>
      <c r="F909" s="15" t="s">
        <v>2536</v>
      </c>
      <c r="G909" s="15" t="s">
        <v>2537</v>
      </c>
      <c r="H909" s="15" t="s">
        <v>2536</v>
      </c>
      <c r="I909" s="15" t="s">
        <v>2895</v>
      </c>
      <c r="J909" s="15" t="s">
        <v>755</v>
      </c>
      <c r="K909" s="15" t="s">
        <v>2895</v>
      </c>
      <c r="L909" s="15" t="s">
        <v>755</v>
      </c>
      <c r="M909" s="15" t="str">
        <f t="shared" si="14"/>
        <v>insert into dbo.LifeInsJobCode (JobCode,JobGrade,JobDescription,JobGroupCode1,JobGroupName1,JobGroupCode2,JobGroupName2,CreateTime,Creator,ModifyTime,Modifier) VALUES ('17000010','1','家庭主婦','17','家庭管理','1700','家庭管理',getdate(),'Alvin',getdate(),'Alvin')</v>
      </c>
    </row>
    <row r="910" spans="2:13" ht="13.8">
      <c r="B910" s="15" t="s">
        <v>2538</v>
      </c>
      <c r="C910" s="15">
        <v>2</v>
      </c>
      <c r="D910" s="15" t="s">
        <v>2539</v>
      </c>
      <c r="E910" s="15" t="s">
        <v>758</v>
      </c>
      <c r="F910" s="15" t="s">
        <v>758</v>
      </c>
      <c r="G910" s="15" t="s">
        <v>758</v>
      </c>
      <c r="H910" s="15" t="s">
        <v>758</v>
      </c>
      <c r="I910" s="15" t="s">
        <v>2895</v>
      </c>
      <c r="J910" s="15" t="s">
        <v>755</v>
      </c>
      <c r="K910" s="15" t="s">
        <v>2895</v>
      </c>
      <c r="L910" s="15" t="s">
        <v>755</v>
      </c>
      <c r="M910" s="15" t="str">
        <f t="shared" si="14"/>
        <v>insert into dbo.LifeInsJobCode (JobCode,JobGrade,JobDescription,JobGroupCode1,JobGroupName1,JobGroupCode2,JobGroupName2,CreateTime,Creator,ModifyTime,Modifier) VALUES ('17000020','2','佣人','','','','',getdate(),'Alvin',getdate(),'Alvin')</v>
      </c>
    </row>
    <row r="911" spans="2:13" ht="13.8">
      <c r="B911" s="15" t="s">
        <v>2540</v>
      </c>
      <c r="C911" s="15">
        <v>1</v>
      </c>
      <c r="D911" s="15" t="s">
        <v>2541</v>
      </c>
      <c r="E911" s="15" t="s">
        <v>758</v>
      </c>
      <c r="F911" s="15" t="s">
        <v>758</v>
      </c>
      <c r="G911" s="15" t="s">
        <v>758</v>
      </c>
      <c r="H911" s="15" t="s">
        <v>758</v>
      </c>
      <c r="I911" s="15" t="s">
        <v>2895</v>
      </c>
      <c r="J911" s="15" t="s">
        <v>755</v>
      </c>
      <c r="K911" s="15" t="s">
        <v>2895</v>
      </c>
      <c r="L911" s="15" t="s">
        <v>755</v>
      </c>
      <c r="M911" s="15" t="str">
        <f t="shared" si="14"/>
        <v>insert into dbo.LifeInsJobCode (JobCode,JobGrade,JobDescription,JobGroupCode1,JobGroupName1,JobGroupCode2,JobGroupName2,CreateTime,Creator,ModifyTime,Modifier) VALUES ('17000030','1','褓姆','','','','',getdate(),'Alvin',getdate(),'Alvin')</v>
      </c>
    </row>
    <row r="912" spans="2:13" ht="13.8">
      <c r="B912" s="15" t="s">
        <v>2542</v>
      </c>
      <c r="C912" s="15">
        <v>1</v>
      </c>
      <c r="D912" s="15" t="s">
        <v>2543</v>
      </c>
      <c r="E912" s="15" t="s">
        <v>758</v>
      </c>
      <c r="F912" s="15" t="s">
        <v>758</v>
      </c>
      <c r="G912" s="15" t="s">
        <v>758</v>
      </c>
      <c r="H912" s="15" t="s">
        <v>758</v>
      </c>
      <c r="I912" s="15" t="s">
        <v>2895</v>
      </c>
      <c r="J912" s="15" t="s">
        <v>755</v>
      </c>
      <c r="K912" s="15" t="s">
        <v>2895</v>
      </c>
      <c r="L912" s="15" t="s">
        <v>755</v>
      </c>
      <c r="M912" s="15" t="str">
        <f t="shared" si="14"/>
        <v>insert into dbo.LifeInsJobCode (JobCode,JobGrade,JobDescription,JobGroupCode1,JobGroupName1,JobGroupCode2,JobGroupName2,CreateTime,Creator,ModifyTime,Modifier) VALUES ('17000040','1','退休人員','','','','',getdate(),'Alvin',getdate(),'Alvin')</v>
      </c>
    </row>
    <row r="913" spans="2:13" ht="13.8">
      <c r="B913" s="15" t="s">
        <v>2544</v>
      </c>
      <c r="C913" s="15">
        <v>1</v>
      </c>
      <c r="D913" s="15" t="s">
        <v>2545</v>
      </c>
      <c r="E913" s="15" t="s">
        <v>758</v>
      </c>
      <c r="F913" s="15" t="s">
        <v>758</v>
      </c>
      <c r="G913" s="15" t="s">
        <v>758</v>
      </c>
      <c r="H913" s="15" t="s">
        <v>758</v>
      </c>
      <c r="I913" s="15" t="s">
        <v>2895</v>
      </c>
      <c r="J913" s="15" t="s">
        <v>755</v>
      </c>
      <c r="K913" s="15" t="s">
        <v>2895</v>
      </c>
      <c r="L913" s="15" t="s">
        <v>755</v>
      </c>
      <c r="M913" s="15" t="str">
        <f t="shared" si="14"/>
        <v>insert into dbo.LifeInsJobCode (JobCode,JobGrade,JobDescription,JobGroupCode1,JobGroupName1,JobGroupCode2,JobGroupName2,CreateTime,Creator,ModifyTime,Modifier) VALUES ('17000050','1','無業、待業','','','','',getdate(),'Alvin',getdate(),'Alvin')</v>
      </c>
    </row>
    <row r="914" spans="2:13" ht="13.8">
      <c r="B914" s="15" t="s">
        <v>2546</v>
      </c>
      <c r="C914" s="15">
        <v>1</v>
      </c>
      <c r="D914" s="15" t="s">
        <v>2547</v>
      </c>
      <c r="E914" s="15" t="s">
        <v>2548</v>
      </c>
      <c r="F914" s="15" t="s">
        <v>2549</v>
      </c>
      <c r="G914" s="15" t="s">
        <v>2550</v>
      </c>
      <c r="H914" s="15" t="s">
        <v>2549</v>
      </c>
      <c r="I914" s="15" t="s">
        <v>2895</v>
      </c>
      <c r="J914" s="15" t="s">
        <v>755</v>
      </c>
      <c r="K914" s="15" t="s">
        <v>2895</v>
      </c>
      <c r="L914" s="15" t="s">
        <v>755</v>
      </c>
      <c r="M914" s="15" t="str">
        <f t="shared" si="14"/>
        <v>insert into dbo.LifeInsJobCode (JobCode,JobGrade,JobDescription,JobGroupCode1,JobGroupName1,JobGroupCode2,JobGroupName2,CreateTime,Creator,ModifyTime,Modifier) VALUES ('18010010','1','警務行政及內勤人員','18','治安人員','1801','治安人員',getdate(),'Alvin',getdate(),'Alvin')</v>
      </c>
    </row>
    <row r="915" spans="2:13" ht="13.8">
      <c r="B915" s="15" t="s">
        <v>2551</v>
      </c>
      <c r="C915" s="15">
        <v>3</v>
      </c>
      <c r="D915" s="15" t="s">
        <v>3319</v>
      </c>
      <c r="E915" s="15" t="s">
        <v>758</v>
      </c>
      <c r="F915" s="15" t="s">
        <v>758</v>
      </c>
      <c r="G915" s="15" t="s">
        <v>758</v>
      </c>
      <c r="H915" s="15" t="s">
        <v>758</v>
      </c>
      <c r="I915" s="15" t="s">
        <v>2895</v>
      </c>
      <c r="J915" s="15" t="s">
        <v>755</v>
      </c>
      <c r="K915" s="15" t="s">
        <v>2895</v>
      </c>
      <c r="L915" s="15" t="s">
        <v>755</v>
      </c>
      <c r="M915" s="15" t="str">
        <f t="shared" si="14"/>
        <v>insert into dbo.LifeInsJobCode (JobCode,JobGrade,JobDescription,JobGroupCode1,JobGroupName1,JobGroupCode2,JobGroupName2,CreateTime,Creator,ModifyTime,Modifier) VALUES ('18010020','3','警察(負有巡邏任務者)','','','','',getdate(),'Alvin',getdate(),'Alvin')</v>
      </c>
    </row>
    <row r="916" spans="2:13" ht="13.8">
      <c r="B916" s="15" t="s">
        <v>2552</v>
      </c>
      <c r="C916" s="15">
        <v>3</v>
      </c>
      <c r="D916" s="15" t="s">
        <v>2553</v>
      </c>
      <c r="E916" s="15" t="s">
        <v>758</v>
      </c>
      <c r="F916" s="15" t="s">
        <v>758</v>
      </c>
      <c r="G916" s="15" t="s">
        <v>758</v>
      </c>
      <c r="H916" s="15" t="s">
        <v>758</v>
      </c>
      <c r="I916" s="15" t="s">
        <v>2895</v>
      </c>
      <c r="J916" s="15" t="s">
        <v>755</v>
      </c>
      <c r="K916" s="15" t="s">
        <v>2895</v>
      </c>
      <c r="L916" s="15" t="s">
        <v>755</v>
      </c>
      <c r="M916" s="15" t="str">
        <f t="shared" si="14"/>
        <v>insert into dbo.LifeInsJobCode (JobCode,JobGrade,JobDescription,JobGroupCode1,JobGroupName1,JobGroupCode2,JobGroupName2,CreateTime,Creator,ModifyTime,Modifier) VALUES ('18010030','3','監獄看守所管理人員','','','','',getdate(),'Alvin',getdate(),'Alvin')</v>
      </c>
    </row>
    <row r="917" spans="2:13" ht="13.8">
      <c r="B917" s="15" t="s">
        <v>2554</v>
      </c>
      <c r="C917" s="15">
        <v>4</v>
      </c>
      <c r="D917" s="15" t="s">
        <v>2555</v>
      </c>
      <c r="E917" s="15" t="s">
        <v>758</v>
      </c>
      <c r="F917" s="15" t="s">
        <v>758</v>
      </c>
      <c r="G917" s="15" t="s">
        <v>758</v>
      </c>
      <c r="H917" s="15" t="s">
        <v>758</v>
      </c>
      <c r="I917" s="15" t="s">
        <v>2895</v>
      </c>
      <c r="J917" s="15" t="s">
        <v>755</v>
      </c>
      <c r="K917" s="15" t="s">
        <v>2895</v>
      </c>
      <c r="L917" s="15" t="s">
        <v>755</v>
      </c>
      <c r="M917" s="15" t="str">
        <f t="shared" si="14"/>
        <v>insert into dbo.LifeInsJobCode (JobCode,JobGrade,JobDescription,JobGroupCode1,JobGroupName1,JobGroupCode2,JobGroupName2,CreateTime,Creator,ModifyTime,Modifier) VALUES ('18010040','4','交通警察','','','','',getdate(),'Alvin',getdate(),'Alvin')</v>
      </c>
    </row>
    <row r="918" spans="2:13" ht="13.8">
      <c r="B918" s="15" t="s">
        <v>2556</v>
      </c>
      <c r="C918" s="15">
        <v>5</v>
      </c>
      <c r="D918" s="15" t="s">
        <v>2557</v>
      </c>
      <c r="E918" s="15" t="s">
        <v>758</v>
      </c>
      <c r="F918" s="15" t="s">
        <v>758</v>
      </c>
      <c r="G918" s="15" t="s">
        <v>758</v>
      </c>
      <c r="H918" s="15" t="s">
        <v>758</v>
      </c>
      <c r="I918" s="15" t="s">
        <v>2895</v>
      </c>
      <c r="J918" s="15" t="s">
        <v>755</v>
      </c>
      <c r="K918" s="15" t="s">
        <v>2895</v>
      </c>
      <c r="L918" s="15" t="s">
        <v>755</v>
      </c>
      <c r="M918" s="15" t="str">
        <f t="shared" si="14"/>
        <v>insert into dbo.LifeInsJobCode (JobCode,JobGrade,JobDescription,JobGroupCode1,JobGroupName1,JobGroupCode2,JobGroupName2,CreateTime,Creator,ModifyTime,Modifier) VALUES ('18010050','5','刑警','','','','',getdate(),'Alvin',getdate(),'Alvin')</v>
      </c>
    </row>
    <row r="919" spans="2:13" ht="13.8">
      <c r="B919" s="15" t="s">
        <v>2558</v>
      </c>
      <c r="C919" s="15">
        <v>6</v>
      </c>
      <c r="D919" s="15" t="s">
        <v>2559</v>
      </c>
      <c r="E919" s="15" t="s">
        <v>758</v>
      </c>
      <c r="F919" s="15" t="s">
        <v>758</v>
      </c>
      <c r="G919" s="15" t="s">
        <v>758</v>
      </c>
      <c r="H919" s="15" t="s">
        <v>758</v>
      </c>
      <c r="I919" s="15" t="s">
        <v>2895</v>
      </c>
      <c r="J919" s="15" t="s">
        <v>755</v>
      </c>
      <c r="K919" s="15" t="s">
        <v>2895</v>
      </c>
      <c r="L919" s="15" t="s">
        <v>755</v>
      </c>
      <c r="M919" s="15" t="str">
        <f t="shared" si="14"/>
        <v>insert into dbo.LifeInsJobCode (JobCode,JobGrade,JobDescription,JobGroupCode1,JobGroupName1,JobGroupCode2,JobGroupName2,CreateTime,Creator,ModifyTime,Modifier) VALUES ('18010060','6','消防隊隊員','','','','',getdate(),'Alvin',getdate(),'Alvin')</v>
      </c>
    </row>
    <row r="920" spans="2:13" ht="13.8">
      <c r="B920" s="15" t="s">
        <v>2560</v>
      </c>
      <c r="C920" s="15" t="s">
        <v>911</v>
      </c>
      <c r="D920" s="15" t="s">
        <v>2561</v>
      </c>
      <c r="E920" s="15" t="s">
        <v>758</v>
      </c>
      <c r="F920" s="15" t="s">
        <v>758</v>
      </c>
      <c r="G920" s="15" t="s">
        <v>758</v>
      </c>
      <c r="H920" s="15" t="s">
        <v>758</v>
      </c>
      <c r="I920" s="15" t="s">
        <v>2895</v>
      </c>
      <c r="J920" s="15" t="s">
        <v>755</v>
      </c>
      <c r="K920" s="15" t="s">
        <v>2895</v>
      </c>
      <c r="L920" s="15" t="s">
        <v>755</v>
      </c>
      <c r="M920" s="15" t="str">
        <f t="shared" si="14"/>
        <v>insert into dbo.LifeInsJobCode (JobCode,JobGrade,JobDescription,JobGroupCode1,JobGroupName1,JobGroupCode2,JobGroupName2,CreateTime,Creator,ModifyTime,Modifier) VALUES ('18010061','4','義消','','','','',getdate(),'Alvin',getdate(),'Alvin')</v>
      </c>
    </row>
    <row r="921" spans="2:13" ht="13.8">
      <c r="B921" s="15" t="s">
        <v>2562</v>
      </c>
      <c r="C921" s="15">
        <v>3</v>
      </c>
      <c r="D921" s="15" t="s">
        <v>2563</v>
      </c>
      <c r="E921" s="15" t="s">
        <v>758</v>
      </c>
      <c r="F921" s="15" t="s">
        <v>758</v>
      </c>
      <c r="G921" s="15" t="s">
        <v>758</v>
      </c>
      <c r="H921" s="15" t="s">
        <v>758</v>
      </c>
      <c r="I921" s="15" t="s">
        <v>2895</v>
      </c>
      <c r="J921" s="15" t="s">
        <v>755</v>
      </c>
      <c r="K921" s="15" t="s">
        <v>2895</v>
      </c>
      <c r="L921" s="15" t="s">
        <v>755</v>
      </c>
      <c r="M921" s="15" t="str">
        <f t="shared" si="14"/>
        <v>insert into dbo.LifeInsJobCode (JobCode,JobGrade,JobDescription,JobGroupCode1,JobGroupName1,JobGroupCode2,JobGroupName2,CreateTime,Creator,ModifyTime,Modifier) VALUES ('18010070','3','保安警察','','','','',getdate(),'Alvin',getdate(),'Alvin')</v>
      </c>
    </row>
    <row r="922" spans="2:13" ht="13.8">
      <c r="B922" s="15" t="s">
        <v>2564</v>
      </c>
      <c r="C922" s="15">
        <v>2</v>
      </c>
      <c r="D922" s="15" t="s">
        <v>2565</v>
      </c>
      <c r="E922" s="15" t="s">
        <v>758</v>
      </c>
      <c r="F922" s="15" t="s">
        <v>758</v>
      </c>
      <c r="G922" s="15" t="s">
        <v>758</v>
      </c>
      <c r="H922" s="15" t="s">
        <v>758</v>
      </c>
      <c r="I922" s="15" t="s">
        <v>2895</v>
      </c>
      <c r="J922" s="15" t="s">
        <v>755</v>
      </c>
      <c r="K922" s="15" t="s">
        <v>2895</v>
      </c>
      <c r="L922" s="15" t="s">
        <v>755</v>
      </c>
      <c r="M922" s="15" t="str">
        <f t="shared" si="14"/>
        <v>insert into dbo.LifeInsJobCode (JobCode,JobGrade,JobDescription,JobGroupCode1,JobGroupName1,JobGroupCode2,JobGroupName2,CreateTime,Creator,ModifyTime,Modifier) VALUES ('18010080','2','警察大學、警察專科學生','','','','',getdate(),'Alvin',getdate(),'Alvin')</v>
      </c>
    </row>
    <row r="923" spans="2:13" ht="13.8">
      <c r="B923" s="15" t="s">
        <v>2566</v>
      </c>
      <c r="C923" s="15">
        <v>2</v>
      </c>
      <c r="D923" s="15" t="s">
        <v>2567</v>
      </c>
      <c r="E923" s="15" t="s">
        <v>758</v>
      </c>
      <c r="F923" s="15" t="s">
        <v>758</v>
      </c>
      <c r="G923" s="15" t="s">
        <v>758</v>
      </c>
      <c r="H923" s="15" t="s">
        <v>758</v>
      </c>
      <c r="I923" s="15" t="s">
        <v>2895</v>
      </c>
      <c r="J923" s="15" t="s">
        <v>755</v>
      </c>
      <c r="K923" s="15" t="s">
        <v>2895</v>
      </c>
      <c r="L923" s="15" t="s">
        <v>755</v>
      </c>
      <c r="M923" s="15" t="str">
        <f t="shared" si="14"/>
        <v>insert into dbo.LifeInsJobCode (JobCode,JobGrade,JobDescription,JobGroupCode1,JobGroupName1,JobGroupCode2,JobGroupName2,CreateTime,Creator,ModifyTime,Modifier) VALUES ('18010090','2','警校教官','','','','',getdate(),'Alvin',getdate(),'Alvin')</v>
      </c>
    </row>
    <row r="924" spans="2:13" ht="13.8">
      <c r="B924" s="15" t="s">
        <v>2568</v>
      </c>
      <c r="C924" s="15">
        <v>7</v>
      </c>
      <c r="D924" s="15" t="s">
        <v>2569</v>
      </c>
      <c r="E924" s="15" t="s">
        <v>758</v>
      </c>
      <c r="F924" s="15" t="s">
        <v>758</v>
      </c>
      <c r="G924" s="15" t="s">
        <v>758</v>
      </c>
      <c r="H924" s="15" t="s">
        <v>758</v>
      </c>
      <c r="I924" s="15" t="s">
        <v>2895</v>
      </c>
      <c r="J924" s="15" t="s">
        <v>755</v>
      </c>
      <c r="K924" s="15" t="s">
        <v>2895</v>
      </c>
      <c r="L924" s="15" t="s">
        <v>755</v>
      </c>
      <c r="M924" s="15" t="str">
        <f t="shared" si="14"/>
        <v>insert into dbo.LifeInsJobCode (JobCode,JobGrade,JobDescription,JobGroupCode1,JobGroupName1,JobGroupCode2,JobGroupName2,CreateTime,Creator,ModifyTime,Modifier) VALUES ('18010100','7','防爆小組','','','','',getdate(),'Alvin',getdate(),'Alvin')</v>
      </c>
    </row>
    <row r="925" spans="2:13" ht="13.8">
      <c r="B925" s="15" t="s">
        <v>2570</v>
      </c>
      <c r="C925" s="15">
        <v>6</v>
      </c>
      <c r="D925" s="15" t="s">
        <v>2571</v>
      </c>
      <c r="E925" s="15" t="s">
        <v>758</v>
      </c>
      <c r="F925" s="15" t="s">
        <v>758</v>
      </c>
      <c r="G925" s="15" t="s">
        <v>758</v>
      </c>
      <c r="H925" s="15" t="s">
        <v>758</v>
      </c>
      <c r="I925" s="15" t="s">
        <v>2895</v>
      </c>
      <c r="J925" s="15" t="s">
        <v>755</v>
      </c>
      <c r="K925" s="15" t="s">
        <v>2895</v>
      </c>
      <c r="L925" s="15" t="s">
        <v>755</v>
      </c>
      <c r="M925" s="15" t="str">
        <f t="shared" si="14"/>
        <v>insert into dbo.LifeInsJobCode (JobCode,JobGrade,JobDescription,JobGroupCode1,JobGroupName1,JobGroupCode2,JobGroupName2,CreateTime,Creator,ModifyTime,Modifier) VALUES ('18010110','6','空中警察','','','','',getdate(),'Alvin',getdate(),'Alvin')</v>
      </c>
    </row>
    <row r="926" spans="2:13" ht="13.8">
      <c r="B926" s="15" t="s">
        <v>2572</v>
      </c>
      <c r="C926" s="15">
        <v>3</v>
      </c>
      <c r="D926" s="15" t="s">
        <v>2573</v>
      </c>
      <c r="E926" s="15" t="s">
        <v>758</v>
      </c>
      <c r="F926" s="15" t="s">
        <v>758</v>
      </c>
      <c r="G926" s="15" t="s">
        <v>758</v>
      </c>
      <c r="H926" s="15" t="s">
        <v>758</v>
      </c>
      <c r="I926" s="15" t="s">
        <v>2895</v>
      </c>
      <c r="J926" s="15" t="s">
        <v>755</v>
      </c>
      <c r="K926" s="15" t="s">
        <v>2895</v>
      </c>
      <c r="L926" s="15" t="s">
        <v>755</v>
      </c>
      <c r="M926" s="15" t="str">
        <f t="shared" si="14"/>
        <v>insert into dbo.LifeInsJobCode (JobCode,JobGrade,JobDescription,JobGroupCode1,JobGroupName1,JobGroupCode2,JobGroupName2,CreateTime,Creator,ModifyTime,Modifier) VALUES ('18010120','3','義警','','','','',getdate(),'Alvin',getdate(),'Alvin')</v>
      </c>
    </row>
    <row r="927" spans="2:13" ht="13.8">
      <c r="B927" s="15" t="s">
        <v>2574</v>
      </c>
      <c r="C927" s="15">
        <v>4</v>
      </c>
      <c r="D927" s="15" t="s">
        <v>2575</v>
      </c>
      <c r="E927" s="15" t="s">
        <v>758</v>
      </c>
      <c r="F927" s="15" t="s">
        <v>758</v>
      </c>
      <c r="G927" s="15" t="s">
        <v>758</v>
      </c>
      <c r="H927" s="15" t="s">
        <v>758</v>
      </c>
      <c r="I927" s="15" t="s">
        <v>2895</v>
      </c>
      <c r="J927" s="15" t="s">
        <v>755</v>
      </c>
      <c r="K927" s="15" t="s">
        <v>2895</v>
      </c>
      <c r="L927" s="15" t="s">
        <v>755</v>
      </c>
      <c r="M927" s="15" t="str">
        <f t="shared" si="14"/>
        <v>insert into dbo.LifeInsJobCode (JobCode,JobGrade,JobDescription,JobGroupCode1,JobGroupName1,JobGroupCode2,JobGroupName2,CreateTime,Creator,ModifyTime,Modifier) VALUES ('18010130','4','義交','','','','',getdate(),'Alvin',getdate(),'Alvin')</v>
      </c>
    </row>
    <row r="928" spans="2:13" ht="13.8">
      <c r="B928" s="15" t="s">
        <v>2576</v>
      </c>
      <c r="C928" s="15">
        <v>2</v>
      </c>
      <c r="D928" s="15" t="s">
        <v>2577</v>
      </c>
      <c r="E928" s="15" t="s">
        <v>758</v>
      </c>
      <c r="F928" s="15" t="s">
        <v>758</v>
      </c>
      <c r="G928" s="15" t="s">
        <v>758</v>
      </c>
      <c r="H928" s="15" t="s">
        <v>758</v>
      </c>
      <c r="I928" s="15" t="s">
        <v>2895</v>
      </c>
      <c r="J928" s="15" t="s">
        <v>755</v>
      </c>
      <c r="K928" s="15" t="s">
        <v>2895</v>
      </c>
      <c r="L928" s="15" t="s">
        <v>755</v>
      </c>
      <c r="M928" s="15" t="str">
        <f t="shared" si="14"/>
        <v>insert into dbo.LifeInsJobCode (JobCode,JobGrade,JobDescription,JobGroupCode1,JobGroupName1,JobGroupCode2,JobGroupName2,CreateTime,Creator,ModifyTime,Modifier) VALUES ('18010140','2','法警','','','','',getdate(),'Alvin',getdate(),'Alvin')</v>
      </c>
    </row>
    <row r="929" spans="2:13" ht="13.8">
      <c r="B929" s="15" t="s">
        <v>2578</v>
      </c>
      <c r="C929" s="15">
        <v>6</v>
      </c>
      <c r="D929" s="15" t="s">
        <v>2579</v>
      </c>
      <c r="E929" s="15" t="s">
        <v>758</v>
      </c>
      <c r="F929" s="15" t="s">
        <v>758</v>
      </c>
      <c r="G929" s="15" t="s">
        <v>758</v>
      </c>
      <c r="H929" s="15" t="s">
        <v>758</v>
      </c>
      <c r="I929" s="15" t="s">
        <v>2895</v>
      </c>
      <c r="J929" s="15" t="s">
        <v>755</v>
      </c>
      <c r="K929" s="15" t="s">
        <v>2895</v>
      </c>
      <c r="L929" s="15" t="s">
        <v>755</v>
      </c>
      <c r="M929" s="15" t="str">
        <f t="shared" si="14"/>
        <v>insert into dbo.LifeInsJobCode (JobCode,JobGrade,JobDescription,JobGroupCode1,JobGroupName1,JobGroupCode2,JobGroupName2,CreateTime,Creator,ModifyTime,Modifier) VALUES ('18010150','6','警務特勤人員(維安小組、霹靂小組)','','','','',getdate(),'Alvin',getdate(),'Alvin')</v>
      </c>
    </row>
    <row r="930" spans="2:13" ht="13.8">
      <c r="B930" s="15" t="s">
        <v>2580</v>
      </c>
      <c r="C930" s="15">
        <v>3</v>
      </c>
      <c r="D930" s="15" t="s">
        <v>2581</v>
      </c>
      <c r="E930" s="15" t="s">
        <v>758</v>
      </c>
      <c r="F930" s="15" t="s">
        <v>758</v>
      </c>
      <c r="G930" s="15" t="s">
        <v>758</v>
      </c>
      <c r="H930" s="15" t="s">
        <v>758</v>
      </c>
      <c r="I930" s="15" t="s">
        <v>2895</v>
      </c>
      <c r="J930" s="15" t="s">
        <v>755</v>
      </c>
      <c r="K930" s="15" t="s">
        <v>2895</v>
      </c>
      <c r="L930" s="15" t="s">
        <v>755</v>
      </c>
      <c r="M930" s="15" t="str">
        <f t="shared" si="14"/>
        <v>insert into dbo.LifeInsJobCode (JobCode,JobGrade,JobDescription,JobGroupCode1,JobGroupName1,JobGroupCode2,JobGroupName2,CreateTime,Creator,ModifyTime,Modifier) VALUES ('18010160','3','守望相助人員','','','','',getdate(),'Alvin',getdate(),'Alvin')</v>
      </c>
    </row>
    <row r="931" spans="2:13" ht="13.8">
      <c r="B931" s="15" t="s">
        <v>2582</v>
      </c>
      <c r="C931" s="15">
        <v>6</v>
      </c>
      <c r="D931" s="15" t="s">
        <v>2583</v>
      </c>
      <c r="E931" s="15" t="s">
        <v>758</v>
      </c>
      <c r="F931" s="15" t="s">
        <v>758</v>
      </c>
      <c r="G931" s="15" t="s">
        <v>2584</v>
      </c>
      <c r="H931" s="15" t="s">
        <v>2585</v>
      </c>
      <c r="I931" s="15" t="s">
        <v>2895</v>
      </c>
      <c r="J931" s="15" t="s">
        <v>755</v>
      </c>
      <c r="K931" s="15" t="s">
        <v>2895</v>
      </c>
      <c r="L931" s="15" t="s">
        <v>755</v>
      </c>
      <c r="M931" s="15" t="str">
        <f t="shared" si="14"/>
        <v>insert into dbo.LifeInsJobCode (JobCode,JobGrade,JobDescription,JobGroupCode1,JobGroupName1,JobGroupCode2,JobGroupName2,CreateTime,Creator,ModifyTime,Modifier) VALUES ('18020010','6','空巡人員','','','1802','海巡署',getdate(),'Alvin',getdate(),'Alvin')</v>
      </c>
    </row>
    <row r="932" spans="2:13" ht="13.8">
      <c r="B932" s="15" t="s">
        <v>2586</v>
      </c>
      <c r="C932" s="15">
        <v>3</v>
      </c>
      <c r="D932" s="15" t="s">
        <v>2587</v>
      </c>
      <c r="E932" s="15" t="s">
        <v>758</v>
      </c>
      <c r="F932" s="15" t="s">
        <v>758</v>
      </c>
      <c r="G932" s="15" t="s">
        <v>758</v>
      </c>
      <c r="H932" s="15" t="s">
        <v>758</v>
      </c>
      <c r="I932" s="15" t="s">
        <v>2895</v>
      </c>
      <c r="J932" s="15" t="s">
        <v>755</v>
      </c>
      <c r="K932" s="15" t="s">
        <v>2895</v>
      </c>
      <c r="L932" s="15" t="s">
        <v>755</v>
      </c>
      <c r="M932" s="15" t="str">
        <f t="shared" si="14"/>
        <v>insert into dbo.LifeInsJobCode (JobCode,JobGrade,JobDescription,JobGroupCode1,JobGroupName1,JobGroupCode2,JobGroupName2,CreateTime,Creator,ModifyTime,Modifier) VALUES ('18020020','3','岸巡人員','','','','',getdate(),'Alvin',getdate(),'Alvin')</v>
      </c>
    </row>
    <row r="933" spans="2:13" ht="13.8">
      <c r="B933" s="15" t="s">
        <v>2588</v>
      </c>
      <c r="C933" s="15">
        <v>6</v>
      </c>
      <c r="D933" s="15" t="s">
        <v>2589</v>
      </c>
      <c r="E933" s="15" t="s">
        <v>758</v>
      </c>
      <c r="F933" s="15" t="s">
        <v>758</v>
      </c>
      <c r="G933" s="15" t="s">
        <v>758</v>
      </c>
      <c r="H933" s="15" t="s">
        <v>758</v>
      </c>
      <c r="I933" s="15" t="s">
        <v>2895</v>
      </c>
      <c r="J933" s="15" t="s">
        <v>755</v>
      </c>
      <c r="K933" s="15" t="s">
        <v>2895</v>
      </c>
      <c r="L933" s="15" t="s">
        <v>755</v>
      </c>
      <c r="M933" s="15" t="str">
        <f t="shared" si="14"/>
        <v>insert into dbo.LifeInsJobCode (JobCode,JobGrade,JobDescription,JobGroupCode1,JobGroupName1,JobGroupCode2,JobGroupName2,CreateTime,Creator,ModifyTime,Modifier) VALUES ('18020030','6','海巡人員','','','','',getdate(),'Alvin',getdate(),'Alvin')</v>
      </c>
    </row>
    <row r="934" spans="2:13" ht="13.8">
      <c r="B934" s="15" t="s">
        <v>2590</v>
      </c>
      <c r="C934" s="15">
        <v>1</v>
      </c>
      <c r="D934" s="15" t="s">
        <v>2591</v>
      </c>
      <c r="E934" s="15" t="s">
        <v>758</v>
      </c>
      <c r="F934" s="15" t="s">
        <v>758</v>
      </c>
      <c r="G934" s="15" t="s">
        <v>2592</v>
      </c>
      <c r="H934" s="15" t="s">
        <v>2593</v>
      </c>
      <c r="I934" s="15" t="s">
        <v>2895</v>
      </c>
      <c r="J934" s="15" t="s">
        <v>755</v>
      </c>
      <c r="K934" s="15" t="s">
        <v>2895</v>
      </c>
      <c r="L934" s="15" t="s">
        <v>755</v>
      </c>
      <c r="M934" s="15" t="str">
        <f t="shared" si="14"/>
        <v>insert into dbo.LifeInsJobCode (JobCode,JobGrade,JobDescription,JobGroupCode1,JobGroupName1,JobGroupCode2,JobGroupName2,CreateTime,Creator,ModifyTime,Modifier) VALUES ('18030010','1','法官、書記官、檢察官','','','1803','法務人員',getdate(),'Alvin',getdate(),'Alvin')</v>
      </c>
    </row>
    <row r="935" spans="2:13" ht="13.8">
      <c r="B935" s="15" t="s">
        <v>2594</v>
      </c>
      <c r="C935" s="15">
        <v>1</v>
      </c>
      <c r="D935" s="15" t="s">
        <v>3320</v>
      </c>
      <c r="E935" s="15" t="s">
        <v>758</v>
      </c>
      <c r="F935" s="15" t="s">
        <v>758</v>
      </c>
      <c r="G935" s="15" t="s">
        <v>758</v>
      </c>
      <c r="H935" s="15" t="s">
        <v>758</v>
      </c>
      <c r="I935" s="15" t="s">
        <v>2895</v>
      </c>
      <c r="J935" s="15" t="s">
        <v>755</v>
      </c>
      <c r="K935" s="15" t="s">
        <v>2895</v>
      </c>
      <c r="L935" s="15" t="s">
        <v>755</v>
      </c>
      <c r="M935" s="15" t="str">
        <f t="shared" si="14"/>
        <v>insert into dbo.LifeInsJobCode (JobCode,JobGrade,JobDescription,JobGroupCode1,JobGroupName1,JobGroupCode2,JobGroupName2,CreateTime,Creator,ModifyTime,Modifier) VALUES ('18030020','1','調查局之調查員(不需蒐証)','','','','',getdate(),'Alvin',getdate(),'Alvin')</v>
      </c>
    </row>
    <row r="936" spans="2:13" ht="13.8">
      <c r="B936" s="15">
        <v>18030030</v>
      </c>
      <c r="C936" s="15">
        <v>3</v>
      </c>
      <c r="D936" s="15" t="s">
        <v>3321</v>
      </c>
      <c r="E936" s="15" t="s">
        <v>758</v>
      </c>
      <c r="F936" s="15" t="s">
        <v>758</v>
      </c>
      <c r="G936" s="15" t="s">
        <v>758</v>
      </c>
      <c r="H936" s="15" t="s">
        <v>758</v>
      </c>
      <c r="I936" s="15" t="s">
        <v>2895</v>
      </c>
      <c r="J936" s="15" t="s">
        <v>755</v>
      </c>
      <c r="K936" s="15" t="s">
        <v>2895</v>
      </c>
      <c r="L936" s="15" t="s">
        <v>755</v>
      </c>
      <c r="M936" s="15" t="str">
        <f t="shared" si="14"/>
        <v>insert into dbo.LifeInsJobCode (JobCode,JobGrade,JobDescription,JobGroupCode1,JobGroupName1,JobGroupCode2,JobGroupName2,CreateTime,Creator,ModifyTime,Modifier) VALUES ('18030030','3','調查局之調查員(需蒐証)','','','','',getdate(),'Alvin',getdate(),'Alvin')</v>
      </c>
    </row>
    <row r="937" spans="2:13" ht="13.8">
      <c r="B937" s="15">
        <v>18030040</v>
      </c>
      <c r="C937" s="15">
        <v>1</v>
      </c>
      <c r="D937" s="15" t="s">
        <v>2595</v>
      </c>
      <c r="E937" s="15" t="s">
        <v>758</v>
      </c>
      <c r="F937" s="15" t="s">
        <v>758</v>
      </c>
      <c r="G937" s="15" t="s">
        <v>758</v>
      </c>
      <c r="H937" s="15" t="s">
        <v>758</v>
      </c>
      <c r="I937" s="15" t="s">
        <v>2895</v>
      </c>
      <c r="J937" s="15" t="s">
        <v>755</v>
      </c>
      <c r="K937" s="15" t="s">
        <v>2895</v>
      </c>
      <c r="L937" s="15" t="s">
        <v>755</v>
      </c>
      <c r="M937" s="15" t="str">
        <f t="shared" si="14"/>
        <v>insert into dbo.LifeInsJobCode (JobCode,JobGrade,JobDescription,JobGroupCode1,JobGroupName1,JobGroupCode2,JobGroupName2,CreateTime,Creator,ModifyTime,Modifier) VALUES ('18030040','1','觀護人','','','','',getdate(),'Alvin',getdate(),'Alvin')</v>
      </c>
    </row>
    <row r="938" spans="2:13" ht="13.8">
      <c r="B938" s="15" t="s">
        <v>2596</v>
      </c>
      <c r="C938" s="15">
        <v>3</v>
      </c>
      <c r="D938" s="15" t="s">
        <v>2597</v>
      </c>
      <c r="E938" s="15" t="s">
        <v>2598</v>
      </c>
      <c r="F938" s="15" t="s">
        <v>2599</v>
      </c>
      <c r="G938" s="15" t="s">
        <v>2600</v>
      </c>
      <c r="H938" s="15" t="s">
        <v>2601</v>
      </c>
      <c r="I938" s="15" t="s">
        <v>2895</v>
      </c>
      <c r="J938" s="15" t="s">
        <v>755</v>
      </c>
      <c r="K938" s="15" t="s">
        <v>2895</v>
      </c>
      <c r="L938" s="15" t="s">
        <v>755</v>
      </c>
      <c r="M938" s="15" t="str">
        <f t="shared" si="14"/>
        <v>insert into dbo.LifeInsJobCode (JobCode,JobGrade,JobDescription,JobGroupCode1,JobGroupName1,JobGroupCode2,JobGroupName2,CreateTime,Creator,ModifyTime,Modifier) VALUES ('19000010','3','一般軍人','19','軍人','1900','現役軍人',getdate(),'Alvin',getdate(),'Alvin')</v>
      </c>
    </row>
    <row r="939" spans="2:13" ht="13.8">
      <c r="B939" s="15" t="s">
        <v>2602</v>
      </c>
      <c r="C939" s="15">
        <v>7</v>
      </c>
      <c r="D939" s="15" t="s">
        <v>3351</v>
      </c>
      <c r="E939" s="15" t="s">
        <v>758</v>
      </c>
      <c r="F939" s="15" t="s">
        <v>758</v>
      </c>
      <c r="G939" s="15" t="s">
        <v>758</v>
      </c>
      <c r="H939" s="15" t="s">
        <v>758</v>
      </c>
      <c r="I939" s="15" t="s">
        <v>2895</v>
      </c>
      <c r="J939" s="15" t="s">
        <v>755</v>
      </c>
      <c r="K939" s="15" t="s">
        <v>2895</v>
      </c>
      <c r="L939" s="15" t="s">
        <v>755</v>
      </c>
      <c r="M939" s="15" t="str">
        <f t="shared" si="14"/>
        <v>insert into dbo.LifeInsJobCode (JobCode,JobGrade,JobDescription,JobGroupCode1,JobGroupName1,JobGroupCode2,JobGroupName2,CreateTime,Creator,ModifyTime,Modifier) VALUES ('19000020','7','特種軍人(傘兵、爆破、佈雷、防爆、負有特殊任務之特勤人員……等)','','','','',getdate(),'Alvin',getdate(),'Alvin')</v>
      </c>
    </row>
    <row r="940" spans="2:13" ht="13.8">
      <c r="B940" s="15" t="s">
        <v>2603</v>
      </c>
      <c r="C940" s="15">
        <v>1</v>
      </c>
      <c r="D940" s="15" t="s">
        <v>3352</v>
      </c>
      <c r="E940" s="15" t="s">
        <v>758</v>
      </c>
      <c r="F940" s="15" t="s">
        <v>758</v>
      </c>
      <c r="G940" s="15" t="s">
        <v>758</v>
      </c>
      <c r="H940" s="15" t="s">
        <v>758</v>
      </c>
      <c r="I940" s="15" t="s">
        <v>2895</v>
      </c>
      <c r="J940" s="15" t="s">
        <v>755</v>
      </c>
      <c r="K940" s="15" t="s">
        <v>2895</v>
      </c>
      <c r="L940" s="15" t="s">
        <v>755</v>
      </c>
      <c r="M940" s="15" t="str">
        <f t="shared" si="14"/>
        <v>insert into dbo.LifeInsJobCode (JobCode,JobGrade,JobDescription,JobGroupCode1,JobGroupName1,JobGroupCode2,JobGroupName2,CreateTime,Creator,ModifyTime,Modifier) VALUES ('19000030','1','志願役行政及內勤人員','','','','',getdate(),'Alvin',getdate(),'Alvin')</v>
      </c>
    </row>
    <row r="941" spans="2:13" ht="13.8">
      <c r="B941" s="15" t="s">
        <v>2604</v>
      </c>
      <c r="C941" s="15">
        <v>4</v>
      </c>
      <c r="D941" s="15" t="s">
        <v>2605</v>
      </c>
      <c r="E941" s="15" t="s">
        <v>758</v>
      </c>
      <c r="F941" s="15" t="s">
        <v>758</v>
      </c>
      <c r="G941" s="15" t="s">
        <v>758</v>
      </c>
      <c r="H941" s="15" t="s">
        <v>758</v>
      </c>
      <c r="I941" s="15" t="s">
        <v>2895</v>
      </c>
      <c r="J941" s="15" t="s">
        <v>755</v>
      </c>
      <c r="K941" s="15" t="s">
        <v>2895</v>
      </c>
      <c r="L941" s="15" t="s">
        <v>755</v>
      </c>
      <c r="M941" s="15" t="str">
        <f t="shared" si="14"/>
        <v>insert into dbo.LifeInsJobCode (JobCode,JobGrade,JobDescription,JobGroupCode1,JobGroupName1,JobGroupCode2,JobGroupName2,CreateTime,Creator,ModifyTime,Modifier) VALUES ('19000040','4','憲兵','','','','',getdate(),'Alvin',getdate(),'Alvin')</v>
      </c>
    </row>
    <row r="942" spans="2:13" ht="13.8">
      <c r="B942" s="15" t="s">
        <v>2606</v>
      </c>
      <c r="C942" s="15">
        <v>1</v>
      </c>
      <c r="D942" s="15" t="s">
        <v>2607</v>
      </c>
      <c r="E942" s="15" t="s">
        <v>758</v>
      </c>
      <c r="F942" s="15" t="s">
        <v>758</v>
      </c>
      <c r="G942" s="15" t="s">
        <v>758</v>
      </c>
      <c r="H942" s="15" t="s">
        <v>758</v>
      </c>
      <c r="I942" s="15" t="s">
        <v>2895</v>
      </c>
      <c r="J942" s="15" t="s">
        <v>755</v>
      </c>
      <c r="K942" s="15" t="s">
        <v>2895</v>
      </c>
      <c r="L942" s="15" t="s">
        <v>755</v>
      </c>
      <c r="M942" s="15" t="str">
        <f t="shared" si="14"/>
        <v>insert into dbo.LifeInsJobCode (JobCode,JobGrade,JobDescription,JobGroupCode1,JobGroupName1,JobGroupCode2,JobGroupName2,CreateTime,Creator,ModifyTime,Modifier) VALUES ('19000050','1','軍醫院官兵','','','','',getdate(),'Alvin',getdate(),'Alvin')</v>
      </c>
    </row>
    <row r="943" spans="2:13" ht="13.8">
      <c r="B943" s="15" t="s">
        <v>2608</v>
      </c>
      <c r="C943" s="15">
        <v>2</v>
      </c>
      <c r="D943" s="15" t="s">
        <v>2609</v>
      </c>
      <c r="E943" s="15" t="s">
        <v>758</v>
      </c>
      <c r="F943" s="15" t="s">
        <v>758</v>
      </c>
      <c r="G943" s="15" t="s">
        <v>758</v>
      </c>
      <c r="H943" s="15" t="s">
        <v>758</v>
      </c>
      <c r="I943" s="15" t="s">
        <v>2895</v>
      </c>
      <c r="J943" s="15" t="s">
        <v>755</v>
      </c>
      <c r="K943" s="15" t="s">
        <v>2895</v>
      </c>
      <c r="L943" s="15" t="s">
        <v>755</v>
      </c>
      <c r="M943" s="15" t="str">
        <f t="shared" si="14"/>
        <v>insert into dbo.LifeInsJobCode (JobCode,JobGrade,JobDescription,JobGroupCode1,JobGroupName1,JobGroupCode2,JobGroupName2,CreateTime,Creator,ModifyTime,Modifier) VALUES ('19000060','2','軍校教官','','','','',getdate(),'Alvin',getdate(),'Alvin')</v>
      </c>
    </row>
    <row r="944" spans="2:13" ht="13.8">
      <c r="B944" s="15" t="s">
        <v>2610</v>
      </c>
      <c r="C944" s="15">
        <v>3</v>
      </c>
      <c r="D944" s="15" t="s">
        <v>2611</v>
      </c>
      <c r="E944" s="15" t="s">
        <v>758</v>
      </c>
      <c r="F944" s="15" t="s">
        <v>758</v>
      </c>
      <c r="G944" s="15" t="s">
        <v>758</v>
      </c>
      <c r="H944" s="15" t="s">
        <v>758</v>
      </c>
      <c r="I944" s="15" t="s">
        <v>2895</v>
      </c>
      <c r="J944" s="15" t="s">
        <v>755</v>
      </c>
      <c r="K944" s="15" t="s">
        <v>2895</v>
      </c>
      <c r="L944" s="15" t="s">
        <v>755</v>
      </c>
      <c r="M944" s="15" t="str">
        <f t="shared" si="14"/>
        <v>insert into dbo.LifeInsJobCode (JobCode,JobGrade,JobDescription,JobGroupCode1,JobGroupName1,JobGroupCode2,JobGroupName2,CreateTime,Creator,ModifyTime,Modifier) VALUES ('19000070','3','軍校學生','','','','',getdate(),'Alvin',getdate(),'Alvin')</v>
      </c>
    </row>
    <row r="945" spans="2:13" ht="13.8">
      <c r="B945" s="15" t="s">
        <v>2612</v>
      </c>
      <c r="C945" s="15">
        <v>4</v>
      </c>
      <c r="D945" s="15" t="s">
        <v>2613</v>
      </c>
      <c r="E945" s="15" t="s">
        <v>758</v>
      </c>
      <c r="F945" s="15" t="s">
        <v>758</v>
      </c>
      <c r="G945" s="15" t="s">
        <v>758</v>
      </c>
      <c r="H945" s="15" t="s">
        <v>758</v>
      </c>
      <c r="I945" s="15" t="s">
        <v>2895</v>
      </c>
      <c r="J945" s="15" t="s">
        <v>755</v>
      </c>
      <c r="K945" s="15" t="s">
        <v>2895</v>
      </c>
      <c r="L945" s="15" t="s">
        <v>755</v>
      </c>
      <c r="M945" s="15" t="str">
        <f t="shared" si="14"/>
        <v>insert into dbo.LifeInsJobCode (JobCode,JobGrade,JobDescription,JobGroupCode1,JobGroupName1,JobGroupCode2,JobGroupName2,CreateTime,Creator,ModifyTime,Modifier) VALUES ('19000080','4','機械、車輛、飛機、修護人員','','','','',getdate(),'Alvin',getdate(),'Alvin')</v>
      </c>
    </row>
    <row r="946" spans="2:13" ht="13.8">
      <c r="B946" s="15" t="s">
        <v>2614</v>
      </c>
      <c r="C946" s="15">
        <v>7</v>
      </c>
      <c r="D946" s="15" t="s">
        <v>2615</v>
      </c>
      <c r="E946" s="15" t="s">
        <v>758</v>
      </c>
      <c r="F946" s="15" t="s">
        <v>758</v>
      </c>
      <c r="G946" s="15" t="s">
        <v>758</v>
      </c>
      <c r="H946" s="15" t="s">
        <v>758</v>
      </c>
      <c r="I946" s="15" t="s">
        <v>2895</v>
      </c>
      <c r="J946" s="15" t="s">
        <v>755</v>
      </c>
      <c r="K946" s="15" t="s">
        <v>2895</v>
      </c>
      <c r="L946" s="15" t="s">
        <v>755</v>
      </c>
      <c r="M946" s="15" t="str">
        <f t="shared" si="14"/>
        <v>insert into dbo.LifeInsJobCode (JobCode,JobGrade,JobDescription,JobGroupCode1,JobGroupName1,JobGroupCode2,JobGroupName2,CreateTime,Creator,ModifyTime,Modifier) VALUES ('19000090','7','艦艇及潛艦官兵','','','','',getdate(),'Alvin',getdate(),'Alvin')</v>
      </c>
    </row>
    <row r="947" spans="2:13" ht="13.8">
      <c r="B947" s="15" t="s">
        <v>2616</v>
      </c>
      <c r="C947" s="15">
        <v>7</v>
      </c>
      <c r="D947" s="15" t="s">
        <v>2617</v>
      </c>
      <c r="E947" s="15" t="s">
        <v>758</v>
      </c>
      <c r="F947" s="15" t="s">
        <v>758</v>
      </c>
      <c r="G947" s="15" t="s">
        <v>758</v>
      </c>
      <c r="H947" s="15" t="s">
        <v>758</v>
      </c>
      <c r="I947" s="15" t="s">
        <v>2895</v>
      </c>
      <c r="J947" s="15" t="s">
        <v>755</v>
      </c>
      <c r="K947" s="15" t="s">
        <v>2895</v>
      </c>
      <c r="L947" s="15" t="s">
        <v>755</v>
      </c>
      <c r="M947" s="15" t="str">
        <f t="shared" si="14"/>
        <v>insert into dbo.LifeInsJobCode (JobCode,JobGrade,JobDescription,JobGroupCode1,JobGroupName1,JobGroupCode2,JobGroupName2,CreateTime,Creator,ModifyTime,Modifier) VALUES ('19000100','7','武器或彈藥製造人員','','','','',getdate(),'Alvin',getdate(),'Alvin')</v>
      </c>
    </row>
    <row r="948" spans="2:13" ht="13.8">
      <c r="B948" s="15" t="s">
        <v>2618</v>
      </c>
      <c r="C948" s="15">
        <v>7</v>
      </c>
      <c r="D948" s="15" t="s">
        <v>2619</v>
      </c>
      <c r="E948" s="15" t="s">
        <v>758</v>
      </c>
      <c r="F948" s="15" t="s">
        <v>758</v>
      </c>
      <c r="G948" s="15" t="s">
        <v>758</v>
      </c>
      <c r="H948" s="15" t="s">
        <v>758</v>
      </c>
      <c r="I948" s="15" t="s">
        <v>2895</v>
      </c>
      <c r="J948" s="15" t="s">
        <v>755</v>
      </c>
      <c r="K948" s="15" t="s">
        <v>2895</v>
      </c>
      <c r="L948" s="15" t="s">
        <v>755</v>
      </c>
      <c r="M948" s="15" t="str">
        <f t="shared" si="14"/>
        <v>insert into dbo.LifeInsJobCode (JobCode,JobGrade,JobDescription,JobGroupCode1,JobGroupName1,JobGroupCode2,JobGroupName2,CreateTime,Creator,ModifyTime,Modifier) VALUES ('19000110','7','軍機駕駛及機上工作人員','','','','',getdate(),'Alvin',getdate(),'Alvin')</v>
      </c>
    </row>
    <row r="949" spans="2:13" ht="13.8">
      <c r="B949" s="15" t="s">
        <v>2620</v>
      </c>
      <c r="C949" s="15">
        <v>2</v>
      </c>
      <c r="D949" s="15" t="s">
        <v>2621</v>
      </c>
      <c r="E949" s="15" t="s">
        <v>2622</v>
      </c>
      <c r="F949" s="15" t="s">
        <v>2623</v>
      </c>
      <c r="G949" s="15" t="s">
        <v>2624</v>
      </c>
      <c r="H949" s="15" t="s">
        <v>2623</v>
      </c>
      <c r="I949" s="15" t="s">
        <v>2895</v>
      </c>
      <c r="J949" s="15" t="s">
        <v>755</v>
      </c>
      <c r="K949" s="15" t="s">
        <v>2895</v>
      </c>
      <c r="L949" s="15" t="s">
        <v>755</v>
      </c>
      <c r="M949" s="15" t="str">
        <f t="shared" si="14"/>
        <v>insert into dbo.LifeInsJobCode (JobCode,JobGrade,JobDescription,JobGroupCode1,JobGroupName1,JobGroupCode2,JobGroupName2,CreateTime,Creator,ModifyTime,Modifier) VALUES ('20000010','2','維護工程師','20','資訊業','2000','資訊業',getdate(),'Alvin',getdate(),'Alvin')</v>
      </c>
    </row>
    <row r="950" spans="2:13" ht="13.8">
      <c r="B950" s="15" t="s">
        <v>2625</v>
      </c>
      <c r="C950" s="15">
        <v>1</v>
      </c>
      <c r="D950" s="15" t="s">
        <v>2626</v>
      </c>
      <c r="E950" s="15" t="s">
        <v>758</v>
      </c>
      <c r="F950" s="15" t="s">
        <v>758</v>
      </c>
      <c r="G950" s="15" t="s">
        <v>758</v>
      </c>
      <c r="H950" s="15" t="s">
        <v>758</v>
      </c>
      <c r="I950" s="15" t="s">
        <v>2895</v>
      </c>
      <c r="J950" s="15" t="s">
        <v>755</v>
      </c>
      <c r="K950" s="15" t="s">
        <v>2895</v>
      </c>
      <c r="L950" s="15" t="s">
        <v>755</v>
      </c>
      <c r="M950" s="15" t="str">
        <f t="shared" si="14"/>
        <v>insert into dbo.LifeInsJobCode (JobCode,JobGrade,JobDescription,JobGroupCode1,JobGroupName1,JobGroupCode2,JobGroupName2,CreateTime,Creator,ModifyTime,Modifier) VALUES ('20000020','1','系統工程師','','','','',getdate(),'Alvin',getdate(),'Alvin')</v>
      </c>
    </row>
    <row r="951" spans="2:13" ht="13.8">
      <c r="B951" s="15" t="s">
        <v>2627</v>
      </c>
      <c r="C951" s="15">
        <v>1</v>
      </c>
      <c r="D951" s="15" t="s">
        <v>3353</v>
      </c>
      <c r="E951" s="15" t="s">
        <v>758</v>
      </c>
      <c r="F951" s="15" t="s">
        <v>758</v>
      </c>
      <c r="G951" s="15" t="s">
        <v>758</v>
      </c>
      <c r="H951" s="15" t="s">
        <v>758</v>
      </c>
      <c r="I951" s="15" t="s">
        <v>2895</v>
      </c>
      <c r="J951" s="15" t="s">
        <v>755</v>
      </c>
      <c r="K951" s="15" t="s">
        <v>2895</v>
      </c>
      <c r="L951" s="15" t="s">
        <v>755</v>
      </c>
      <c r="M951" s="15" t="str">
        <f t="shared" si="14"/>
        <v>insert into dbo.LifeInsJobCode (JobCode,JobGrade,JobDescription,JobGroupCode1,JobGroupName1,JobGroupCode2,JobGroupName2,CreateTime,Creator,ModifyTime,Modifier) VALUES ('20000030','1','銷售工程師(內勤)','','','','',getdate(),'Alvin',getdate(),'Alvin')</v>
      </c>
    </row>
    <row r="952" spans="2:13" ht="13.8">
      <c r="B952" s="15" t="s">
        <v>2628</v>
      </c>
      <c r="C952" s="15">
        <v>2</v>
      </c>
      <c r="D952" s="15" t="s">
        <v>3354</v>
      </c>
      <c r="E952" s="15" t="s">
        <v>758</v>
      </c>
      <c r="F952" s="15" t="s">
        <v>758</v>
      </c>
      <c r="G952" s="15" t="s">
        <v>758</v>
      </c>
      <c r="H952" s="15" t="s">
        <v>758</v>
      </c>
      <c r="I952" s="15" t="s">
        <v>2895</v>
      </c>
      <c r="J952" s="15" t="s">
        <v>755</v>
      </c>
      <c r="K952" s="15" t="s">
        <v>2895</v>
      </c>
      <c r="L952" s="15" t="s">
        <v>755</v>
      </c>
      <c r="M952" s="15" t="str">
        <f t="shared" si="14"/>
        <v>insert into dbo.LifeInsJobCode (JobCode,JobGrade,JobDescription,JobGroupCode1,JobGroupName1,JobGroupCode2,JobGroupName2,CreateTime,Creator,ModifyTime,Modifier) VALUES ('20000031','2','銷售工程師(外務)','','','','',getdate(),'Alvin',getdate(),'Alvin')</v>
      </c>
    </row>
    <row r="953" spans="2:13" ht="13.8">
      <c r="B953" s="15" t="s">
        <v>2629</v>
      </c>
      <c r="C953" s="15">
        <v>1</v>
      </c>
      <c r="D953" s="15" t="s">
        <v>2630</v>
      </c>
      <c r="E953" s="15" t="s">
        <v>758</v>
      </c>
      <c r="F953" s="15" t="s">
        <v>758</v>
      </c>
      <c r="G953" s="15" t="s">
        <v>758</v>
      </c>
      <c r="H953" s="15" t="s">
        <v>758</v>
      </c>
      <c r="I953" s="15" t="s">
        <v>2895</v>
      </c>
      <c r="J953" s="15" t="s">
        <v>755</v>
      </c>
      <c r="K953" s="15" t="s">
        <v>2895</v>
      </c>
      <c r="L953" s="15" t="s">
        <v>755</v>
      </c>
      <c r="M953" s="15" t="str">
        <f t="shared" si="14"/>
        <v>insert into dbo.LifeInsJobCode (JobCode,JobGrade,JobDescription,JobGroupCode1,JobGroupName1,JobGroupCode2,JobGroupName2,CreateTime,Creator,ModifyTime,Modifier) VALUES ('20000040','1','電腦程式設計師','','','','',getdate(),'Alvin',getdate(),'Alvin')</v>
      </c>
    </row>
    <row r="954" spans="2:13" ht="13.8">
      <c r="B954" s="15" t="s">
        <v>2631</v>
      </c>
      <c r="C954" s="15">
        <v>1</v>
      </c>
      <c r="D954" s="15" t="s">
        <v>2632</v>
      </c>
      <c r="E954" s="15" t="s">
        <v>758</v>
      </c>
      <c r="F954" s="15" t="s">
        <v>758</v>
      </c>
      <c r="G954" s="15" t="s">
        <v>758</v>
      </c>
      <c r="H954" s="15" t="s">
        <v>758</v>
      </c>
      <c r="I954" s="15" t="s">
        <v>2895</v>
      </c>
      <c r="J954" s="15" t="s">
        <v>755</v>
      </c>
      <c r="K954" s="15" t="s">
        <v>2895</v>
      </c>
      <c r="L954" s="15" t="s">
        <v>755</v>
      </c>
      <c r="M954" s="15" t="str">
        <f t="shared" si="14"/>
        <v>insert into dbo.LifeInsJobCode (JobCode,JobGrade,JobDescription,JobGroupCode1,JobGroupName1,JobGroupCode2,JobGroupName2,CreateTime,Creator,ModifyTime,Modifier) VALUES ('20000050','1','通信器材買賣商、店員','','','','',getdate(),'Alvin',getdate(),'Alvin')</v>
      </c>
    </row>
    <row r="955" spans="2:13" ht="13.8">
      <c r="B955" s="15" t="s">
        <v>2633</v>
      </c>
      <c r="C955" s="15">
        <v>2</v>
      </c>
      <c r="D955" s="15" t="s">
        <v>2634</v>
      </c>
      <c r="E955" s="15" t="s">
        <v>758</v>
      </c>
      <c r="F955" s="15" t="s">
        <v>758</v>
      </c>
      <c r="G955" s="15" t="s">
        <v>758</v>
      </c>
      <c r="H955" s="15" t="s">
        <v>758</v>
      </c>
      <c r="I955" s="15" t="s">
        <v>2895</v>
      </c>
      <c r="J955" s="15" t="s">
        <v>755</v>
      </c>
      <c r="K955" s="15" t="s">
        <v>2895</v>
      </c>
      <c r="L955" s="15" t="s">
        <v>755</v>
      </c>
      <c r="M955" s="15" t="str">
        <f t="shared" si="14"/>
        <v>insert into dbo.LifeInsJobCode (JobCode,JobGrade,JobDescription,JobGroupCode1,JobGroupName1,JobGroupCode2,JobGroupName2,CreateTime,Creator,ModifyTime,Modifier) VALUES ('20000060','2','事務機器維修人員','','','','',getdate(),'Alvin',getdate(),'Alvin')</v>
      </c>
    </row>
    <row r="956" spans="2:13" ht="13.8">
      <c r="B956" s="15" t="s">
        <v>2635</v>
      </c>
      <c r="C956" s="15">
        <v>2</v>
      </c>
      <c r="D956" s="15" t="s">
        <v>2636</v>
      </c>
      <c r="E956" s="15" t="s">
        <v>758</v>
      </c>
      <c r="F956" s="15" t="s">
        <v>758</v>
      </c>
      <c r="G956" s="15" t="s">
        <v>758</v>
      </c>
      <c r="H956" s="15" t="s">
        <v>758</v>
      </c>
      <c r="I956" s="15" t="s">
        <v>2895</v>
      </c>
      <c r="J956" s="15" t="s">
        <v>755</v>
      </c>
      <c r="K956" s="15" t="s">
        <v>2895</v>
      </c>
      <c r="L956" s="15" t="s">
        <v>755</v>
      </c>
      <c r="M956" s="15" t="str">
        <f t="shared" si="14"/>
        <v>insert into dbo.LifeInsJobCode (JobCode,JobGrade,JobDescription,JobGroupCode1,JobGroupName1,JobGroupCode2,JobGroupName2,CreateTime,Creator,ModifyTime,Modifier) VALUES ('20000070','2','硬體測試人員','','','','',getdate(),'Alvin',getdate(),'Alvin')</v>
      </c>
    </row>
    <row r="957" spans="2:13" ht="13.8">
      <c r="B957" s="15" t="s">
        <v>2637</v>
      </c>
      <c r="C957" s="15">
        <v>3</v>
      </c>
      <c r="D957" s="15" t="s">
        <v>2638</v>
      </c>
      <c r="E957" s="15" t="s">
        <v>758</v>
      </c>
      <c r="F957" s="15" t="s">
        <v>758</v>
      </c>
      <c r="G957" s="15" t="s">
        <v>758</v>
      </c>
      <c r="H957" s="15" t="s">
        <v>758</v>
      </c>
      <c r="I957" s="15" t="s">
        <v>2895</v>
      </c>
      <c r="J957" s="15" t="s">
        <v>755</v>
      </c>
      <c r="K957" s="15" t="s">
        <v>2895</v>
      </c>
      <c r="L957" s="15" t="s">
        <v>755</v>
      </c>
      <c r="M957" s="15" t="str">
        <f t="shared" si="14"/>
        <v>insert into dbo.LifeInsJobCode (JobCode,JobGrade,JobDescription,JobGroupCode1,JobGroupName1,JobGroupCode2,JobGroupName2,CreateTime,Creator,ModifyTime,Modifier) VALUES ('20000080','3','室內管線安裝人員','','','','',getdate(),'Alvin',getdate(),'Alvin')</v>
      </c>
    </row>
    <row r="958" spans="2:13" ht="13.8">
      <c r="B958" s="15" t="s">
        <v>2639</v>
      </c>
      <c r="C958" s="15">
        <v>2</v>
      </c>
      <c r="D958" s="15" t="s">
        <v>2033</v>
      </c>
      <c r="E958" s="15" t="s">
        <v>2640</v>
      </c>
      <c r="F958" s="15" t="s">
        <v>2641</v>
      </c>
      <c r="G958" s="15" t="s">
        <v>2642</v>
      </c>
      <c r="H958" s="15" t="s">
        <v>2643</v>
      </c>
      <c r="I958" s="15" t="s">
        <v>2895</v>
      </c>
      <c r="J958" s="15" t="s">
        <v>755</v>
      </c>
      <c r="K958" s="15" t="s">
        <v>2895</v>
      </c>
      <c r="L958" s="15" t="s">
        <v>755</v>
      </c>
      <c r="M958" s="15" t="str">
        <f t="shared" si="14"/>
        <v>insert into dbo.LifeInsJobCode (JobCode,JobGrade,JobDescription,JobGroupCode1,JobGroupName1,JobGroupCode2,JobGroupName2,CreateTime,Creator,ModifyTime,Modifier) VALUES ('21010010','2','教練','21','職業運動人員','2101','高爾夫球',getdate(),'Alvin',getdate(),'Alvin')</v>
      </c>
    </row>
    <row r="959" spans="2:13" ht="13.8">
      <c r="B959" s="15" t="s">
        <v>2644</v>
      </c>
      <c r="C959" s="15">
        <v>2</v>
      </c>
      <c r="D959" s="15" t="s">
        <v>3355</v>
      </c>
      <c r="E959" s="15" t="s">
        <v>758</v>
      </c>
      <c r="F959" s="15" t="s">
        <v>758</v>
      </c>
      <c r="G959" s="15" t="s">
        <v>758</v>
      </c>
      <c r="H959" s="15" t="s">
        <v>758</v>
      </c>
      <c r="I959" s="15" t="s">
        <v>2895</v>
      </c>
      <c r="J959" s="15" t="s">
        <v>755</v>
      </c>
      <c r="K959" s="15" t="s">
        <v>2895</v>
      </c>
      <c r="L959" s="15" t="s">
        <v>755</v>
      </c>
      <c r="M959" s="15" t="str">
        <f t="shared" si="14"/>
        <v>insert into dbo.LifeInsJobCode (JobCode,JobGrade,JobDescription,JobGroupCode1,JobGroupName1,JobGroupCode2,JobGroupName2,CreateTime,Creator,ModifyTime,Modifier) VALUES ('21010020','2','高爾夫球球員','','','','',getdate(),'Alvin',getdate(),'Alvin')</v>
      </c>
    </row>
    <row r="960" spans="2:13" ht="13.8">
      <c r="B960" s="15" t="s">
        <v>2645</v>
      </c>
      <c r="C960" s="15">
        <v>2</v>
      </c>
      <c r="D960" s="15" t="s">
        <v>2040</v>
      </c>
      <c r="E960" s="15" t="s">
        <v>758</v>
      </c>
      <c r="F960" s="15" t="s">
        <v>758</v>
      </c>
      <c r="G960" s="15" t="s">
        <v>758</v>
      </c>
      <c r="H960" s="15" t="s">
        <v>758</v>
      </c>
      <c r="I960" s="15" t="s">
        <v>2895</v>
      </c>
      <c r="J960" s="15" t="s">
        <v>755</v>
      </c>
      <c r="K960" s="15" t="s">
        <v>2895</v>
      </c>
      <c r="L960" s="15" t="s">
        <v>755</v>
      </c>
      <c r="M960" s="15" t="str">
        <f t="shared" si="14"/>
        <v>insert into dbo.LifeInsJobCode (JobCode,JobGrade,JobDescription,JobGroupCode1,JobGroupName1,JobGroupCode2,JobGroupName2,CreateTime,Creator,ModifyTime,Modifier) VALUES ('21010030','2','球僮','','','','',getdate(),'Alvin',getdate(),'Alvin')</v>
      </c>
    </row>
    <row r="961" spans="2:13" ht="13.8">
      <c r="B961" s="15" t="s">
        <v>2646</v>
      </c>
      <c r="C961" s="15">
        <v>2</v>
      </c>
      <c r="D961" s="15" t="s">
        <v>2033</v>
      </c>
      <c r="E961" s="15" t="s">
        <v>758</v>
      </c>
      <c r="F961" s="15" t="s">
        <v>758</v>
      </c>
      <c r="G961" s="15" t="s">
        <v>2647</v>
      </c>
      <c r="H961" s="15" t="s">
        <v>2648</v>
      </c>
      <c r="I961" s="15" t="s">
        <v>2895</v>
      </c>
      <c r="J961" s="15" t="s">
        <v>755</v>
      </c>
      <c r="K961" s="15" t="s">
        <v>2895</v>
      </c>
      <c r="L961" s="15" t="s">
        <v>755</v>
      </c>
      <c r="M961" s="15" t="str">
        <f t="shared" si="14"/>
        <v>insert into dbo.LifeInsJobCode (JobCode,JobGrade,JobDescription,JobGroupCode1,JobGroupName1,JobGroupCode2,JobGroupName2,CreateTime,Creator,ModifyTime,Modifier) VALUES ('21020010','2','教練','','','2102','保齡球',getdate(),'Alvin',getdate(),'Alvin')</v>
      </c>
    </row>
    <row r="962" spans="2:13" ht="13.8">
      <c r="B962" s="15" t="s">
        <v>2649</v>
      </c>
      <c r="C962" s="15">
        <v>2</v>
      </c>
      <c r="D962" s="15" t="s">
        <v>3356</v>
      </c>
      <c r="E962" s="15" t="s">
        <v>758</v>
      </c>
      <c r="F962" s="15" t="s">
        <v>758</v>
      </c>
      <c r="G962" s="15" t="s">
        <v>758</v>
      </c>
      <c r="H962" s="15" t="s">
        <v>758</v>
      </c>
      <c r="I962" s="15" t="s">
        <v>2895</v>
      </c>
      <c r="J962" s="15" t="s">
        <v>755</v>
      </c>
      <c r="K962" s="15" t="s">
        <v>2895</v>
      </c>
      <c r="L962" s="15" t="s">
        <v>755</v>
      </c>
      <c r="M962" s="15" t="str">
        <f t="shared" ref="M962:M1025" si="15">$M$1 &amp; " VALUES ('"&amp;B962&amp;"','"&amp;C962&amp;"','"&amp;D962&amp;"','"&amp;E962&amp;"','"&amp;F962&amp;"','"&amp;G962&amp;"','"&amp;H962&amp;"',"&amp;I962&amp;",'"&amp;J962&amp;"',"&amp;K962&amp;",'"&amp;L962&amp;"')"</f>
        <v>insert into dbo.LifeInsJobCode (JobCode,JobGrade,JobDescription,JobGroupCode1,JobGroupName1,JobGroupCode2,JobGroupName2,CreateTime,Creator,ModifyTime,Modifier) VALUES ('21020020','2','保齡球球員','','','','',getdate(),'Alvin',getdate(),'Alvin')</v>
      </c>
    </row>
    <row r="963" spans="2:13" ht="13.8">
      <c r="B963" s="15" t="s">
        <v>2650</v>
      </c>
      <c r="C963" s="15">
        <v>2</v>
      </c>
      <c r="D963" s="15" t="s">
        <v>2033</v>
      </c>
      <c r="E963" s="15" t="s">
        <v>758</v>
      </c>
      <c r="F963" s="15" t="s">
        <v>758</v>
      </c>
      <c r="G963" s="15" t="s">
        <v>2651</v>
      </c>
      <c r="H963" s="15" t="s">
        <v>2652</v>
      </c>
      <c r="I963" s="15" t="s">
        <v>2895</v>
      </c>
      <c r="J963" s="15" t="s">
        <v>755</v>
      </c>
      <c r="K963" s="15" t="s">
        <v>2895</v>
      </c>
      <c r="L963" s="15" t="s">
        <v>755</v>
      </c>
      <c r="M963" s="15" t="str">
        <f t="shared" si="15"/>
        <v>insert into dbo.LifeInsJobCode (JobCode,JobGrade,JobDescription,JobGroupCode1,JobGroupName1,JobGroupCode2,JobGroupName2,CreateTime,Creator,ModifyTime,Modifier) VALUES ('21030010','2','教練','','','2103','桌球',getdate(),'Alvin',getdate(),'Alvin')</v>
      </c>
    </row>
    <row r="964" spans="2:13" ht="13.8">
      <c r="B964" s="15" t="s">
        <v>2653</v>
      </c>
      <c r="C964" s="15">
        <v>2</v>
      </c>
      <c r="D964" s="15" t="s">
        <v>3357</v>
      </c>
      <c r="E964" s="15" t="s">
        <v>758</v>
      </c>
      <c r="F964" s="15" t="s">
        <v>758</v>
      </c>
      <c r="G964" s="15" t="s">
        <v>758</v>
      </c>
      <c r="H964" s="15" t="s">
        <v>758</v>
      </c>
      <c r="I964" s="15" t="s">
        <v>2895</v>
      </c>
      <c r="J964" s="15" t="s">
        <v>755</v>
      </c>
      <c r="K964" s="15" t="s">
        <v>2895</v>
      </c>
      <c r="L964" s="15" t="s">
        <v>755</v>
      </c>
      <c r="M964" s="15" t="str">
        <f t="shared" si="15"/>
        <v>insert into dbo.LifeInsJobCode (JobCode,JobGrade,JobDescription,JobGroupCode1,JobGroupName1,JobGroupCode2,JobGroupName2,CreateTime,Creator,ModifyTime,Modifier) VALUES ('21030020','2','桌球球員','','','','',getdate(),'Alvin',getdate(),'Alvin')</v>
      </c>
    </row>
    <row r="965" spans="2:13" ht="13.8">
      <c r="B965" s="15" t="s">
        <v>2654</v>
      </c>
      <c r="C965" s="15">
        <v>2</v>
      </c>
      <c r="D965" s="15" t="s">
        <v>2033</v>
      </c>
      <c r="E965" s="15" t="s">
        <v>758</v>
      </c>
      <c r="F965" s="15" t="s">
        <v>758</v>
      </c>
      <c r="G965" s="15" t="s">
        <v>2655</v>
      </c>
      <c r="H965" s="15" t="s">
        <v>2656</v>
      </c>
      <c r="I965" s="15" t="s">
        <v>2895</v>
      </c>
      <c r="J965" s="15" t="s">
        <v>755</v>
      </c>
      <c r="K965" s="15" t="s">
        <v>2895</v>
      </c>
      <c r="L965" s="15" t="s">
        <v>755</v>
      </c>
      <c r="M965" s="15" t="str">
        <f t="shared" si="15"/>
        <v>insert into dbo.LifeInsJobCode (JobCode,JobGrade,JobDescription,JobGroupCode1,JobGroupName1,JobGroupCode2,JobGroupName2,CreateTime,Creator,ModifyTime,Modifier) VALUES ('21040010','2','教練','','','2104','羽球',getdate(),'Alvin',getdate(),'Alvin')</v>
      </c>
    </row>
    <row r="966" spans="2:13" ht="13.8">
      <c r="B966" s="15" t="s">
        <v>2657</v>
      </c>
      <c r="C966" s="15">
        <v>2</v>
      </c>
      <c r="D966" s="15" t="s">
        <v>3358</v>
      </c>
      <c r="E966" s="15" t="s">
        <v>758</v>
      </c>
      <c r="F966" s="15" t="s">
        <v>758</v>
      </c>
      <c r="G966" s="15" t="s">
        <v>758</v>
      </c>
      <c r="H966" s="15" t="s">
        <v>758</v>
      </c>
      <c r="I966" s="15" t="s">
        <v>2895</v>
      </c>
      <c r="J966" s="15" t="s">
        <v>755</v>
      </c>
      <c r="K966" s="15" t="s">
        <v>2895</v>
      </c>
      <c r="L966" s="15" t="s">
        <v>755</v>
      </c>
      <c r="M966" s="15" t="str">
        <f t="shared" si="15"/>
        <v>insert into dbo.LifeInsJobCode (JobCode,JobGrade,JobDescription,JobGroupCode1,JobGroupName1,JobGroupCode2,JobGroupName2,CreateTime,Creator,ModifyTime,Modifier) VALUES ('21040020','2','羽球球員','','','','',getdate(),'Alvin',getdate(),'Alvin')</v>
      </c>
    </row>
    <row r="967" spans="2:13" ht="13.8">
      <c r="B967" s="15" t="s">
        <v>2658</v>
      </c>
      <c r="C967" s="15">
        <v>2</v>
      </c>
      <c r="D967" s="15" t="s">
        <v>2033</v>
      </c>
      <c r="E967" s="15" t="s">
        <v>758</v>
      </c>
      <c r="F967" s="15" t="s">
        <v>758</v>
      </c>
      <c r="G967" s="15" t="s">
        <v>2659</v>
      </c>
      <c r="H967" s="15" t="s">
        <v>2660</v>
      </c>
      <c r="I967" s="15" t="s">
        <v>2895</v>
      </c>
      <c r="J967" s="15" t="s">
        <v>755</v>
      </c>
      <c r="K967" s="15" t="s">
        <v>2895</v>
      </c>
      <c r="L967" s="15" t="s">
        <v>755</v>
      </c>
      <c r="M967" s="15" t="str">
        <f t="shared" si="15"/>
        <v>insert into dbo.LifeInsJobCode (JobCode,JobGrade,JobDescription,JobGroupCode1,JobGroupName1,JobGroupCode2,JobGroupName2,CreateTime,Creator,ModifyTime,Modifier) VALUES ('21050010','2','教練','','','2105','游泳',getdate(),'Alvin',getdate(),'Alvin')</v>
      </c>
    </row>
    <row r="968" spans="2:13" ht="13.8">
      <c r="B968" s="15" t="s">
        <v>2661</v>
      </c>
      <c r="C968" s="15">
        <v>2</v>
      </c>
      <c r="D968" s="15" t="s">
        <v>3359</v>
      </c>
      <c r="E968" s="15" t="s">
        <v>758</v>
      </c>
      <c r="F968" s="15" t="s">
        <v>758</v>
      </c>
      <c r="G968" s="15" t="s">
        <v>758</v>
      </c>
      <c r="H968" s="15" t="s">
        <v>758</v>
      </c>
      <c r="I968" s="15" t="s">
        <v>2895</v>
      </c>
      <c r="J968" s="15" t="s">
        <v>755</v>
      </c>
      <c r="K968" s="15" t="s">
        <v>2895</v>
      </c>
      <c r="L968" s="15" t="s">
        <v>755</v>
      </c>
      <c r="M968" s="15" t="str">
        <f t="shared" si="15"/>
        <v>insert into dbo.LifeInsJobCode (JobCode,JobGrade,JobDescription,JobGroupCode1,JobGroupName1,JobGroupCode2,JobGroupName2,CreateTime,Creator,ModifyTime,Modifier) VALUES ('21050020','2','游泳人員','','','','',getdate(),'Alvin',getdate(),'Alvin')</v>
      </c>
    </row>
    <row r="969" spans="2:13" ht="13.8">
      <c r="B969" s="15" t="s">
        <v>2662</v>
      </c>
      <c r="C969" s="15">
        <v>2</v>
      </c>
      <c r="D969" s="15" t="s">
        <v>2033</v>
      </c>
      <c r="E969" s="15" t="s">
        <v>758</v>
      </c>
      <c r="F969" s="15" t="s">
        <v>758</v>
      </c>
      <c r="G969" s="15" t="s">
        <v>2663</v>
      </c>
      <c r="H969" s="15" t="s">
        <v>2664</v>
      </c>
      <c r="I969" s="15" t="s">
        <v>2895</v>
      </c>
      <c r="J969" s="15" t="s">
        <v>755</v>
      </c>
      <c r="K969" s="15" t="s">
        <v>2895</v>
      </c>
      <c r="L969" s="15" t="s">
        <v>755</v>
      </c>
      <c r="M969" s="15" t="str">
        <f t="shared" si="15"/>
        <v>insert into dbo.LifeInsJobCode (JobCode,JobGrade,JobDescription,JobGroupCode1,JobGroupName1,JobGroupCode2,JobGroupName2,CreateTime,Creator,ModifyTime,Modifier) VALUES ('21060010','2','教練','','','2106','射箭',getdate(),'Alvin',getdate(),'Alvin')</v>
      </c>
    </row>
    <row r="970" spans="2:13" ht="13.8">
      <c r="B970" s="15" t="s">
        <v>2665</v>
      </c>
      <c r="C970" s="15">
        <v>2</v>
      </c>
      <c r="D970" s="15" t="s">
        <v>3360</v>
      </c>
      <c r="E970" s="15" t="s">
        <v>758</v>
      </c>
      <c r="F970" s="15" t="s">
        <v>758</v>
      </c>
      <c r="G970" s="15" t="s">
        <v>758</v>
      </c>
      <c r="H970" s="15" t="s">
        <v>758</v>
      </c>
      <c r="I970" s="15" t="s">
        <v>2895</v>
      </c>
      <c r="J970" s="15" t="s">
        <v>755</v>
      </c>
      <c r="K970" s="15" t="s">
        <v>2895</v>
      </c>
      <c r="L970" s="15" t="s">
        <v>755</v>
      </c>
      <c r="M970" s="15" t="str">
        <f t="shared" si="15"/>
        <v>insert into dbo.LifeInsJobCode (JobCode,JobGrade,JobDescription,JobGroupCode1,JobGroupName1,JobGroupCode2,JobGroupName2,CreateTime,Creator,ModifyTime,Modifier) VALUES ('21060020','2','射箭人員','','','','',getdate(),'Alvin',getdate(),'Alvin')</v>
      </c>
    </row>
    <row r="971" spans="2:13" ht="13.8">
      <c r="B971" s="15" t="s">
        <v>2666</v>
      </c>
      <c r="C971" s="15">
        <v>2</v>
      </c>
      <c r="D971" s="15" t="s">
        <v>2033</v>
      </c>
      <c r="E971" s="15" t="s">
        <v>758</v>
      </c>
      <c r="F971" s="15" t="s">
        <v>758</v>
      </c>
      <c r="G971" s="15" t="s">
        <v>2667</v>
      </c>
      <c r="H971" s="15" t="s">
        <v>2668</v>
      </c>
      <c r="I971" s="15" t="s">
        <v>2895</v>
      </c>
      <c r="J971" s="15" t="s">
        <v>755</v>
      </c>
      <c r="K971" s="15" t="s">
        <v>2895</v>
      </c>
      <c r="L971" s="15" t="s">
        <v>755</v>
      </c>
      <c r="M971" s="15" t="str">
        <f t="shared" si="15"/>
        <v>insert into dbo.LifeInsJobCode (JobCode,JobGrade,JobDescription,JobGroupCode1,JobGroupName1,JobGroupCode2,JobGroupName2,CreateTime,Creator,ModifyTime,Modifier) VALUES ('21070010','2','教練','','','2107','網球',getdate(),'Alvin',getdate(),'Alvin')</v>
      </c>
    </row>
    <row r="972" spans="2:13" ht="13.8">
      <c r="B972" s="15" t="s">
        <v>2669</v>
      </c>
      <c r="C972" s="15">
        <v>2</v>
      </c>
      <c r="D972" s="15" t="s">
        <v>3361</v>
      </c>
      <c r="E972" s="15" t="s">
        <v>758</v>
      </c>
      <c r="F972" s="15" t="s">
        <v>758</v>
      </c>
      <c r="G972" s="15" t="s">
        <v>758</v>
      </c>
      <c r="H972" s="15" t="s">
        <v>758</v>
      </c>
      <c r="I972" s="15" t="s">
        <v>2895</v>
      </c>
      <c r="J972" s="15" t="s">
        <v>755</v>
      </c>
      <c r="K972" s="15" t="s">
        <v>2895</v>
      </c>
      <c r="L972" s="15" t="s">
        <v>755</v>
      </c>
      <c r="M972" s="15" t="str">
        <f t="shared" si="15"/>
        <v>insert into dbo.LifeInsJobCode (JobCode,JobGrade,JobDescription,JobGroupCode1,JobGroupName1,JobGroupCode2,JobGroupName2,CreateTime,Creator,ModifyTime,Modifier) VALUES ('21070020','2','網球球員','','','','',getdate(),'Alvin',getdate(),'Alvin')</v>
      </c>
    </row>
    <row r="973" spans="2:13" ht="13.8">
      <c r="B973" s="15" t="s">
        <v>2670</v>
      </c>
      <c r="C973" s="15">
        <v>2</v>
      </c>
      <c r="D973" s="15" t="s">
        <v>2033</v>
      </c>
      <c r="E973" s="15" t="s">
        <v>758</v>
      </c>
      <c r="F973" s="15" t="s">
        <v>758</v>
      </c>
      <c r="G973" s="15" t="s">
        <v>2671</v>
      </c>
      <c r="H973" s="15" t="s">
        <v>2672</v>
      </c>
      <c r="I973" s="15" t="s">
        <v>2895</v>
      </c>
      <c r="J973" s="15" t="s">
        <v>755</v>
      </c>
      <c r="K973" s="15" t="s">
        <v>2895</v>
      </c>
      <c r="L973" s="15" t="s">
        <v>755</v>
      </c>
      <c r="M973" s="15" t="str">
        <f t="shared" si="15"/>
        <v>insert into dbo.LifeInsJobCode (JobCode,JobGrade,JobDescription,JobGroupCode1,JobGroupName1,JobGroupCode2,JobGroupName2,CreateTime,Creator,ModifyTime,Modifier) VALUES ('21080010','2','教練','','','2108','壘球',getdate(),'Alvin',getdate(),'Alvin')</v>
      </c>
    </row>
    <row r="974" spans="2:13" ht="13.8">
      <c r="B974" s="15" t="s">
        <v>2673</v>
      </c>
      <c r="C974" s="15">
        <v>2</v>
      </c>
      <c r="D974" s="15" t="s">
        <v>3362</v>
      </c>
      <c r="E974" s="15" t="s">
        <v>758</v>
      </c>
      <c r="F974" s="15" t="s">
        <v>758</v>
      </c>
      <c r="G974" s="15" t="s">
        <v>758</v>
      </c>
      <c r="H974" s="15" t="s">
        <v>758</v>
      </c>
      <c r="I974" s="15" t="s">
        <v>2895</v>
      </c>
      <c r="J974" s="15" t="s">
        <v>755</v>
      </c>
      <c r="K974" s="15" t="s">
        <v>2895</v>
      </c>
      <c r="L974" s="15" t="s">
        <v>755</v>
      </c>
      <c r="M974" s="15" t="str">
        <f t="shared" si="15"/>
        <v>insert into dbo.LifeInsJobCode (JobCode,JobGrade,JobDescription,JobGroupCode1,JobGroupName1,JobGroupCode2,JobGroupName2,CreateTime,Creator,ModifyTime,Modifier) VALUES ('21080020','2','壘球球員','','','','',getdate(),'Alvin',getdate(),'Alvin')</v>
      </c>
    </row>
    <row r="975" spans="2:13" ht="13.8">
      <c r="B975" s="15" t="s">
        <v>2674</v>
      </c>
      <c r="C975" s="15">
        <v>2</v>
      </c>
      <c r="D975" s="15" t="s">
        <v>2033</v>
      </c>
      <c r="E975" s="15" t="s">
        <v>758</v>
      </c>
      <c r="F975" s="15" t="s">
        <v>758</v>
      </c>
      <c r="G975" s="15" t="s">
        <v>2675</v>
      </c>
      <c r="H975" s="15" t="s">
        <v>2676</v>
      </c>
      <c r="I975" s="15" t="s">
        <v>2895</v>
      </c>
      <c r="J975" s="15" t="s">
        <v>755</v>
      </c>
      <c r="K975" s="15" t="s">
        <v>2895</v>
      </c>
      <c r="L975" s="15" t="s">
        <v>755</v>
      </c>
      <c r="M975" s="15" t="str">
        <f t="shared" si="15"/>
        <v>insert into dbo.LifeInsJobCode (JobCode,JobGrade,JobDescription,JobGroupCode1,JobGroupName1,JobGroupCode2,JobGroupName2,CreateTime,Creator,ModifyTime,Modifier) VALUES ('21090010','2','教練','','','2109','溜冰',getdate(),'Alvin',getdate(),'Alvin')</v>
      </c>
    </row>
    <row r="976" spans="2:13" ht="13.8">
      <c r="B976" s="15" t="s">
        <v>2677</v>
      </c>
      <c r="C976" s="15">
        <v>2</v>
      </c>
      <c r="D976" s="15" t="s">
        <v>3363</v>
      </c>
      <c r="E976" s="15" t="s">
        <v>758</v>
      </c>
      <c r="F976" s="15" t="s">
        <v>758</v>
      </c>
      <c r="G976" s="15" t="s">
        <v>758</v>
      </c>
      <c r="H976" s="15" t="s">
        <v>758</v>
      </c>
      <c r="I976" s="15" t="s">
        <v>2895</v>
      </c>
      <c r="J976" s="15" t="s">
        <v>755</v>
      </c>
      <c r="K976" s="15" t="s">
        <v>2895</v>
      </c>
      <c r="L976" s="15" t="s">
        <v>755</v>
      </c>
      <c r="M976" s="15" t="str">
        <f t="shared" si="15"/>
        <v>insert into dbo.LifeInsJobCode (JobCode,JobGrade,JobDescription,JobGroupCode1,JobGroupName1,JobGroupCode2,JobGroupName2,CreateTime,Creator,ModifyTime,Modifier) VALUES ('21090020','2','溜冰人員','','','','',getdate(),'Alvin',getdate(),'Alvin')</v>
      </c>
    </row>
    <row r="977" spans="2:13" ht="13.8">
      <c r="B977" s="15" t="s">
        <v>2678</v>
      </c>
      <c r="C977" s="15">
        <v>2</v>
      </c>
      <c r="D977" s="15" t="s">
        <v>2033</v>
      </c>
      <c r="E977" s="15" t="s">
        <v>758</v>
      </c>
      <c r="F977" s="15" t="s">
        <v>758</v>
      </c>
      <c r="G977" s="15" t="s">
        <v>2679</v>
      </c>
      <c r="H977" s="15" t="s">
        <v>2680</v>
      </c>
      <c r="I977" s="15" t="s">
        <v>2895</v>
      </c>
      <c r="J977" s="15" t="s">
        <v>755</v>
      </c>
      <c r="K977" s="15" t="s">
        <v>2895</v>
      </c>
      <c r="L977" s="15" t="s">
        <v>755</v>
      </c>
      <c r="M977" s="15" t="str">
        <f t="shared" si="15"/>
        <v>insert into dbo.LifeInsJobCode (JobCode,JobGrade,JobDescription,JobGroupCode1,JobGroupName1,JobGroupCode2,JobGroupName2,CreateTime,Creator,ModifyTime,Modifier) VALUES ('21100010','2','教練','','','2110','射擊',getdate(),'Alvin',getdate(),'Alvin')</v>
      </c>
    </row>
    <row r="978" spans="2:13" ht="13.8">
      <c r="B978" s="15" t="s">
        <v>2681</v>
      </c>
      <c r="C978" s="15">
        <v>2</v>
      </c>
      <c r="D978" s="15" t="s">
        <v>3364</v>
      </c>
      <c r="E978" s="15" t="s">
        <v>758</v>
      </c>
      <c r="F978" s="15" t="s">
        <v>758</v>
      </c>
      <c r="G978" s="15" t="s">
        <v>758</v>
      </c>
      <c r="H978" s="15" t="s">
        <v>758</v>
      </c>
      <c r="I978" s="15" t="s">
        <v>2895</v>
      </c>
      <c r="J978" s="15" t="s">
        <v>755</v>
      </c>
      <c r="K978" s="15" t="s">
        <v>2895</v>
      </c>
      <c r="L978" s="15" t="s">
        <v>755</v>
      </c>
      <c r="M978" s="15" t="str">
        <f t="shared" si="15"/>
        <v>insert into dbo.LifeInsJobCode (JobCode,JobGrade,JobDescription,JobGroupCode1,JobGroupName1,JobGroupCode2,JobGroupName2,CreateTime,Creator,ModifyTime,Modifier) VALUES ('21100020','2','射擊人員','','','','',getdate(),'Alvin',getdate(),'Alvin')</v>
      </c>
    </row>
    <row r="979" spans="2:13" ht="13.8">
      <c r="B979" s="15" t="s">
        <v>2682</v>
      </c>
      <c r="C979" s="15">
        <v>2</v>
      </c>
      <c r="D979" s="15" t="s">
        <v>2033</v>
      </c>
      <c r="E979" s="15" t="s">
        <v>758</v>
      </c>
      <c r="F979" s="15" t="s">
        <v>758</v>
      </c>
      <c r="G979" s="15" t="s">
        <v>2683</v>
      </c>
      <c r="H979" s="15" t="s">
        <v>2684</v>
      </c>
      <c r="I979" s="15" t="s">
        <v>2895</v>
      </c>
      <c r="J979" s="15" t="s">
        <v>755</v>
      </c>
      <c r="K979" s="15" t="s">
        <v>2895</v>
      </c>
      <c r="L979" s="15" t="s">
        <v>755</v>
      </c>
      <c r="M979" s="15" t="str">
        <f t="shared" si="15"/>
        <v>insert into dbo.LifeInsJobCode (JobCode,JobGrade,JobDescription,JobGroupCode1,JobGroupName1,JobGroupCode2,JobGroupName2,CreateTime,Creator,ModifyTime,Modifier) VALUES ('21110010','2','教練','','','2111','民俗體育活動',getdate(),'Alvin',getdate(),'Alvin')</v>
      </c>
    </row>
    <row r="980" spans="2:13" ht="13.8">
      <c r="B980" s="15" t="s">
        <v>2685</v>
      </c>
      <c r="C980" s="15">
        <v>2</v>
      </c>
      <c r="D980" s="15" t="s">
        <v>3365</v>
      </c>
      <c r="E980" s="15" t="s">
        <v>758</v>
      </c>
      <c r="F980" s="15" t="s">
        <v>758</v>
      </c>
      <c r="G980" s="15" t="s">
        <v>758</v>
      </c>
      <c r="H980" s="15" t="s">
        <v>758</v>
      </c>
      <c r="I980" s="15" t="s">
        <v>2895</v>
      </c>
      <c r="J980" s="15" t="s">
        <v>755</v>
      </c>
      <c r="K980" s="15" t="s">
        <v>2895</v>
      </c>
      <c r="L980" s="15" t="s">
        <v>755</v>
      </c>
      <c r="M980" s="15" t="str">
        <f t="shared" si="15"/>
        <v>insert into dbo.LifeInsJobCode (JobCode,JobGrade,JobDescription,JobGroupCode1,JobGroupName1,JobGroupCode2,JobGroupName2,CreateTime,Creator,ModifyTime,Modifier) VALUES ('21110020','2','民俗體育活動人員','','','','',getdate(),'Alvin',getdate(),'Alvin')</v>
      </c>
    </row>
    <row r="981" spans="2:13" ht="13.8">
      <c r="B981" s="15" t="s">
        <v>2686</v>
      </c>
      <c r="C981" s="15">
        <v>2</v>
      </c>
      <c r="D981" s="15" t="s">
        <v>2033</v>
      </c>
      <c r="E981" s="15" t="s">
        <v>758</v>
      </c>
      <c r="F981" s="15" t="s">
        <v>758</v>
      </c>
      <c r="G981" s="15" t="s">
        <v>2687</v>
      </c>
      <c r="H981" s="15" t="s">
        <v>2688</v>
      </c>
      <c r="I981" s="15" t="s">
        <v>2895</v>
      </c>
      <c r="J981" s="15" t="s">
        <v>755</v>
      </c>
      <c r="K981" s="15" t="s">
        <v>2895</v>
      </c>
      <c r="L981" s="15" t="s">
        <v>755</v>
      </c>
      <c r="M981" s="15" t="str">
        <f t="shared" si="15"/>
        <v>insert into dbo.LifeInsJobCode (JobCode,JobGrade,JobDescription,JobGroupCode1,JobGroupName1,JobGroupCode2,JobGroupName2,CreateTime,Creator,ModifyTime,Modifier) VALUES ('21120010','2','教練','','','2112','舉重',getdate(),'Alvin',getdate(),'Alvin')</v>
      </c>
    </row>
    <row r="982" spans="2:13" ht="13.8">
      <c r="B982" s="15" t="s">
        <v>2689</v>
      </c>
      <c r="C982" s="15">
        <v>3</v>
      </c>
      <c r="D982" s="15" t="s">
        <v>3366</v>
      </c>
      <c r="E982" s="15" t="s">
        <v>758</v>
      </c>
      <c r="F982" s="15" t="s">
        <v>758</v>
      </c>
      <c r="G982" s="15" t="s">
        <v>758</v>
      </c>
      <c r="H982" s="15" t="s">
        <v>758</v>
      </c>
      <c r="I982" s="15" t="s">
        <v>2895</v>
      </c>
      <c r="J982" s="15" t="s">
        <v>755</v>
      </c>
      <c r="K982" s="15" t="s">
        <v>2895</v>
      </c>
      <c r="L982" s="15" t="s">
        <v>755</v>
      </c>
      <c r="M982" s="15" t="str">
        <f t="shared" si="15"/>
        <v>insert into dbo.LifeInsJobCode (JobCode,JobGrade,JobDescription,JobGroupCode1,JobGroupName1,JobGroupCode2,JobGroupName2,CreateTime,Creator,ModifyTime,Modifier) VALUES ('21120020','3','舉重人員','','','','',getdate(),'Alvin',getdate(),'Alvin')</v>
      </c>
    </row>
    <row r="983" spans="2:13" ht="13.8">
      <c r="B983" s="15" t="s">
        <v>2690</v>
      </c>
      <c r="C983" s="15">
        <v>2</v>
      </c>
      <c r="D983" s="15" t="s">
        <v>2033</v>
      </c>
      <c r="E983" s="15" t="s">
        <v>758</v>
      </c>
      <c r="F983" s="15" t="s">
        <v>758</v>
      </c>
      <c r="G983" s="15" t="s">
        <v>2691</v>
      </c>
      <c r="H983" s="15" t="s">
        <v>2692</v>
      </c>
      <c r="I983" s="15" t="s">
        <v>2895</v>
      </c>
      <c r="J983" s="15" t="s">
        <v>755</v>
      </c>
      <c r="K983" s="15" t="s">
        <v>2895</v>
      </c>
      <c r="L983" s="15" t="s">
        <v>755</v>
      </c>
      <c r="M983" s="15" t="str">
        <f t="shared" si="15"/>
        <v>insert into dbo.LifeInsJobCode (JobCode,JobGrade,JobDescription,JobGroupCode1,JobGroupName1,JobGroupCode2,JobGroupName2,CreateTime,Creator,ModifyTime,Modifier) VALUES ('21130010','2','教練','','','2113','籃球',getdate(),'Alvin',getdate(),'Alvin')</v>
      </c>
    </row>
    <row r="984" spans="2:13" ht="13.8">
      <c r="B984" s="15" t="s">
        <v>2693</v>
      </c>
      <c r="C984" s="15">
        <v>3</v>
      </c>
      <c r="D984" s="15" t="s">
        <v>3367</v>
      </c>
      <c r="E984" s="15" t="s">
        <v>758</v>
      </c>
      <c r="F984" s="15" t="s">
        <v>758</v>
      </c>
      <c r="G984" s="15" t="s">
        <v>758</v>
      </c>
      <c r="H984" s="15" t="s">
        <v>758</v>
      </c>
      <c r="I984" s="15" t="s">
        <v>2895</v>
      </c>
      <c r="J984" s="15" t="s">
        <v>755</v>
      </c>
      <c r="K984" s="15" t="s">
        <v>2895</v>
      </c>
      <c r="L984" s="15" t="s">
        <v>755</v>
      </c>
      <c r="M984" s="15" t="str">
        <f t="shared" si="15"/>
        <v>insert into dbo.LifeInsJobCode (JobCode,JobGrade,JobDescription,JobGroupCode1,JobGroupName1,JobGroupCode2,JobGroupName2,CreateTime,Creator,ModifyTime,Modifier) VALUES ('21130020','3','籃球球員','','','','',getdate(),'Alvin',getdate(),'Alvin')</v>
      </c>
    </row>
    <row r="985" spans="2:13" ht="13.8">
      <c r="B985" s="15" t="s">
        <v>2694</v>
      </c>
      <c r="C985" s="15">
        <v>2</v>
      </c>
      <c r="D985" s="15" t="s">
        <v>2033</v>
      </c>
      <c r="E985" s="15" t="s">
        <v>758</v>
      </c>
      <c r="F985" s="15" t="s">
        <v>758</v>
      </c>
      <c r="G985" s="15" t="s">
        <v>2695</v>
      </c>
      <c r="H985" s="15" t="s">
        <v>2696</v>
      </c>
      <c r="I985" s="15" t="s">
        <v>2895</v>
      </c>
      <c r="J985" s="15" t="s">
        <v>755</v>
      </c>
      <c r="K985" s="15" t="s">
        <v>2895</v>
      </c>
      <c r="L985" s="15" t="s">
        <v>755</v>
      </c>
      <c r="M985" s="15" t="str">
        <f t="shared" si="15"/>
        <v>insert into dbo.LifeInsJobCode (JobCode,JobGrade,JobDescription,JobGroupCode1,JobGroupName1,JobGroupCode2,JobGroupName2,CreateTime,Creator,ModifyTime,Modifier) VALUES ('21140010','2','教練','','','2114','排球',getdate(),'Alvin',getdate(),'Alvin')</v>
      </c>
    </row>
    <row r="986" spans="2:13" ht="13.8">
      <c r="B986" s="15" t="s">
        <v>2697</v>
      </c>
      <c r="C986" s="15">
        <v>3</v>
      </c>
      <c r="D986" s="15" t="s">
        <v>3368</v>
      </c>
      <c r="E986" s="15" t="s">
        <v>758</v>
      </c>
      <c r="F986" s="15" t="s">
        <v>758</v>
      </c>
      <c r="G986" s="15" t="s">
        <v>758</v>
      </c>
      <c r="H986" s="15" t="s">
        <v>758</v>
      </c>
      <c r="I986" s="15" t="s">
        <v>2895</v>
      </c>
      <c r="J986" s="15" t="s">
        <v>755</v>
      </c>
      <c r="K986" s="15" t="s">
        <v>2895</v>
      </c>
      <c r="L986" s="15" t="s">
        <v>755</v>
      </c>
      <c r="M986" s="15" t="str">
        <f t="shared" si="15"/>
        <v>insert into dbo.LifeInsJobCode (JobCode,JobGrade,JobDescription,JobGroupCode1,JobGroupName1,JobGroupCode2,JobGroupName2,CreateTime,Creator,ModifyTime,Modifier) VALUES ('21140020','3','排球球員','','','','',getdate(),'Alvin',getdate(),'Alvin')</v>
      </c>
    </row>
    <row r="987" spans="2:13" ht="13.8">
      <c r="B987" s="15" t="s">
        <v>2698</v>
      </c>
      <c r="C987" s="15">
        <v>2</v>
      </c>
      <c r="D987" s="15" t="s">
        <v>2033</v>
      </c>
      <c r="E987" s="15" t="s">
        <v>758</v>
      </c>
      <c r="F987" s="15" t="s">
        <v>758</v>
      </c>
      <c r="G987" s="15" t="s">
        <v>2699</v>
      </c>
      <c r="H987" s="15" t="s">
        <v>2700</v>
      </c>
      <c r="I987" s="15" t="s">
        <v>2895</v>
      </c>
      <c r="J987" s="15" t="s">
        <v>755</v>
      </c>
      <c r="K987" s="15" t="s">
        <v>2895</v>
      </c>
      <c r="L987" s="15" t="s">
        <v>755</v>
      </c>
      <c r="M987" s="15" t="str">
        <f t="shared" si="15"/>
        <v>insert into dbo.LifeInsJobCode (JobCode,JobGrade,JobDescription,JobGroupCode1,JobGroupName1,JobGroupCode2,JobGroupName2,CreateTime,Creator,ModifyTime,Modifier) VALUES ('21150010','2','教練','','','2115','棒球',getdate(),'Alvin',getdate(),'Alvin')</v>
      </c>
    </row>
    <row r="988" spans="2:13" ht="13.8">
      <c r="B988" s="15" t="s">
        <v>2701</v>
      </c>
      <c r="C988" s="15">
        <v>3</v>
      </c>
      <c r="D988" s="15" t="s">
        <v>3369</v>
      </c>
      <c r="E988" s="15" t="s">
        <v>758</v>
      </c>
      <c r="F988" s="15" t="s">
        <v>758</v>
      </c>
      <c r="G988" s="15" t="s">
        <v>758</v>
      </c>
      <c r="H988" s="15" t="s">
        <v>758</v>
      </c>
      <c r="I988" s="15" t="s">
        <v>2895</v>
      </c>
      <c r="J988" s="15" t="s">
        <v>755</v>
      </c>
      <c r="K988" s="15" t="s">
        <v>2895</v>
      </c>
      <c r="L988" s="15" t="s">
        <v>755</v>
      </c>
      <c r="M988" s="15" t="str">
        <f t="shared" si="15"/>
        <v>insert into dbo.LifeInsJobCode (JobCode,JobGrade,JobDescription,JobGroupCode1,JobGroupName1,JobGroupCode2,JobGroupName2,CreateTime,Creator,ModifyTime,Modifier) VALUES ('21150020','3','棒球球員','','','','',getdate(),'Alvin',getdate(),'Alvin')</v>
      </c>
    </row>
    <row r="989" spans="2:13" ht="13.8">
      <c r="B989" s="15" t="s">
        <v>2702</v>
      </c>
      <c r="C989" s="15">
        <v>2</v>
      </c>
      <c r="D989" s="15" t="s">
        <v>2033</v>
      </c>
      <c r="E989" s="15" t="s">
        <v>758</v>
      </c>
      <c r="F989" s="15" t="s">
        <v>758</v>
      </c>
      <c r="G989" s="15" t="s">
        <v>2703</v>
      </c>
      <c r="H989" s="15" t="s">
        <v>2704</v>
      </c>
      <c r="I989" s="15" t="s">
        <v>2895</v>
      </c>
      <c r="J989" s="15" t="s">
        <v>755</v>
      </c>
      <c r="K989" s="15" t="s">
        <v>2895</v>
      </c>
      <c r="L989" s="15" t="s">
        <v>755</v>
      </c>
      <c r="M989" s="15" t="str">
        <f t="shared" si="15"/>
        <v>insert into dbo.LifeInsJobCode (JobCode,JobGrade,JobDescription,JobGroupCode1,JobGroupName1,JobGroupCode2,JobGroupName2,CreateTime,Creator,ModifyTime,Modifier) VALUES ('21160010','2','教練','','','2116','田徑',getdate(),'Alvin',getdate(),'Alvin')</v>
      </c>
    </row>
    <row r="990" spans="2:13" ht="13.8">
      <c r="B990" s="15" t="s">
        <v>2705</v>
      </c>
      <c r="C990" s="15">
        <v>3</v>
      </c>
      <c r="D990" s="15" t="s">
        <v>2815</v>
      </c>
      <c r="E990" s="15" t="s">
        <v>758</v>
      </c>
      <c r="F990" s="15" t="s">
        <v>758</v>
      </c>
      <c r="G990" s="15" t="s">
        <v>758</v>
      </c>
      <c r="H990" s="15" t="s">
        <v>758</v>
      </c>
      <c r="I990" s="15" t="s">
        <v>2895</v>
      </c>
      <c r="J990" s="15" t="s">
        <v>755</v>
      </c>
      <c r="K990" s="15" t="s">
        <v>2895</v>
      </c>
      <c r="L990" s="15" t="s">
        <v>755</v>
      </c>
      <c r="M990" s="15" t="str">
        <f t="shared" si="15"/>
        <v>insert into dbo.LifeInsJobCode (JobCode,JobGrade,JobDescription,JobGroupCode1,JobGroupName1,JobGroupCode2,JobGroupName2,CreateTime,Creator,ModifyTime,Modifier) VALUES ('21160020','3','與賽人員','','','','',getdate(),'Alvin',getdate(),'Alvin')</v>
      </c>
    </row>
    <row r="991" spans="2:13" ht="13.8">
      <c r="B991" s="15" t="s">
        <v>2706</v>
      </c>
      <c r="C991" s="15">
        <v>2</v>
      </c>
      <c r="D991" s="15" t="s">
        <v>2033</v>
      </c>
      <c r="E991" s="15" t="s">
        <v>758</v>
      </c>
      <c r="F991" s="15" t="s">
        <v>758</v>
      </c>
      <c r="G991" s="15" t="s">
        <v>2707</v>
      </c>
      <c r="H991" s="15" t="s">
        <v>2708</v>
      </c>
      <c r="I991" s="15" t="s">
        <v>2895</v>
      </c>
      <c r="J991" s="15" t="s">
        <v>755</v>
      </c>
      <c r="K991" s="15" t="s">
        <v>2895</v>
      </c>
      <c r="L991" s="15" t="s">
        <v>755</v>
      </c>
      <c r="M991" s="15" t="str">
        <f t="shared" si="15"/>
        <v>insert into dbo.LifeInsJobCode (JobCode,JobGrade,JobDescription,JobGroupCode1,JobGroupName1,JobGroupCode2,JobGroupName2,CreateTime,Creator,ModifyTime,Modifier) VALUES ('21170010','2','教練','','','2117','體操',getdate(),'Alvin',getdate(),'Alvin')</v>
      </c>
    </row>
    <row r="992" spans="2:13" ht="13.8">
      <c r="B992" s="15" t="s">
        <v>2709</v>
      </c>
      <c r="C992" s="15">
        <v>3</v>
      </c>
      <c r="D992" s="15" t="s">
        <v>3370</v>
      </c>
      <c r="E992" s="15" t="s">
        <v>758</v>
      </c>
      <c r="F992" s="15" t="s">
        <v>758</v>
      </c>
      <c r="G992" s="15" t="s">
        <v>758</v>
      </c>
      <c r="H992" s="15" t="s">
        <v>758</v>
      </c>
      <c r="I992" s="15" t="s">
        <v>2895</v>
      </c>
      <c r="J992" s="15" t="s">
        <v>755</v>
      </c>
      <c r="K992" s="15" t="s">
        <v>2895</v>
      </c>
      <c r="L992" s="15" t="s">
        <v>755</v>
      </c>
      <c r="M992" s="15" t="str">
        <f t="shared" si="15"/>
        <v>insert into dbo.LifeInsJobCode (JobCode,JobGrade,JobDescription,JobGroupCode1,JobGroupName1,JobGroupCode2,JobGroupName2,CreateTime,Creator,ModifyTime,Modifier) VALUES ('21170020','3','體操人員','','','','',getdate(),'Alvin',getdate(),'Alvin')</v>
      </c>
    </row>
    <row r="993" spans="2:13" ht="13.8">
      <c r="B993" s="15" t="s">
        <v>2710</v>
      </c>
      <c r="C993" s="15">
        <v>3</v>
      </c>
      <c r="D993" s="15" t="s">
        <v>2033</v>
      </c>
      <c r="E993" s="15" t="s">
        <v>758</v>
      </c>
      <c r="F993" s="15" t="s">
        <v>758</v>
      </c>
      <c r="G993" s="15" t="s">
        <v>2711</v>
      </c>
      <c r="H993" s="15" t="s">
        <v>2712</v>
      </c>
      <c r="I993" s="15" t="s">
        <v>2895</v>
      </c>
      <c r="J993" s="15" t="s">
        <v>755</v>
      </c>
      <c r="K993" s="15" t="s">
        <v>2895</v>
      </c>
      <c r="L993" s="15" t="s">
        <v>755</v>
      </c>
      <c r="M993" s="15" t="str">
        <f t="shared" si="15"/>
        <v>insert into dbo.LifeInsJobCode (JobCode,JobGrade,JobDescription,JobGroupCode1,JobGroupName1,JobGroupCode2,JobGroupName2,CreateTime,Creator,ModifyTime,Modifier) VALUES ('21180010','3','教練','','','2118','滑草',getdate(),'Alvin',getdate(),'Alvin')</v>
      </c>
    </row>
    <row r="994" spans="2:13" ht="13.8">
      <c r="B994" s="15" t="s">
        <v>2713</v>
      </c>
      <c r="C994" s="15">
        <v>3</v>
      </c>
      <c r="D994" s="15" t="s">
        <v>3371</v>
      </c>
      <c r="E994" s="15" t="s">
        <v>758</v>
      </c>
      <c r="F994" s="15" t="s">
        <v>758</v>
      </c>
      <c r="G994" s="15" t="s">
        <v>758</v>
      </c>
      <c r="H994" s="15" t="s">
        <v>758</v>
      </c>
      <c r="I994" s="15" t="s">
        <v>2895</v>
      </c>
      <c r="J994" s="15" t="s">
        <v>755</v>
      </c>
      <c r="K994" s="15" t="s">
        <v>2895</v>
      </c>
      <c r="L994" s="15" t="s">
        <v>755</v>
      </c>
      <c r="M994" s="15" t="str">
        <f t="shared" si="15"/>
        <v>insert into dbo.LifeInsJobCode (JobCode,JobGrade,JobDescription,JobGroupCode1,JobGroupName1,JobGroupCode2,JobGroupName2,CreateTime,Creator,ModifyTime,Modifier) VALUES ('21180020','3','滑草人員','','','','',getdate(),'Alvin',getdate(),'Alvin')</v>
      </c>
    </row>
    <row r="995" spans="2:13" ht="13.8">
      <c r="B995" s="15" t="s">
        <v>2714</v>
      </c>
      <c r="C995" s="15">
        <v>3</v>
      </c>
      <c r="D995" s="15" t="s">
        <v>2033</v>
      </c>
      <c r="E995" s="15" t="s">
        <v>758</v>
      </c>
      <c r="F995" s="15" t="s">
        <v>758</v>
      </c>
      <c r="G995" s="15" t="s">
        <v>2715</v>
      </c>
      <c r="H995" s="15" t="s">
        <v>2716</v>
      </c>
      <c r="I995" s="15" t="s">
        <v>2895</v>
      </c>
      <c r="J995" s="15" t="s">
        <v>755</v>
      </c>
      <c r="K995" s="15" t="s">
        <v>2895</v>
      </c>
      <c r="L995" s="15" t="s">
        <v>755</v>
      </c>
      <c r="M995" s="15" t="str">
        <f t="shared" si="15"/>
        <v>insert into dbo.LifeInsJobCode (JobCode,JobGrade,JobDescription,JobGroupCode1,JobGroupName1,JobGroupCode2,JobGroupName2,CreateTime,Creator,ModifyTime,Modifier) VALUES ('21190010','3','教練','','','2119','帆船',getdate(),'Alvin',getdate(),'Alvin')</v>
      </c>
    </row>
    <row r="996" spans="2:13" ht="13.8">
      <c r="B996" s="15" t="s">
        <v>2717</v>
      </c>
      <c r="C996" s="15">
        <v>3</v>
      </c>
      <c r="D996" s="15" t="s">
        <v>3372</v>
      </c>
      <c r="E996" s="15" t="s">
        <v>758</v>
      </c>
      <c r="F996" s="15" t="s">
        <v>758</v>
      </c>
      <c r="G996" s="15" t="s">
        <v>758</v>
      </c>
      <c r="H996" s="15" t="s">
        <v>758</v>
      </c>
      <c r="I996" s="15" t="s">
        <v>2895</v>
      </c>
      <c r="J996" s="15" t="s">
        <v>755</v>
      </c>
      <c r="K996" s="15" t="s">
        <v>2895</v>
      </c>
      <c r="L996" s="15" t="s">
        <v>755</v>
      </c>
      <c r="M996" s="15" t="str">
        <f t="shared" si="15"/>
        <v>insert into dbo.LifeInsJobCode (JobCode,JobGrade,JobDescription,JobGroupCode1,JobGroupName1,JobGroupCode2,JobGroupName2,CreateTime,Creator,ModifyTime,Modifier) VALUES ('21190020','3','駕乘人員','','','','',getdate(),'Alvin',getdate(),'Alvin')</v>
      </c>
    </row>
    <row r="997" spans="2:13" ht="13.8">
      <c r="B997" s="15" t="s">
        <v>2718</v>
      </c>
      <c r="C997" s="15">
        <v>3</v>
      </c>
      <c r="D997" s="15" t="s">
        <v>2033</v>
      </c>
      <c r="E997" s="15" t="s">
        <v>758</v>
      </c>
      <c r="F997" s="15" t="s">
        <v>758</v>
      </c>
      <c r="G997" s="15" t="s">
        <v>2719</v>
      </c>
      <c r="H997" s="15" t="s">
        <v>2720</v>
      </c>
      <c r="I997" s="15" t="s">
        <v>2895</v>
      </c>
      <c r="J997" s="15" t="s">
        <v>755</v>
      </c>
      <c r="K997" s="15" t="s">
        <v>2895</v>
      </c>
      <c r="L997" s="15" t="s">
        <v>755</v>
      </c>
      <c r="M997" s="15" t="str">
        <f t="shared" si="15"/>
        <v>insert into dbo.LifeInsJobCode (JobCode,JobGrade,JobDescription,JobGroupCode1,JobGroupName1,JobGroupCode2,JobGroupName2,CreateTime,Creator,ModifyTime,Modifier) VALUES ('21200010','3','教練','','','2120','划船',getdate(),'Alvin',getdate(),'Alvin')</v>
      </c>
    </row>
    <row r="998" spans="2:13" ht="13.8">
      <c r="B998" s="15" t="s">
        <v>2721</v>
      </c>
      <c r="C998" s="15">
        <v>3</v>
      </c>
      <c r="D998" s="15" t="s">
        <v>3372</v>
      </c>
      <c r="E998" s="15" t="s">
        <v>758</v>
      </c>
      <c r="F998" s="15" t="s">
        <v>758</v>
      </c>
      <c r="G998" s="15" t="s">
        <v>758</v>
      </c>
      <c r="H998" s="15" t="s">
        <v>758</v>
      </c>
      <c r="I998" s="15" t="s">
        <v>2895</v>
      </c>
      <c r="J998" s="15" t="s">
        <v>755</v>
      </c>
      <c r="K998" s="15" t="s">
        <v>2895</v>
      </c>
      <c r="L998" s="15" t="s">
        <v>755</v>
      </c>
      <c r="M998" s="15" t="str">
        <f t="shared" si="15"/>
        <v>insert into dbo.LifeInsJobCode (JobCode,JobGrade,JobDescription,JobGroupCode1,JobGroupName1,JobGroupCode2,JobGroupName2,CreateTime,Creator,ModifyTime,Modifier) VALUES ('21200020','3','駕乘人員','','','','',getdate(),'Alvin',getdate(),'Alvin')</v>
      </c>
    </row>
    <row r="999" spans="2:13" ht="13.8">
      <c r="B999" s="15" t="s">
        <v>2722</v>
      </c>
      <c r="C999" s="15">
        <v>3</v>
      </c>
      <c r="D999" s="15" t="s">
        <v>2033</v>
      </c>
      <c r="E999" s="15" t="s">
        <v>758</v>
      </c>
      <c r="F999" s="15" t="s">
        <v>758</v>
      </c>
      <c r="G999" s="15" t="s">
        <v>2723</v>
      </c>
      <c r="H999" s="15" t="s">
        <v>2724</v>
      </c>
      <c r="I999" s="15" t="s">
        <v>2895</v>
      </c>
      <c r="J999" s="15" t="s">
        <v>755</v>
      </c>
      <c r="K999" s="15" t="s">
        <v>2895</v>
      </c>
      <c r="L999" s="15" t="s">
        <v>755</v>
      </c>
      <c r="M999" s="15" t="str">
        <f t="shared" si="15"/>
        <v>insert into dbo.LifeInsJobCode (JobCode,JobGrade,JobDescription,JobGroupCode1,JobGroupName1,JobGroupCode2,JobGroupName2,CreateTime,Creator,ModifyTime,Modifier) VALUES ('21210010','3','教練','','','2121','泛舟',getdate(),'Alvin',getdate(),'Alvin')</v>
      </c>
    </row>
    <row r="1000" spans="2:13" ht="13.8">
      <c r="B1000" s="15" t="s">
        <v>2725</v>
      </c>
      <c r="C1000" s="15">
        <v>3</v>
      </c>
      <c r="D1000" s="15" t="s">
        <v>3372</v>
      </c>
      <c r="E1000" s="15" t="s">
        <v>758</v>
      </c>
      <c r="F1000" s="15" t="s">
        <v>758</v>
      </c>
      <c r="G1000" s="15" t="s">
        <v>758</v>
      </c>
      <c r="H1000" s="15" t="s">
        <v>758</v>
      </c>
      <c r="I1000" s="15" t="s">
        <v>2895</v>
      </c>
      <c r="J1000" s="15" t="s">
        <v>755</v>
      </c>
      <c r="K1000" s="15" t="s">
        <v>2895</v>
      </c>
      <c r="L1000" s="15" t="s">
        <v>755</v>
      </c>
      <c r="M1000" s="15" t="str">
        <f t="shared" si="15"/>
        <v>insert into dbo.LifeInsJobCode (JobCode,JobGrade,JobDescription,JobGroupCode1,JobGroupName1,JobGroupCode2,JobGroupName2,CreateTime,Creator,ModifyTime,Modifier) VALUES ('21210020','3','駕乘人員','','','','',getdate(),'Alvin',getdate(),'Alvin')</v>
      </c>
    </row>
    <row r="1001" spans="2:13" ht="13.8">
      <c r="B1001" s="15" t="s">
        <v>2726</v>
      </c>
      <c r="C1001" s="15">
        <v>2</v>
      </c>
      <c r="D1001" s="15" t="s">
        <v>2033</v>
      </c>
      <c r="E1001" s="15" t="s">
        <v>758</v>
      </c>
      <c r="F1001" s="15" t="s">
        <v>758</v>
      </c>
      <c r="G1001" s="15" t="s">
        <v>2727</v>
      </c>
      <c r="H1001" s="15" t="s">
        <v>2728</v>
      </c>
      <c r="I1001" s="15" t="s">
        <v>2895</v>
      </c>
      <c r="J1001" s="15" t="s">
        <v>755</v>
      </c>
      <c r="K1001" s="15" t="s">
        <v>2895</v>
      </c>
      <c r="L1001" s="15" t="s">
        <v>755</v>
      </c>
      <c r="M1001" s="15" t="str">
        <f t="shared" si="15"/>
        <v>insert into dbo.LifeInsJobCode (JobCode,JobGrade,JobDescription,JobGroupCode1,JobGroupName1,JobGroupCode2,JobGroupName2,CreateTime,Creator,ModifyTime,Modifier) VALUES ('21220010','2','教練','','','2122','巧固球',getdate(),'Alvin',getdate(),'Alvin')</v>
      </c>
    </row>
    <row r="1002" spans="2:13" ht="13.8">
      <c r="B1002" s="15" t="s">
        <v>2729</v>
      </c>
      <c r="C1002" s="15">
        <v>3</v>
      </c>
      <c r="D1002" s="15" t="s">
        <v>3373</v>
      </c>
      <c r="E1002" s="15" t="s">
        <v>758</v>
      </c>
      <c r="F1002" s="15" t="s">
        <v>758</v>
      </c>
      <c r="G1002" s="15" t="s">
        <v>758</v>
      </c>
      <c r="H1002" s="15" t="s">
        <v>758</v>
      </c>
      <c r="I1002" s="15" t="s">
        <v>2895</v>
      </c>
      <c r="J1002" s="15" t="s">
        <v>755</v>
      </c>
      <c r="K1002" s="15" t="s">
        <v>2895</v>
      </c>
      <c r="L1002" s="15" t="s">
        <v>755</v>
      </c>
      <c r="M1002" s="15" t="str">
        <f t="shared" si="15"/>
        <v>insert into dbo.LifeInsJobCode (JobCode,JobGrade,JobDescription,JobGroupCode1,JobGroupName1,JobGroupCode2,JobGroupName2,CreateTime,Creator,ModifyTime,Modifier) VALUES ('21220020','3','巧固球球員','','','','',getdate(),'Alvin',getdate(),'Alvin')</v>
      </c>
    </row>
    <row r="1003" spans="2:13" ht="13.8">
      <c r="B1003" s="15" t="s">
        <v>2730</v>
      </c>
      <c r="C1003" s="15">
        <v>2</v>
      </c>
      <c r="D1003" s="15" t="s">
        <v>2033</v>
      </c>
      <c r="E1003" s="15" t="s">
        <v>758</v>
      </c>
      <c r="F1003" s="15" t="s">
        <v>758</v>
      </c>
      <c r="G1003" s="15" t="s">
        <v>2731</v>
      </c>
      <c r="H1003" s="15" t="s">
        <v>2732</v>
      </c>
      <c r="I1003" s="15" t="s">
        <v>2895</v>
      </c>
      <c r="J1003" s="15" t="s">
        <v>755</v>
      </c>
      <c r="K1003" s="15" t="s">
        <v>2895</v>
      </c>
      <c r="L1003" s="15" t="s">
        <v>755</v>
      </c>
      <c r="M1003" s="15" t="str">
        <f t="shared" si="15"/>
        <v>insert into dbo.LifeInsJobCode (JobCode,JobGrade,JobDescription,JobGroupCode1,JobGroupName1,JobGroupCode2,JobGroupName2,CreateTime,Creator,ModifyTime,Modifier) VALUES ('21230010','2','教練','','','2123','手球',getdate(),'Alvin',getdate(),'Alvin')</v>
      </c>
    </row>
    <row r="1004" spans="2:13" ht="13.8">
      <c r="B1004" s="15" t="s">
        <v>2733</v>
      </c>
      <c r="C1004" s="15">
        <v>3</v>
      </c>
      <c r="D1004" s="15" t="s">
        <v>3374</v>
      </c>
      <c r="E1004" s="15" t="s">
        <v>758</v>
      </c>
      <c r="F1004" s="15" t="s">
        <v>758</v>
      </c>
      <c r="G1004" s="15" t="s">
        <v>758</v>
      </c>
      <c r="H1004" s="15" t="s">
        <v>758</v>
      </c>
      <c r="I1004" s="15" t="s">
        <v>2895</v>
      </c>
      <c r="J1004" s="15" t="s">
        <v>755</v>
      </c>
      <c r="K1004" s="15" t="s">
        <v>2895</v>
      </c>
      <c r="L1004" s="15" t="s">
        <v>755</v>
      </c>
      <c r="M1004" s="15" t="str">
        <f t="shared" si="15"/>
        <v>insert into dbo.LifeInsJobCode (JobCode,JobGrade,JobDescription,JobGroupCode1,JobGroupName1,JobGroupCode2,JobGroupName2,CreateTime,Creator,ModifyTime,Modifier) VALUES ('21230020','3','手球球員','','','','',getdate(),'Alvin',getdate(),'Alvin')</v>
      </c>
    </row>
    <row r="1005" spans="2:13" ht="13.8">
      <c r="B1005" s="15" t="s">
        <v>2734</v>
      </c>
      <c r="C1005" s="15">
        <v>4</v>
      </c>
      <c r="D1005" s="15" t="s">
        <v>2033</v>
      </c>
      <c r="E1005" s="15" t="s">
        <v>758</v>
      </c>
      <c r="F1005" s="15" t="s">
        <v>758</v>
      </c>
      <c r="G1005" s="15" t="s">
        <v>2735</v>
      </c>
      <c r="H1005" s="15" t="s">
        <v>2736</v>
      </c>
      <c r="I1005" s="15" t="s">
        <v>2895</v>
      </c>
      <c r="J1005" s="15" t="s">
        <v>755</v>
      </c>
      <c r="K1005" s="15" t="s">
        <v>2895</v>
      </c>
      <c r="L1005" s="15" t="s">
        <v>755</v>
      </c>
      <c r="M1005" s="15" t="str">
        <f t="shared" si="15"/>
        <v>insert into dbo.LifeInsJobCode (JobCode,JobGrade,JobDescription,JobGroupCode1,JobGroupName1,JobGroupCode2,JobGroupName2,CreateTime,Creator,ModifyTime,Modifier) VALUES ('21240010','4','教練','','','2124','風浪板',getdate(),'Alvin',getdate(),'Alvin')</v>
      </c>
    </row>
    <row r="1006" spans="2:13" ht="13.8">
      <c r="B1006" s="15" t="s">
        <v>2737</v>
      </c>
      <c r="C1006" s="15">
        <v>4</v>
      </c>
      <c r="D1006" s="15" t="s">
        <v>3372</v>
      </c>
      <c r="E1006" s="15" t="s">
        <v>758</v>
      </c>
      <c r="F1006" s="15" t="s">
        <v>758</v>
      </c>
      <c r="G1006" s="15" t="s">
        <v>758</v>
      </c>
      <c r="H1006" s="15" t="s">
        <v>758</v>
      </c>
      <c r="I1006" s="15" t="s">
        <v>2895</v>
      </c>
      <c r="J1006" s="15" t="s">
        <v>755</v>
      </c>
      <c r="K1006" s="15" t="s">
        <v>2895</v>
      </c>
      <c r="L1006" s="15" t="s">
        <v>755</v>
      </c>
      <c r="M1006" s="15" t="str">
        <f t="shared" si="15"/>
        <v>insert into dbo.LifeInsJobCode (JobCode,JobGrade,JobDescription,JobGroupCode1,JobGroupName1,JobGroupCode2,JobGroupName2,CreateTime,Creator,ModifyTime,Modifier) VALUES ('21240020','4','駕乘人員','','','','',getdate(),'Alvin',getdate(),'Alvin')</v>
      </c>
    </row>
    <row r="1007" spans="2:13" ht="13.8">
      <c r="B1007" s="15" t="s">
        <v>2738</v>
      </c>
      <c r="C1007" s="15">
        <v>4</v>
      </c>
      <c r="D1007" s="15" t="s">
        <v>2033</v>
      </c>
      <c r="E1007" s="15" t="s">
        <v>758</v>
      </c>
      <c r="F1007" s="15" t="s">
        <v>758</v>
      </c>
      <c r="G1007" s="15" t="s">
        <v>2739</v>
      </c>
      <c r="H1007" s="15" t="s">
        <v>2740</v>
      </c>
      <c r="I1007" s="15" t="s">
        <v>2895</v>
      </c>
      <c r="J1007" s="15" t="s">
        <v>755</v>
      </c>
      <c r="K1007" s="15" t="s">
        <v>2895</v>
      </c>
      <c r="L1007" s="15" t="s">
        <v>755</v>
      </c>
      <c r="M1007" s="15" t="str">
        <f t="shared" si="15"/>
        <v>insert into dbo.LifeInsJobCode (JobCode,JobGrade,JobDescription,JobGroupCode1,JobGroupName1,JobGroupCode2,JobGroupName2,CreateTime,Creator,ModifyTime,Modifier) VALUES ('21250010','4','教練','','','2125','水上摩托車',getdate(),'Alvin',getdate(),'Alvin')</v>
      </c>
    </row>
    <row r="1008" spans="2:13" ht="13.8">
      <c r="B1008" s="15" t="s">
        <v>2741</v>
      </c>
      <c r="C1008" s="15">
        <v>4</v>
      </c>
      <c r="D1008" s="15" t="s">
        <v>3372</v>
      </c>
      <c r="E1008" s="15" t="s">
        <v>758</v>
      </c>
      <c r="F1008" s="15" t="s">
        <v>758</v>
      </c>
      <c r="G1008" s="15" t="s">
        <v>758</v>
      </c>
      <c r="H1008" s="15" t="s">
        <v>758</v>
      </c>
      <c r="I1008" s="15" t="s">
        <v>2895</v>
      </c>
      <c r="J1008" s="15" t="s">
        <v>755</v>
      </c>
      <c r="K1008" s="15" t="s">
        <v>2895</v>
      </c>
      <c r="L1008" s="15" t="s">
        <v>755</v>
      </c>
      <c r="M1008" s="15" t="str">
        <f t="shared" si="15"/>
        <v>insert into dbo.LifeInsJobCode (JobCode,JobGrade,JobDescription,JobGroupCode1,JobGroupName1,JobGroupCode2,JobGroupName2,CreateTime,Creator,ModifyTime,Modifier) VALUES ('21250020','4','駕乘人員','','','','',getdate(),'Alvin',getdate(),'Alvin')</v>
      </c>
    </row>
    <row r="1009" spans="2:13" ht="13.8">
      <c r="B1009" s="15" t="s">
        <v>2742</v>
      </c>
      <c r="C1009" s="15">
        <v>2</v>
      </c>
      <c r="D1009" s="15" t="s">
        <v>2033</v>
      </c>
      <c r="E1009" s="15" t="s">
        <v>758</v>
      </c>
      <c r="F1009" s="15" t="s">
        <v>758</v>
      </c>
      <c r="G1009" s="15" t="s">
        <v>2743</v>
      </c>
      <c r="H1009" s="15" t="s">
        <v>2744</v>
      </c>
      <c r="I1009" s="15" t="s">
        <v>2895</v>
      </c>
      <c r="J1009" s="15" t="s">
        <v>755</v>
      </c>
      <c r="K1009" s="15" t="s">
        <v>2895</v>
      </c>
      <c r="L1009" s="15" t="s">
        <v>755</v>
      </c>
      <c r="M1009" s="15" t="str">
        <f t="shared" si="15"/>
        <v>insert into dbo.LifeInsJobCode (JobCode,JobGrade,JobDescription,JobGroupCode1,JobGroupName1,JobGroupCode2,JobGroupName2,CreateTime,Creator,ModifyTime,Modifier) VALUES ('21260010','2','教練','','','2126','足球',getdate(),'Alvin',getdate(),'Alvin')</v>
      </c>
    </row>
    <row r="1010" spans="2:13" ht="13.8">
      <c r="B1010" s="15" t="s">
        <v>2745</v>
      </c>
      <c r="C1010" s="15">
        <v>4</v>
      </c>
      <c r="D1010" s="15" t="s">
        <v>3375</v>
      </c>
      <c r="E1010" s="15" t="s">
        <v>758</v>
      </c>
      <c r="F1010" s="15" t="s">
        <v>758</v>
      </c>
      <c r="G1010" s="15" t="s">
        <v>758</v>
      </c>
      <c r="H1010" s="15" t="s">
        <v>758</v>
      </c>
      <c r="I1010" s="15" t="s">
        <v>2895</v>
      </c>
      <c r="J1010" s="15" t="s">
        <v>755</v>
      </c>
      <c r="K1010" s="15" t="s">
        <v>2895</v>
      </c>
      <c r="L1010" s="15" t="s">
        <v>755</v>
      </c>
      <c r="M1010" s="15" t="str">
        <f t="shared" si="15"/>
        <v>insert into dbo.LifeInsJobCode (JobCode,JobGrade,JobDescription,JobGroupCode1,JobGroupName1,JobGroupCode2,JobGroupName2,CreateTime,Creator,ModifyTime,Modifier) VALUES ('21260020','4','足球球員','','','','',getdate(),'Alvin',getdate(),'Alvin')</v>
      </c>
    </row>
    <row r="1011" spans="2:13" ht="13.8">
      <c r="B1011" s="15" t="s">
        <v>2746</v>
      </c>
      <c r="C1011" s="15">
        <v>2</v>
      </c>
      <c r="D1011" s="15" t="s">
        <v>2033</v>
      </c>
      <c r="E1011" s="15" t="s">
        <v>758</v>
      </c>
      <c r="F1011" s="15" t="s">
        <v>758</v>
      </c>
      <c r="G1011" s="15" t="s">
        <v>2747</v>
      </c>
      <c r="H1011" s="15" t="s">
        <v>2748</v>
      </c>
      <c r="I1011" s="15" t="s">
        <v>2895</v>
      </c>
      <c r="J1011" s="15" t="s">
        <v>755</v>
      </c>
      <c r="K1011" s="15" t="s">
        <v>2895</v>
      </c>
      <c r="L1011" s="15" t="s">
        <v>755</v>
      </c>
      <c r="M1011" s="15" t="str">
        <f t="shared" si="15"/>
        <v>insert into dbo.LifeInsJobCode (JobCode,JobGrade,JobDescription,JobGroupCode1,JobGroupName1,JobGroupCode2,JobGroupName2,CreateTime,Creator,ModifyTime,Modifier) VALUES ('21270010','2','教練','','','2127','曲棍球',getdate(),'Alvin',getdate(),'Alvin')</v>
      </c>
    </row>
    <row r="1012" spans="2:13" ht="13.8">
      <c r="B1012" s="15" t="s">
        <v>2749</v>
      </c>
      <c r="C1012" s="15">
        <v>5</v>
      </c>
      <c r="D1012" s="15" t="s">
        <v>3376</v>
      </c>
      <c r="E1012" s="15" t="s">
        <v>758</v>
      </c>
      <c r="F1012" s="15" t="s">
        <v>758</v>
      </c>
      <c r="G1012" s="15" t="s">
        <v>758</v>
      </c>
      <c r="H1012" s="15" t="s">
        <v>758</v>
      </c>
      <c r="I1012" s="15" t="s">
        <v>2895</v>
      </c>
      <c r="J1012" s="15" t="s">
        <v>755</v>
      </c>
      <c r="K1012" s="15" t="s">
        <v>2895</v>
      </c>
      <c r="L1012" s="15" t="s">
        <v>755</v>
      </c>
      <c r="M1012" s="15" t="str">
        <f t="shared" si="15"/>
        <v>insert into dbo.LifeInsJobCode (JobCode,JobGrade,JobDescription,JobGroupCode1,JobGroupName1,JobGroupCode2,JobGroupName2,CreateTime,Creator,ModifyTime,Modifier) VALUES ('21270020','5','曲棍球球員','','','','',getdate(),'Alvin',getdate(),'Alvin')</v>
      </c>
    </row>
    <row r="1013" spans="2:13" ht="13.8">
      <c r="B1013" s="15" t="s">
        <v>2750</v>
      </c>
      <c r="C1013" s="15">
        <v>3</v>
      </c>
      <c r="D1013" s="15" t="s">
        <v>2033</v>
      </c>
      <c r="E1013" s="15" t="s">
        <v>758</v>
      </c>
      <c r="F1013" s="15" t="s">
        <v>758</v>
      </c>
      <c r="G1013" s="15" t="s">
        <v>2751</v>
      </c>
      <c r="H1013" s="15" t="s">
        <v>2752</v>
      </c>
      <c r="I1013" s="15" t="s">
        <v>2895</v>
      </c>
      <c r="J1013" s="15" t="s">
        <v>755</v>
      </c>
      <c r="K1013" s="15" t="s">
        <v>2895</v>
      </c>
      <c r="L1013" s="15" t="s">
        <v>755</v>
      </c>
      <c r="M1013" s="15" t="str">
        <f t="shared" si="15"/>
        <v>insert into dbo.LifeInsJobCode (JobCode,JobGrade,JobDescription,JobGroupCode1,JobGroupName1,JobGroupCode2,JobGroupName2,CreateTime,Creator,ModifyTime,Modifier) VALUES ('21280010','3','教練','','','2128','冰上曲棍球',getdate(),'Alvin',getdate(),'Alvin')</v>
      </c>
    </row>
    <row r="1014" spans="2:13" ht="13.8">
      <c r="B1014" s="15" t="s">
        <v>2753</v>
      </c>
      <c r="C1014" s="15">
        <v>6</v>
      </c>
      <c r="D1014" s="15" t="s">
        <v>3377</v>
      </c>
      <c r="E1014" s="15" t="s">
        <v>758</v>
      </c>
      <c r="F1014" s="15" t="s">
        <v>758</v>
      </c>
      <c r="G1014" s="15" t="s">
        <v>758</v>
      </c>
      <c r="H1014" s="15" t="s">
        <v>758</v>
      </c>
      <c r="I1014" s="15" t="s">
        <v>2895</v>
      </c>
      <c r="J1014" s="15" t="s">
        <v>755</v>
      </c>
      <c r="K1014" s="15" t="s">
        <v>2895</v>
      </c>
      <c r="L1014" s="15" t="s">
        <v>755</v>
      </c>
      <c r="M1014" s="15" t="str">
        <f t="shared" si="15"/>
        <v>insert into dbo.LifeInsJobCode (JobCode,JobGrade,JobDescription,JobGroupCode1,JobGroupName1,JobGroupCode2,JobGroupName2,CreateTime,Creator,ModifyTime,Modifier) VALUES ('21280020','6','冰上曲棍球球員','','','','',getdate(),'Alvin',getdate(),'Alvin')</v>
      </c>
    </row>
    <row r="1015" spans="2:13" ht="13.8">
      <c r="B1015" s="15" t="s">
        <v>2754</v>
      </c>
      <c r="C1015" s="15">
        <v>2</v>
      </c>
      <c r="D1015" s="15" t="s">
        <v>2033</v>
      </c>
      <c r="E1015" s="15" t="s">
        <v>758</v>
      </c>
      <c r="F1015" s="15" t="s">
        <v>758</v>
      </c>
      <c r="G1015" s="15" t="s">
        <v>2755</v>
      </c>
      <c r="H1015" s="15" t="s">
        <v>2756</v>
      </c>
      <c r="I1015" s="15" t="s">
        <v>2895</v>
      </c>
      <c r="J1015" s="15" t="s">
        <v>755</v>
      </c>
      <c r="K1015" s="15" t="s">
        <v>2895</v>
      </c>
      <c r="L1015" s="15" t="s">
        <v>755</v>
      </c>
      <c r="M1015" s="15" t="str">
        <f t="shared" si="15"/>
        <v>insert into dbo.LifeInsJobCode (JobCode,JobGrade,JobDescription,JobGroupCode1,JobGroupName1,JobGroupCode2,JobGroupName2,CreateTime,Creator,ModifyTime,Modifier) VALUES ('21290010','2','教練','','','2129','橄欖球',getdate(),'Alvin',getdate(),'Alvin')</v>
      </c>
    </row>
    <row r="1016" spans="2:13" ht="13.8">
      <c r="B1016" s="15" t="s">
        <v>2757</v>
      </c>
      <c r="C1016" s="15">
        <v>6</v>
      </c>
      <c r="D1016" s="15" t="s">
        <v>2758</v>
      </c>
      <c r="E1016" s="15" t="s">
        <v>758</v>
      </c>
      <c r="F1016" s="15" t="s">
        <v>758</v>
      </c>
      <c r="G1016" s="15" t="s">
        <v>758</v>
      </c>
      <c r="H1016" s="15" t="s">
        <v>758</v>
      </c>
      <c r="I1016" s="15" t="s">
        <v>2895</v>
      </c>
      <c r="J1016" s="15" t="s">
        <v>755</v>
      </c>
      <c r="K1016" s="15" t="s">
        <v>2895</v>
      </c>
      <c r="L1016" s="15" t="s">
        <v>755</v>
      </c>
      <c r="M1016" s="15" t="str">
        <f t="shared" si="15"/>
        <v>insert into dbo.LifeInsJobCode (JobCode,JobGrade,JobDescription,JobGroupCode1,JobGroupName1,JobGroupCode2,JobGroupName2,CreateTime,Creator,ModifyTime,Modifier) VALUES ('21290020','6','橄欖球球員','','','','',getdate(),'Alvin',getdate(),'Alvin')</v>
      </c>
    </row>
    <row r="1017" spans="2:13" ht="13.8">
      <c r="B1017" s="15" t="s">
        <v>2759</v>
      </c>
      <c r="C1017" s="15">
        <v>2</v>
      </c>
      <c r="D1017" s="15" t="s">
        <v>2033</v>
      </c>
      <c r="E1017" s="15" t="s">
        <v>758</v>
      </c>
      <c r="F1017" s="15" t="s">
        <v>758</v>
      </c>
      <c r="G1017" s="15" t="s">
        <v>2760</v>
      </c>
      <c r="H1017" s="15" t="s">
        <v>2761</v>
      </c>
      <c r="I1017" s="15" t="s">
        <v>2895</v>
      </c>
      <c r="J1017" s="15" t="s">
        <v>755</v>
      </c>
      <c r="K1017" s="15" t="s">
        <v>2895</v>
      </c>
      <c r="L1017" s="15" t="s">
        <v>755</v>
      </c>
      <c r="M1017" s="15" t="str">
        <f t="shared" si="15"/>
        <v>insert into dbo.LifeInsJobCode (JobCode,JobGrade,JobDescription,JobGroupCode1,JobGroupName1,JobGroupCode2,JobGroupName2,CreateTime,Creator,ModifyTime,Modifier) VALUES ('21300010','2','教練','','','2130','自由車',getdate(),'Alvin',getdate(),'Alvin')</v>
      </c>
    </row>
    <row r="1018" spans="2:13" ht="13.8">
      <c r="B1018" s="15" t="s">
        <v>2762</v>
      </c>
      <c r="C1018" s="15">
        <v>7</v>
      </c>
      <c r="D1018" s="15" t="s">
        <v>3378</v>
      </c>
      <c r="E1018" s="15" t="s">
        <v>758</v>
      </c>
      <c r="F1018" s="15" t="s">
        <v>758</v>
      </c>
      <c r="G1018" s="15" t="s">
        <v>758</v>
      </c>
      <c r="H1018" s="15" t="s">
        <v>758</v>
      </c>
      <c r="I1018" s="15" t="s">
        <v>2895</v>
      </c>
      <c r="J1018" s="15" t="s">
        <v>755</v>
      </c>
      <c r="K1018" s="15" t="s">
        <v>2895</v>
      </c>
      <c r="L1018" s="15" t="s">
        <v>755</v>
      </c>
      <c r="M1018" s="15" t="str">
        <f t="shared" si="15"/>
        <v>insert into dbo.LifeInsJobCode (JobCode,JobGrade,JobDescription,JobGroupCode1,JobGroupName1,JobGroupCode2,JobGroupName2,CreateTime,Creator,ModifyTime,Modifier) VALUES ('21300020','7','自由車選手','','','','',getdate(),'Alvin',getdate(),'Alvin')</v>
      </c>
    </row>
    <row r="1019" spans="2:13" ht="13.8">
      <c r="B1019" s="15" t="s">
        <v>2763</v>
      </c>
      <c r="C1019" s="15">
        <v>3</v>
      </c>
      <c r="D1019" s="15" t="s">
        <v>2033</v>
      </c>
      <c r="E1019" s="15" t="s">
        <v>758</v>
      </c>
      <c r="F1019" s="15" t="s">
        <v>758</v>
      </c>
      <c r="G1019" s="15" t="s">
        <v>2764</v>
      </c>
      <c r="H1019" s="15" t="s">
        <v>2765</v>
      </c>
      <c r="I1019" s="15" t="s">
        <v>2895</v>
      </c>
      <c r="J1019" s="15" t="s">
        <v>755</v>
      </c>
      <c r="K1019" s="15" t="s">
        <v>2895</v>
      </c>
      <c r="L1019" s="15" t="s">
        <v>755</v>
      </c>
      <c r="M1019" s="15" t="str">
        <f t="shared" si="15"/>
        <v>insert into dbo.LifeInsJobCode (JobCode,JobGrade,JobDescription,JobGroupCode1,JobGroupName1,JobGroupCode2,JobGroupName2,CreateTime,Creator,ModifyTime,Modifier) VALUES ('21310010','3','教練','','','2131','角力',getdate(),'Alvin',getdate(),'Alvin')</v>
      </c>
    </row>
    <row r="1020" spans="2:13" ht="13.8">
      <c r="B1020" s="15" t="s">
        <v>2766</v>
      </c>
      <c r="C1020" s="15">
        <v>7</v>
      </c>
      <c r="D1020" s="15" t="s">
        <v>3379</v>
      </c>
      <c r="E1020" s="15" t="s">
        <v>758</v>
      </c>
      <c r="F1020" s="15" t="s">
        <v>758</v>
      </c>
      <c r="G1020" s="15" t="s">
        <v>758</v>
      </c>
      <c r="H1020" s="15" t="s">
        <v>758</v>
      </c>
      <c r="I1020" s="15" t="s">
        <v>2895</v>
      </c>
      <c r="J1020" s="15" t="s">
        <v>755</v>
      </c>
      <c r="K1020" s="15" t="s">
        <v>2895</v>
      </c>
      <c r="L1020" s="15" t="s">
        <v>755</v>
      </c>
      <c r="M1020" s="15" t="str">
        <f t="shared" si="15"/>
        <v>insert into dbo.LifeInsJobCode (JobCode,JobGrade,JobDescription,JobGroupCode1,JobGroupName1,JobGroupCode2,JobGroupName2,CreateTime,Creator,ModifyTime,Modifier) VALUES ('21310020','7','角力人員','','','','',getdate(),'Alvin',getdate(),'Alvin')</v>
      </c>
    </row>
    <row r="1021" spans="2:13" ht="13.8">
      <c r="B1021" s="15" t="s">
        <v>2767</v>
      </c>
      <c r="C1021" s="15">
        <v>3</v>
      </c>
      <c r="D1021" s="15" t="s">
        <v>2033</v>
      </c>
      <c r="E1021" s="15" t="s">
        <v>758</v>
      </c>
      <c r="F1021" s="15" t="s">
        <v>758</v>
      </c>
      <c r="G1021" s="15" t="s">
        <v>2768</v>
      </c>
      <c r="H1021" s="15" t="s">
        <v>2769</v>
      </c>
      <c r="I1021" s="15" t="s">
        <v>2895</v>
      </c>
      <c r="J1021" s="15" t="s">
        <v>755</v>
      </c>
      <c r="K1021" s="15" t="s">
        <v>2895</v>
      </c>
      <c r="L1021" s="15" t="s">
        <v>755</v>
      </c>
      <c r="M1021" s="15" t="str">
        <f t="shared" si="15"/>
        <v>insert into dbo.LifeInsJobCode (JobCode,JobGrade,JobDescription,JobGroupCode1,JobGroupName1,JobGroupCode2,JobGroupName2,CreateTime,Creator,ModifyTime,Modifier) VALUES ('21320010','3','教練','','','2132','摔角',getdate(),'Alvin',getdate(),'Alvin')</v>
      </c>
    </row>
    <row r="1022" spans="2:13" ht="13.8">
      <c r="B1022" s="15" t="s">
        <v>2770</v>
      </c>
      <c r="C1022" s="15">
        <v>7</v>
      </c>
      <c r="D1022" s="15" t="s">
        <v>3380</v>
      </c>
      <c r="E1022" s="15" t="s">
        <v>758</v>
      </c>
      <c r="F1022" s="15" t="s">
        <v>758</v>
      </c>
      <c r="G1022" s="15" t="s">
        <v>758</v>
      </c>
      <c r="H1022" s="15" t="s">
        <v>758</v>
      </c>
      <c r="I1022" s="15" t="s">
        <v>2895</v>
      </c>
      <c r="J1022" s="15" t="s">
        <v>755</v>
      </c>
      <c r="K1022" s="15" t="s">
        <v>2895</v>
      </c>
      <c r="L1022" s="15" t="s">
        <v>755</v>
      </c>
      <c r="M1022" s="15" t="str">
        <f t="shared" si="15"/>
        <v>insert into dbo.LifeInsJobCode (JobCode,JobGrade,JobDescription,JobGroupCode1,JobGroupName1,JobGroupCode2,JobGroupName2,CreateTime,Creator,ModifyTime,Modifier) VALUES ('21320020','7','摔角人員','','','','',getdate(),'Alvin',getdate(),'Alvin')</v>
      </c>
    </row>
    <row r="1023" spans="2:13" ht="13.8">
      <c r="B1023" s="15" t="s">
        <v>2771</v>
      </c>
      <c r="C1023" s="15">
        <v>3</v>
      </c>
      <c r="D1023" s="15" t="s">
        <v>2033</v>
      </c>
      <c r="E1023" s="15" t="s">
        <v>758</v>
      </c>
      <c r="F1023" s="15" t="s">
        <v>758</v>
      </c>
      <c r="G1023" s="15" t="s">
        <v>2772</v>
      </c>
      <c r="H1023" s="15" t="s">
        <v>2773</v>
      </c>
      <c r="I1023" s="15" t="s">
        <v>2895</v>
      </c>
      <c r="J1023" s="15" t="s">
        <v>755</v>
      </c>
      <c r="K1023" s="15" t="s">
        <v>2895</v>
      </c>
      <c r="L1023" s="15" t="s">
        <v>755</v>
      </c>
      <c r="M1023" s="15" t="str">
        <f t="shared" si="15"/>
        <v>insert into dbo.LifeInsJobCode (JobCode,JobGrade,JobDescription,JobGroupCode1,JobGroupName1,JobGroupCode2,JobGroupName2,CreateTime,Creator,ModifyTime,Modifier) VALUES ('21330010','3','教練','','','2133','柔道',getdate(),'Alvin',getdate(),'Alvin')</v>
      </c>
    </row>
    <row r="1024" spans="2:13" ht="13.8">
      <c r="B1024" s="15" t="s">
        <v>2774</v>
      </c>
      <c r="C1024" s="15">
        <v>7</v>
      </c>
      <c r="D1024" s="15" t="s">
        <v>3381</v>
      </c>
      <c r="E1024" s="15" t="s">
        <v>758</v>
      </c>
      <c r="F1024" s="15" t="s">
        <v>758</v>
      </c>
      <c r="G1024" s="15" t="s">
        <v>758</v>
      </c>
      <c r="H1024" s="15" t="s">
        <v>758</v>
      </c>
      <c r="I1024" s="15" t="s">
        <v>2895</v>
      </c>
      <c r="J1024" s="15" t="s">
        <v>755</v>
      </c>
      <c r="K1024" s="15" t="s">
        <v>2895</v>
      </c>
      <c r="L1024" s="15" t="s">
        <v>755</v>
      </c>
      <c r="M1024" s="15" t="str">
        <f t="shared" si="15"/>
        <v>insert into dbo.LifeInsJobCode (JobCode,JobGrade,JobDescription,JobGroupCode1,JobGroupName1,JobGroupCode2,JobGroupName2,CreateTime,Creator,ModifyTime,Modifier) VALUES ('21330020','7','柔道人員','','','','',getdate(),'Alvin',getdate(),'Alvin')</v>
      </c>
    </row>
    <row r="1025" spans="2:13" ht="13.8">
      <c r="B1025" s="15" t="s">
        <v>2775</v>
      </c>
      <c r="C1025" s="15">
        <v>3</v>
      </c>
      <c r="D1025" s="15" t="s">
        <v>2033</v>
      </c>
      <c r="E1025" s="15" t="s">
        <v>758</v>
      </c>
      <c r="F1025" s="15" t="s">
        <v>758</v>
      </c>
      <c r="G1025" s="15" t="s">
        <v>2776</v>
      </c>
      <c r="H1025" s="15" t="s">
        <v>2777</v>
      </c>
      <c r="I1025" s="15" t="s">
        <v>2895</v>
      </c>
      <c r="J1025" s="15" t="s">
        <v>755</v>
      </c>
      <c r="K1025" s="15" t="s">
        <v>2895</v>
      </c>
      <c r="L1025" s="15" t="s">
        <v>755</v>
      </c>
      <c r="M1025" s="15" t="str">
        <f t="shared" si="15"/>
        <v>insert into dbo.LifeInsJobCode (JobCode,JobGrade,JobDescription,JobGroupCode1,JobGroupName1,JobGroupCode2,JobGroupName2,CreateTime,Creator,ModifyTime,Modifier) VALUES ('21340010','3','教練','','','2134','空手道',getdate(),'Alvin',getdate(),'Alvin')</v>
      </c>
    </row>
    <row r="1026" spans="2:13" ht="13.8">
      <c r="B1026" s="15" t="s">
        <v>2778</v>
      </c>
      <c r="C1026" s="15">
        <v>7</v>
      </c>
      <c r="D1026" s="15" t="s">
        <v>3382</v>
      </c>
      <c r="E1026" s="15" t="s">
        <v>758</v>
      </c>
      <c r="F1026" s="15" t="s">
        <v>758</v>
      </c>
      <c r="G1026" s="15" t="s">
        <v>758</v>
      </c>
      <c r="H1026" s="15" t="s">
        <v>758</v>
      </c>
      <c r="I1026" s="15" t="s">
        <v>2895</v>
      </c>
      <c r="J1026" s="15" t="s">
        <v>755</v>
      </c>
      <c r="K1026" s="15" t="s">
        <v>2895</v>
      </c>
      <c r="L1026" s="15" t="s">
        <v>755</v>
      </c>
      <c r="M1026" s="15" t="str">
        <f t="shared" ref="M1026:M1080" si="16">$M$1 &amp; " VALUES ('"&amp;B1026&amp;"','"&amp;C1026&amp;"','"&amp;D1026&amp;"','"&amp;E1026&amp;"','"&amp;F1026&amp;"','"&amp;G1026&amp;"','"&amp;H1026&amp;"',"&amp;I1026&amp;",'"&amp;J1026&amp;"',"&amp;K1026&amp;",'"&amp;L1026&amp;"')"</f>
        <v>insert into dbo.LifeInsJobCode (JobCode,JobGrade,JobDescription,JobGroupCode1,JobGroupName1,JobGroupCode2,JobGroupName2,CreateTime,Creator,ModifyTime,Modifier) VALUES ('21340020','7','空手道人員','','','','',getdate(),'Alvin',getdate(),'Alvin')</v>
      </c>
    </row>
    <row r="1027" spans="2:13" ht="13.8">
      <c r="B1027" s="15" t="s">
        <v>2779</v>
      </c>
      <c r="C1027" s="15">
        <v>3</v>
      </c>
      <c r="D1027" s="15" t="s">
        <v>2033</v>
      </c>
      <c r="E1027" s="15" t="s">
        <v>758</v>
      </c>
      <c r="F1027" s="15" t="s">
        <v>758</v>
      </c>
      <c r="G1027" s="15" t="s">
        <v>2780</v>
      </c>
      <c r="H1027" s="15" t="s">
        <v>2781</v>
      </c>
      <c r="I1027" s="15" t="s">
        <v>2895</v>
      </c>
      <c r="J1027" s="15" t="s">
        <v>755</v>
      </c>
      <c r="K1027" s="15" t="s">
        <v>2895</v>
      </c>
      <c r="L1027" s="15" t="s">
        <v>755</v>
      </c>
      <c r="M1027" s="15" t="str">
        <f t="shared" si="16"/>
        <v>insert into dbo.LifeInsJobCode (JobCode,JobGrade,JobDescription,JobGroupCode1,JobGroupName1,JobGroupCode2,JobGroupName2,CreateTime,Creator,ModifyTime,Modifier) VALUES ('21350010','3','教練','','','2135','跆拳道',getdate(),'Alvin',getdate(),'Alvin')</v>
      </c>
    </row>
    <row r="1028" spans="2:13" ht="13.8">
      <c r="B1028" s="15" t="s">
        <v>2782</v>
      </c>
      <c r="C1028" s="15">
        <v>7</v>
      </c>
      <c r="D1028" s="15" t="s">
        <v>3383</v>
      </c>
      <c r="E1028" s="15" t="s">
        <v>758</v>
      </c>
      <c r="F1028" s="15" t="s">
        <v>758</v>
      </c>
      <c r="G1028" s="15" t="s">
        <v>758</v>
      </c>
      <c r="H1028" s="15" t="s">
        <v>758</v>
      </c>
      <c r="I1028" s="15" t="s">
        <v>2895</v>
      </c>
      <c r="J1028" s="15" t="s">
        <v>755</v>
      </c>
      <c r="K1028" s="15" t="s">
        <v>2895</v>
      </c>
      <c r="L1028" s="15" t="s">
        <v>755</v>
      </c>
      <c r="M1028" s="15" t="str">
        <f t="shared" si="16"/>
        <v>insert into dbo.LifeInsJobCode (JobCode,JobGrade,JobDescription,JobGroupCode1,JobGroupName1,JobGroupCode2,JobGroupName2,CreateTime,Creator,ModifyTime,Modifier) VALUES ('21350020','7','跆拳道人員','','','','',getdate(),'Alvin',getdate(),'Alvin')</v>
      </c>
    </row>
    <row r="1029" spans="2:13" ht="13.8">
      <c r="B1029" s="15" t="s">
        <v>2783</v>
      </c>
      <c r="C1029" s="15">
        <v>3</v>
      </c>
      <c r="D1029" s="15" t="s">
        <v>2033</v>
      </c>
      <c r="E1029" s="15" t="s">
        <v>758</v>
      </c>
      <c r="F1029" s="15" t="s">
        <v>758</v>
      </c>
      <c r="G1029" s="15" t="s">
        <v>2784</v>
      </c>
      <c r="H1029" s="15" t="s">
        <v>2785</v>
      </c>
      <c r="I1029" s="15" t="s">
        <v>2895</v>
      </c>
      <c r="J1029" s="15" t="s">
        <v>755</v>
      </c>
      <c r="K1029" s="15" t="s">
        <v>2895</v>
      </c>
      <c r="L1029" s="15" t="s">
        <v>755</v>
      </c>
      <c r="M1029" s="15" t="str">
        <f t="shared" si="16"/>
        <v>insert into dbo.LifeInsJobCode (JobCode,JobGrade,JobDescription,JobGroupCode1,JobGroupName1,JobGroupCode2,JobGroupName2,CreateTime,Creator,ModifyTime,Modifier) VALUES ('21360010','3','教練','','','2136','國術',getdate(),'Alvin',getdate(),'Alvin')</v>
      </c>
    </row>
    <row r="1030" spans="2:13" ht="13.8">
      <c r="B1030" s="15" t="s">
        <v>2786</v>
      </c>
      <c r="C1030" s="15">
        <v>7</v>
      </c>
      <c r="D1030" s="15" t="s">
        <v>3384</v>
      </c>
      <c r="E1030" s="15" t="s">
        <v>758</v>
      </c>
      <c r="F1030" s="15" t="s">
        <v>758</v>
      </c>
      <c r="G1030" s="15" t="s">
        <v>758</v>
      </c>
      <c r="H1030" s="15" t="s">
        <v>758</v>
      </c>
      <c r="I1030" s="15" t="s">
        <v>2895</v>
      </c>
      <c r="J1030" s="15" t="s">
        <v>755</v>
      </c>
      <c r="K1030" s="15" t="s">
        <v>2895</v>
      </c>
      <c r="L1030" s="15" t="s">
        <v>755</v>
      </c>
      <c r="M1030" s="15" t="str">
        <f t="shared" si="16"/>
        <v>insert into dbo.LifeInsJobCode (JobCode,JobGrade,JobDescription,JobGroupCode1,JobGroupName1,JobGroupCode2,JobGroupName2,CreateTime,Creator,ModifyTime,Modifier) VALUES ('21360020','7','國術人員','','','','',getdate(),'Alvin',getdate(),'Alvin')</v>
      </c>
    </row>
    <row r="1031" spans="2:13" ht="13.8">
      <c r="B1031" s="15" t="s">
        <v>2787</v>
      </c>
      <c r="C1031" s="15">
        <v>3</v>
      </c>
      <c r="D1031" s="15" t="s">
        <v>2033</v>
      </c>
      <c r="E1031" s="15" t="s">
        <v>758</v>
      </c>
      <c r="F1031" s="15" t="s">
        <v>758</v>
      </c>
      <c r="G1031" s="15" t="s">
        <v>2788</v>
      </c>
      <c r="H1031" s="15" t="s">
        <v>2789</v>
      </c>
      <c r="I1031" s="15" t="s">
        <v>2895</v>
      </c>
      <c r="J1031" s="15" t="s">
        <v>755</v>
      </c>
      <c r="K1031" s="15" t="s">
        <v>2895</v>
      </c>
      <c r="L1031" s="15" t="s">
        <v>755</v>
      </c>
      <c r="M1031" s="15" t="str">
        <f t="shared" si="16"/>
        <v>insert into dbo.LifeInsJobCode (JobCode,JobGrade,JobDescription,JobGroupCode1,JobGroupName1,JobGroupCode2,JobGroupName2,CreateTime,Creator,ModifyTime,Modifier) VALUES ('21370010','3','教練','','','2137','拳擊',getdate(),'Alvin',getdate(),'Alvin')</v>
      </c>
    </row>
    <row r="1032" spans="2:13" ht="13.8">
      <c r="B1032" s="15" t="s">
        <v>2790</v>
      </c>
      <c r="C1032" s="15">
        <v>7</v>
      </c>
      <c r="D1032" s="15" t="s">
        <v>3385</v>
      </c>
      <c r="E1032" s="15" t="s">
        <v>758</v>
      </c>
      <c r="F1032" s="15" t="s">
        <v>758</v>
      </c>
      <c r="G1032" s="15" t="s">
        <v>758</v>
      </c>
      <c r="H1032" s="15" t="s">
        <v>758</v>
      </c>
      <c r="I1032" s="15" t="s">
        <v>2895</v>
      </c>
      <c r="J1032" s="15" t="s">
        <v>755</v>
      </c>
      <c r="K1032" s="15" t="s">
        <v>2895</v>
      </c>
      <c r="L1032" s="15" t="s">
        <v>755</v>
      </c>
      <c r="M1032" s="15" t="str">
        <f t="shared" si="16"/>
        <v>insert into dbo.LifeInsJobCode (JobCode,JobGrade,JobDescription,JobGroupCode1,JobGroupName1,JobGroupCode2,JobGroupName2,CreateTime,Creator,ModifyTime,Modifier) VALUES ('21370020','7','拳擊人員','','','','',getdate(),'Alvin',getdate(),'Alvin')</v>
      </c>
    </row>
    <row r="1033" spans="2:13" ht="13.8">
      <c r="B1033" s="15" t="s">
        <v>2791</v>
      </c>
      <c r="C1033" s="15">
        <v>7</v>
      </c>
      <c r="D1033" s="15" t="s">
        <v>2033</v>
      </c>
      <c r="E1033" s="15" t="s">
        <v>758</v>
      </c>
      <c r="F1033" s="15" t="s">
        <v>758</v>
      </c>
      <c r="G1033" s="15" t="s">
        <v>2792</v>
      </c>
      <c r="H1033" s="15" t="s">
        <v>2793</v>
      </c>
      <c r="I1033" s="15" t="s">
        <v>2895</v>
      </c>
      <c r="J1033" s="15" t="s">
        <v>755</v>
      </c>
      <c r="K1033" s="15" t="s">
        <v>2895</v>
      </c>
      <c r="L1033" s="15" t="s">
        <v>755</v>
      </c>
      <c r="M1033" s="15" t="str">
        <f t="shared" si="16"/>
        <v>insert into dbo.LifeInsJobCode (JobCode,JobGrade,JobDescription,JobGroupCode1,JobGroupName1,JobGroupCode2,JobGroupName2,CreateTime,Creator,ModifyTime,Modifier) VALUES ('21380010','7','教練','','','2138','潛水',getdate(),'Alvin',getdate(),'Alvin')</v>
      </c>
    </row>
    <row r="1034" spans="2:13" ht="13.8">
      <c r="B1034" s="15" t="s">
        <v>2794</v>
      </c>
      <c r="C1034" s="15">
        <v>7</v>
      </c>
      <c r="D1034" s="15" t="s">
        <v>3386</v>
      </c>
      <c r="E1034" s="15" t="s">
        <v>758</v>
      </c>
      <c r="F1034" s="15" t="s">
        <v>758</v>
      </c>
      <c r="G1034" s="15" t="s">
        <v>758</v>
      </c>
      <c r="H1034" s="15" t="s">
        <v>758</v>
      </c>
      <c r="I1034" s="15" t="s">
        <v>2895</v>
      </c>
      <c r="J1034" s="15" t="s">
        <v>755</v>
      </c>
      <c r="K1034" s="15" t="s">
        <v>2895</v>
      </c>
      <c r="L1034" s="15" t="s">
        <v>755</v>
      </c>
      <c r="M1034" s="15" t="str">
        <f t="shared" si="16"/>
        <v>insert into dbo.LifeInsJobCode (JobCode,JobGrade,JobDescription,JobGroupCode1,JobGroupName1,JobGroupCode2,JobGroupName2,CreateTime,Creator,ModifyTime,Modifier) VALUES ('21380020','7','潛水人員','','','','',getdate(),'Alvin',getdate(),'Alvin')</v>
      </c>
    </row>
    <row r="1035" spans="2:13" ht="13.8">
      <c r="B1035" s="15" t="s">
        <v>2795</v>
      </c>
      <c r="C1035" s="15">
        <v>7</v>
      </c>
      <c r="D1035" s="15" t="s">
        <v>2033</v>
      </c>
      <c r="E1035" s="15" t="s">
        <v>758</v>
      </c>
      <c r="F1035" s="15" t="s">
        <v>758</v>
      </c>
      <c r="G1035" s="15" t="s">
        <v>2796</v>
      </c>
      <c r="H1035" s="15" t="s">
        <v>2797</v>
      </c>
      <c r="I1035" s="15" t="s">
        <v>2895</v>
      </c>
      <c r="J1035" s="15" t="s">
        <v>755</v>
      </c>
      <c r="K1035" s="15" t="s">
        <v>2895</v>
      </c>
      <c r="L1035" s="15" t="s">
        <v>755</v>
      </c>
      <c r="M1035" s="15" t="str">
        <f t="shared" si="16"/>
        <v>insert into dbo.LifeInsJobCode (JobCode,JobGrade,JobDescription,JobGroupCode1,JobGroupName1,JobGroupCode2,JobGroupName2,CreateTime,Creator,ModifyTime,Modifier) VALUES ('21390010','7','教練','','','2139','滑水',getdate(),'Alvin',getdate(),'Alvin')</v>
      </c>
    </row>
    <row r="1036" spans="2:13" ht="13.8">
      <c r="B1036" s="15" t="s">
        <v>2798</v>
      </c>
      <c r="C1036" s="15">
        <v>7</v>
      </c>
      <c r="D1036" s="15" t="s">
        <v>3387</v>
      </c>
      <c r="E1036" s="15" t="s">
        <v>758</v>
      </c>
      <c r="F1036" s="15" t="s">
        <v>758</v>
      </c>
      <c r="G1036" s="15" t="s">
        <v>758</v>
      </c>
      <c r="H1036" s="15" t="s">
        <v>758</v>
      </c>
      <c r="I1036" s="15" t="s">
        <v>2895</v>
      </c>
      <c r="J1036" s="15" t="s">
        <v>755</v>
      </c>
      <c r="K1036" s="15" t="s">
        <v>2895</v>
      </c>
      <c r="L1036" s="15" t="s">
        <v>755</v>
      </c>
      <c r="M1036" s="15" t="str">
        <f t="shared" si="16"/>
        <v>insert into dbo.LifeInsJobCode (JobCode,JobGrade,JobDescription,JobGroupCode1,JobGroupName1,JobGroupCode2,JobGroupName2,CreateTime,Creator,ModifyTime,Modifier) VALUES ('21390020','7','滑水人員','','','','',getdate(),'Alvin',getdate(),'Alvin')</v>
      </c>
    </row>
    <row r="1037" spans="2:13" ht="13.8">
      <c r="B1037" s="15" t="s">
        <v>2799</v>
      </c>
      <c r="C1037" s="15">
        <v>7</v>
      </c>
      <c r="D1037" s="15" t="s">
        <v>2033</v>
      </c>
      <c r="E1037" s="15" t="s">
        <v>758</v>
      </c>
      <c r="F1037" s="15" t="s">
        <v>758</v>
      </c>
      <c r="G1037" s="15" t="s">
        <v>2800</v>
      </c>
      <c r="H1037" s="15" t="s">
        <v>2801</v>
      </c>
      <c r="I1037" s="15" t="s">
        <v>2895</v>
      </c>
      <c r="J1037" s="15" t="s">
        <v>755</v>
      </c>
      <c r="K1037" s="15" t="s">
        <v>2895</v>
      </c>
      <c r="L1037" s="15" t="s">
        <v>755</v>
      </c>
      <c r="M1037" s="15" t="str">
        <f t="shared" si="16"/>
        <v>insert into dbo.LifeInsJobCode (JobCode,JobGrade,JobDescription,JobGroupCode1,JobGroupName1,JobGroupCode2,JobGroupName2,CreateTime,Creator,ModifyTime,Modifier) VALUES ('21400010','7','教練','','','2140','滑雪',getdate(),'Alvin',getdate(),'Alvin')</v>
      </c>
    </row>
    <row r="1038" spans="2:13" ht="13.8">
      <c r="B1038" s="15" t="s">
        <v>2802</v>
      </c>
      <c r="C1038" s="15">
        <v>7</v>
      </c>
      <c r="D1038" s="15" t="s">
        <v>3388</v>
      </c>
      <c r="E1038" s="15" t="s">
        <v>758</v>
      </c>
      <c r="F1038" s="15" t="s">
        <v>758</v>
      </c>
      <c r="G1038" s="15" t="s">
        <v>758</v>
      </c>
      <c r="H1038" s="15" t="s">
        <v>758</v>
      </c>
      <c r="I1038" s="15" t="s">
        <v>2895</v>
      </c>
      <c r="J1038" s="15" t="s">
        <v>755</v>
      </c>
      <c r="K1038" s="15" t="s">
        <v>2895</v>
      </c>
      <c r="L1038" s="15" t="s">
        <v>755</v>
      </c>
      <c r="M1038" s="15" t="str">
        <f t="shared" si="16"/>
        <v>insert into dbo.LifeInsJobCode (JobCode,JobGrade,JobDescription,JobGroupCode1,JobGroupName1,JobGroupCode2,JobGroupName2,CreateTime,Creator,ModifyTime,Modifier) VALUES ('21400020','7','滑雪人員','','','','',getdate(),'Alvin',getdate(),'Alvin')</v>
      </c>
    </row>
    <row r="1039" spans="2:13" ht="13.8">
      <c r="B1039" s="15" t="s">
        <v>2803</v>
      </c>
      <c r="C1039" s="15">
        <v>7</v>
      </c>
      <c r="D1039" s="15" t="s">
        <v>2033</v>
      </c>
      <c r="E1039" s="15" t="s">
        <v>758</v>
      </c>
      <c r="F1039" s="15" t="s">
        <v>758</v>
      </c>
      <c r="G1039" s="15" t="s">
        <v>2804</v>
      </c>
      <c r="H1039" s="15" t="s">
        <v>2805</v>
      </c>
      <c r="I1039" s="15" t="s">
        <v>2895</v>
      </c>
      <c r="J1039" s="15" t="s">
        <v>755</v>
      </c>
      <c r="K1039" s="15" t="s">
        <v>2895</v>
      </c>
      <c r="L1039" s="15" t="s">
        <v>755</v>
      </c>
      <c r="M1039" s="15" t="str">
        <f t="shared" si="16"/>
        <v>insert into dbo.LifeInsJobCode (JobCode,JobGrade,JobDescription,JobGroupCode1,JobGroupName1,JobGroupCode2,JobGroupName2,CreateTime,Creator,ModifyTime,Modifier) VALUES ('21410010','7','教練','','','2141','馬術',getdate(),'Alvin',getdate(),'Alvin')</v>
      </c>
    </row>
    <row r="1040" spans="2:13" ht="13.8">
      <c r="B1040" s="15" t="s">
        <v>2806</v>
      </c>
      <c r="C1040" s="15">
        <v>7</v>
      </c>
      <c r="D1040" s="15" t="s">
        <v>3389</v>
      </c>
      <c r="E1040" s="15" t="s">
        <v>758</v>
      </c>
      <c r="F1040" s="15" t="s">
        <v>758</v>
      </c>
      <c r="G1040" s="15" t="s">
        <v>758</v>
      </c>
      <c r="H1040" s="15" t="s">
        <v>758</v>
      </c>
      <c r="I1040" s="15" t="s">
        <v>2895</v>
      </c>
      <c r="J1040" s="15" t="s">
        <v>755</v>
      </c>
      <c r="K1040" s="15" t="s">
        <v>2895</v>
      </c>
      <c r="L1040" s="15" t="s">
        <v>755</v>
      </c>
      <c r="M1040" s="15" t="str">
        <f t="shared" si="16"/>
        <v>insert into dbo.LifeInsJobCode (JobCode,JobGrade,JobDescription,JobGroupCode1,JobGroupName1,JobGroupCode2,JobGroupName2,CreateTime,Creator,ModifyTime,Modifier) VALUES ('21410020','7','馬術人員','','','','',getdate(),'Alvin',getdate(),'Alvin')</v>
      </c>
    </row>
    <row r="1041" spans="2:13" ht="13.8">
      <c r="B1041" s="15" t="s">
        <v>2807</v>
      </c>
      <c r="C1041" s="15">
        <v>7</v>
      </c>
      <c r="D1041" s="15" t="s">
        <v>2033</v>
      </c>
      <c r="E1041" s="15" t="s">
        <v>758</v>
      </c>
      <c r="F1041" s="15" t="s">
        <v>758</v>
      </c>
      <c r="G1041" s="15" t="s">
        <v>2808</v>
      </c>
      <c r="H1041" s="15" t="s">
        <v>2809</v>
      </c>
      <c r="I1041" s="15" t="s">
        <v>2895</v>
      </c>
      <c r="J1041" s="15" t="s">
        <v>755</v>
      </c>
      <c r="K1041" s="15" t="s">
        <v>2895</v>
      </c>
      <c r="L1041" s="15" t="s">
        <v>755</v>
      </c>
      <c r="M1041" s="15" t="str">
        <f t="shared" si="16"/>
        <v>insert into dbo.LifeInsJobCode (JobCode,JobGrade,JobDescription,JobGroupCode1,JobGroupName1,JobGroupCode2,JobGroupName2,CreateTime,Creator,ModifyTime,Modifier) VALUES ('21420010','7','教練','','','2142','特技表演',getdate(),'Alvin',getdate(),'Alvin')</v>
      </c>
    </row>
    <row r="1042" spans="2:13" ht="13.8">
      <c r="B1042" s="15" t="s">
        <v>2810</v>
      </c>
      <c r="C1042" s="15">
        <v>7</v>
      </c>
      <c r="D1042" s="15" t="s">
        <v>3390</v>
      </c>
      <c r="E1042" s="15" t="s">
        <v>758</v>
      </c>
      <c r="F1042" s="15" t="s">
        <v>758</v>
      </c>
      <c r="G1042" s="15" t="s">
        <v>758</v>
      </c>
      <c r="H1042" s="15" t="s">
        <v>758</v>
      </c>
      <c r="I1042" s="15" t="s">
        <v>2895</v>
      </c>
      <c r="J1042" s="15" t="s">
        <v>755</v>
      </c>
      <c r="K1042" s="15" t="s">
        <v>2895</v>
      </c>
      <c r="L1042" s="15" t="s">
        <v>755</v>
      </c>
      <c r="M1042" s="15" t="str">
        <f t="shared" si="16"/>
        <v>insert into dbo.LifeInsJobCode (JobCode,JobGrade,JobDescription,JobGroupCode1,JobGroupName1,JobGroupCode2,JobGroupName2,CreateTime,Creator,ModifyTime,Modifier) VALUES ('21420020','7','特技表演人員','','','','',getdate(),'Alvin',getdate(),'Alvin')</v>
      </c>
    </row>
    <row r="1043" spans="2:13" ht="13.8">
      <c r="B1043" s="15" t="s">
        <v>2811</v>
      </c>
      <c r="C1043" s="15">
        <v>7</v>
      </c>
      <c r="D1043" s="15" t="s">
        <v>2033</v>
      </c>
      <c r="E1043" s="15" t="s">
        <v>758</v>
      </c>
      <c r="F1043" s="15" t="s">
        <v>758</v>
      </c>
      <c r="G1043" s="15" t="s">
        <v>2812</v>
      </c>
      <c r="H1043" s="15" t="s">
        <v>2813</v>
      </c>
      <c r="I1043" s="15" t="s">
        <v>2895</v>
      </c>
      <c r="J1043" s="15" t="s">
        <v>755</v>
      </c>
      <c r="K1043" s="15" t="s">
        <v>2895</v>
      </c>
      <c r="L1043" s="15" t="s">
        <v>755</v>
      </c>
      <c r="M1043" s="15" t="str">
        <f t="shared" si="16"/>
        <v>insert into dbo.LifeInsJobCode (JobCode,JobGrade,JobDescription,JobGroupCode1,JobGroupName1,JobGroupCode2,JobGroupName2,CreateTime,Creator,ModifyTime,Modifier) VALUES ('21430010','7','教練','','','2143','雪車',getdate(),'Alvin',getdate(),'Alvin')</v>
      </c>
    </row>
    <row r="1044" spans="2:13" ht="13.8">
      <c r="B1044" s="15" t="s">
        <v>2814</v>
      </c>
      <c r="C1044" s="15">
        <v>7</v>
      </c>
      <c r="D1044" s="15" t="s">
        <v>2815</v>
      </c>
      <c r="E1044" s="15" t="s">
        <v>758</v>
      </c>
      <c r="F1044" s="15" t="s">
        <v>758</v>
      </c>
      <c r="G1044" s="15" t="s">
        <v>758</v>
      </c>
      <c r="H1044" s="15" t="s">
        <v>758</v>
      </c>
      <c r="I1044" s="15" t="s">
        <v>2895</v>
      </c>
      <c r="J1044" s="15" t="s">
        <v>755</v>
      </c>
      <c r="K1044" s="15" t="s">
        <v>2895</v>
      </c>
      <c r="L1044" s="15" t="s">
        <v>755</v>
      </c>
      <c r="M1044" s="15" t="str">
        <f t="shared" si="16"/>
        <v>insert into dbo.LifeInsJobCode (JobCode,JobGrade,JobDescription,JobGroupCode1,JobGroupName1,JobGroupCode2,JobGroupName2,CreateTime,Creator,ModifyTime,Modifier) VALUES ('21430020','7','與賽人員','','','','',getdate(),'Alvin',getdate(),'Alvin')</v>
      </c>
    </row>
    <row r="1045" spans="2:13" ht="13.8">
      <c r="B1045" s="15" t="s">
        <v>2816</v>
      </c>
      <c r="C1045" s="15">
        <v>7</v>
      </c>
      <c r="D1045" s="15" t="s">
        <v>2033</v>
      </c>
      <c r="E1045" s="15" t="s">
        <v>758</v>
      </c>
      <c r="F1045" s="15" t="s">
        <v>758</v>
      </c>
      <c r="G1045" s="15" t="s">
        <v>2817</v>
      </c>
      <c r="H1045" s="15" t="s">
        <v>2818</v>
      </c>
      <c r="I1045" s="15" t="s">
        <v>2895</v>
      </c>
      <c r="J1045" s="15" t="s">
        <v>755</v>
      </c>
      <c r="K1045" s="15" t="s">
        <v>2895</v>
      </c>
      <c r="L1045" s="15" t="s">
        <v>755</v>
      </c>
      <c r="M1045" s="15" t="str">
        <f t="shared" si="16"/>
        <v>insert into dbo.LifeInsJobCode (JobCode,JobGrade,JobDescription,JobGroupCode1,JobGroupName1,JobGroupCode2,JobGroupName2,CreateTime,Creator,ModifyTime,Modifier) VALUES ('21440010','7','教練','','','2144','滑翔機具',getdate(),'Alvin',getdate(),'Alvin')</v>
      </c>
    </row>
    <row r="1046" spans="2:13" ht="13.8">
      <c r="B1046" s="15" t="s">
        <v>2819</v>
      </c>
      <c r="C1046" s="15">
        <v>7</v>
      </c>
      <c r="D1046" s="15" t="s">
        <v>2820</v>
      </c>
      <c r="E1046" s="15" t="s">
        <v>758</v>
      </c>
      <c r="F1046" s="15" t="s">
        <v>758</v>
      </c>
      <c r="G1046" s="15" t="s">
        <v>758</v>
      </c>
      <c r="H1046" s="15" t="s">
        <v>758</v>
      </c>
      <c r="I1046" s="15" t="s">
        <v>2895</v>
      </c>
      <c r="J1046" s="15" t="s">
        <v>755</v>
      </c>
      <c r="K1046" s="15" t="s">
        <v>2895</v>
      </c>
      <c r="L1046" s="15" t="s">
        <v>755</v>
      </c>
      <c r="M1046" s="15" t="str">
        <f t="shared" si="16"/>
        <v>insert into dbo.LifeInsJobCode (JobCode,JobGrade,JobDescription,JobGroupCode1,JobGroupName1,JobGroupCode2,JobGroupName2,CreateTime,Creator,ModifyTime,Modifier) VALUES ('21440020','7','駕駛人員','','','','',getdate(),'Alvin',getdate(),'Alvin')</v>
      </c>
    </row>
    <row r="1047" spans="2:13" ht="13.8">
      <c r="B1047" s="15" t="s">
        <v>2821</v>
      </c>
      <c r="C1047" s="15">
        <v>7</v>
      </c>
      <c r="D1047" s="15" t="s">
        <v>2033</v>
      </c>
      <c r="E1047" s="15" t="s">
        <v>758</v>
      </c>
      <c r="F1047" s="15" t="s">
        <v>758</v>
      </c>
      <c r="G1047" s="15" t="s">
        <v>2822</v>
      </c>
      <c r="H1047" s="15" t="s">
        <v>2823</v>
      </c>
      <c r="I1047" s="15" t="s">
        <v>2895</v>
      </c>
      <c r="J1047" s="15" t="s">
        <v>755</v>
      </c>
      <c r="K1047" s="15" t="s">
        <v>2895</v>
      </c>
      <c r="L1047" s="15" t="s">
        <v>755</v>
      </c>
      <c r="M1047" s="15" t="str">
        <f t="shared" si="16"/>
        <v>insert into dbo.LifeInsJobCode (JobCode,JobGrade,JobDescription,JobGroupCode1,JobGroupName1,JobGroupCode2,JobGroupName2,CreateTime,Creator,ModifyTime,Modifier) VALUES ('21450010','7','教練','','','2145','汽車、機車賽車',getdate(),'Alvin',getdate(),'Alvin')</v>
      </c>
    </row>
    <row r="1048" spans="2:13" ht="13.8">
      <c r="B1048" s="15" t="s">
        <v>2824</v>
      </c>
      <c r="C1048" s="15">
        <v>7</v>
      </c>
      <c r="D1048" s="15" t="s">
        <v>2825</v>
      </c>
      <c r="E1048" s="15" t="s">
        <v>758</v>
      </c>
      <c r="F1048" s="15" t="s">
        <v>758</v>
      </c>
      <c r="G1048" s="15" t="s">
        <v>758</v>
      </c>
      <c r="H1048" s="15" t="s">
        <v>758</v>
      </c>
      <c r="I1048" s="15" t="s">
        <v>2895</v>
      </c>
      <c r="J1048" s="15" t="s">
        <v>755</v>
      </c>
      <c r="K1048" s="15" t="s">
        <v>2895</v>
      </c>
      <c r="L1048" s="15" t="s">
        <v>755</v>
      </c>
      <c r="M1048" s="15" t="str">
        <f t="shared" si="16"/>
        <v>insert into dbo.LifeInsJobCode (JobCode,JobGrade,JobDescription,JobGroupCode1,JobGroupName1,JobGroupCode2,JobGroupName2,CreateTime,Creator,ModifyTime,Modifier) VALUES ('21450020','7','賽車人員','','','','',getdate(),'Alvin',getdate(),'Alvin')</v>
      </c>
    </row>
    <row r="1049" spans="2:13" ht="13.8">
      <c r="B1049" s="15" t="s">
        <v>2826</v>
      </c>
      <c r="C1049" s="15">
        <v>7</v>
      </c>
      <c r="D1049" s="15" t="s">
        <v>2033</v>
      </c>
      <c r="E1049" s="15" t="s">
        <v>758</v>
      </c>
      <c r="F1049" s="15" t="s">
        <v>758</v>
      </c>
      <c r="G1049" s="15" t="s">
        <v>2827</v>
      </c>
      <c r="H1049" s="15" t="s">
        <v>2828</v>
      </c>
      <c r="I1049" s="15" t="s">
        <v>2895</v>
      </c>
      <c r="J1049" s="15" t="s">
        <v>755</v>
      </c>
      <c r="K1049" s="15" t="s">
        <v>2895</v>
      </c>
      <c r="L1049" s="15" t="s">
        <v>755</v>
      </c>
      <c r="M1049" s="15" t="str">
        <f t="shared" si="16"/>
        <v>insert into dbo.LifeInsJobCode (JobCode,JobGrade,JobDescription,JobGroupCode1,JobGroupName1,JobGroupCode2,JobGroupName2,CreateTime,Creator,ModifyTime,Modifier) VALUES ('21460010','7','教練','','','2146','跳傘',getdate(),'Alvin',getdate(),'Alvin')</v>
      </c>
    </row>
    <row r="1050" spans="2:13" ht="13.8">
      <c r="B1050" s="15" t="s">
        <v>2829</v>
      </c>
      <c r="C1050" s="15">
        <v>7</v>
      </c>
      <c r="D1050" s="15" t="s">
        <v>2830</v>
      </c>
      <c r="E1050" s="15" t="s">
        <v>758</v>
      </c>
      <c r="F1050" s="15" t="s">
        <v>758</v>
      </c>
      <c r="G1050" s="15" t="s">
        <v>758</v>
      </c>
      <c r="H1050" s="15" t="s">
        <v>758</v>
      </c>
      <c r="I1050" s="15" t="s">
        <v>2895</v>
      </c>
      <c r="J1050" s="15" t="s">
        <v>755</v>
      </c>
      <c r="K1050" s="15" t="s">
        <v>2895</v>
      </c>
      <c r="L1050" s="15" t="s">
        <v>755</v>
      </c>
      <c r="M1050" s="15" t="str">
        <f t="shared" si="16"/>
        <v>insert into dbo.LifeInsJobCode (JobCode,JobGrade,JobDescription,JobGroupCode1,JobGroupName1,JobGroupCode2,JobGroupName2,CreateTime,Creator,ModifyTime,Modifier) VALUES ('21460020','7','跳傘人員','','','','',getdate(),'Alvin',getdate(),'Alvin')</v>
      </c>
    </row>
    <row r="1051" spans="2:13" ht="13.8">
      <c r="B1051" s="15" t="s">
        <v>2831</v>
      </c>
      <c r="C1051" s="15">
        <v>7</v>
      </c>
      <c r="D1051" s="15" t="s">
        <v>2033</v>
      </c>
      <c r="E1051" s="15" t="s">
        <v>758</v>
      </c>
      <c r="F1051" s="15" t="s">
        <v>758</v>
      </c>
      <c r="G1051" s="15" t="s">
        <v>2832</v>
      </c>
      <c r="H1051" s="15" t="s">
        <v>2833</v>
      </c>
      <c r="I1051" s="15" t="s">
        <v>2895</v>
      </c>
      <c r="J1051" s="15" t="s">
        <v>755</v>
      </c>
      <c r="K1051" s="15" t="s">
        <v>2895</v>
      </c>
      <c r="L1051" s="15" t="s">
        <v>755</v>
      </c>
      <c r="M1051" s="15" t="str">
        <f t="shared" si="16"/>
        <v>insert into dbo.LifeInsJobCode (JobCode,JobGrade,JobDescription,JobGroupCode1,JobGroupName1,JobGroupCode2,JobGroupName2,CreateTime,Creator,ModifyTime,Modifier) VALUES ('21470010','7','教練','','','2147','動力及無動力飛行載具',getdate(),'Alvin',getdate(),'Alvin')</v>
      </c>
    </row>
    <row r="1052" spans="2:13" ht="13.8">
      <c r="B1052" s="15" t="s">
        <v>2834</v>
      </c>
      <c r="C1052" s="15">
        <v>7</v>
      </c>
      <c r="D1052" s="15" t="s">
        <v>2820</v>
      </c>
      <c r="E1052" s="15" t="s">
        <v>758</v>
      </c>
      <c r="F1052" s="15" t="s">
        <v>758</v>
      </c>
      <c r="G1052" s="15" t="s">
        <v>758</v>
      </c>
      <c r="H1052" s="15" t="s">
        <v>758</v>
      </c>
      <c r="I1052" s="15" t="s">
        <v>2895</v>
      </c>
      <c r="J1052" s="15" t="s">
        <v>755</v>
      </c>
      <c r="K1052" s="15" t="s">
        <v>2895</v>
      </c>
      <c r="L1052" s="15" t="s">
        <v>755</v>
      </c>
      <c r="M1052" s="15" t="str">
        <f t="shared" si="16"/>
        <v>insert into dbo.LifeInsJobCode (JobCode,JobGrade,JobDescription,JobGroupCode1,JobGroupName1,JobGroupCode2,JobGroupName2,CreateTime,Creator,ModifyTime,Modifier) VALUES ('21470020','7','駕駛人員','','','','',getdate(),'Alvin',getdate(),'Alvin')</v>
      </c>
    </row>
    <row r="1053" spans="2:13" ht="13.8">
      <c r="B1053" s="15" t="s">
        <v>2835</v>
      </c>
      <c r="C1053" s="15">
        <v>1</v>
      </c>
      <c r="D1053" s="15" t="s">
        <v>2033</v>
      </c>
      <c r="E1053" s="15" t="s">
        <v>758</v>
      </c>
      <c r="F1053" s="15" t="s">
        <v>758</v>
      </c>
      <c r="G1053" s="15" t="s">
        <v>2836</v>
      </c>
      <c r="H1053" s="15" t="s">
        <v>2837</v>
      </c>
      <c r="I1053" s="15" t="s">
        <v>2895</v>
      </c>
      <c r="J1053" s="15" t="s">
        <v>755</v>
      </c>
      <c r="K1053" s="15" t="s">
        <v>2895</v>
      </c>
      <c r="L1053" s="15" t="s">
        <v>755</v>
      </c>
      <c r="M1053" s="15" t="str">
        <f t="shared" si="16"/>
        <v>insert into dbo.LifeInsJobCode (JobCode,JobGrade,JobDescription,JobGroupCode1,JobGroupName1,JobGroupCode2,JobGroupName2,CreateTime,Creator,ModifyTime,Modifier) VALUES ('21480010','1','教練','','','2148','撞球',getdate(),'Alvin',getdate(),'Alvin')</v>
      </c>
    </row>
    <row r="1054" spans="2:13" ht="13.8">
      <c r="B1054" s="15" t="s">
        <v>2838</v>
      </c>
      <c r="C1054" s="15">
        <v>2</v>
      </c>
      <c r="D1054" s="15" t="s">
        <v>3391</v>
      </c>
      <c r="E1054" s="15" t="s">
        <v>758</v>
      </c>
      <c r="F1054" s="15" t="s">
        <v>758</v>
      </c>
      <c r="G1054" s="15" t="s">
        <v>758</v>
      </c>
      <c r="H1054" s="15" t="s">
        <v>758</v>
      </c>
      <c r="I1054" s="15" t="s">
        <v>2895</v>
      </c>
      <c r="J1054" s="15" t="s">
        <v>755</v>
      </c>
      <c r="K1054" s="15" t="s">
        <v>2895</v>
      </c>
      <c r="L1054" s="15" t="s">
        <v>755</v>
      </c>
      <c r="M1054" s="15" t="str">
        <f t="shared" si="16"/>
        <v>insert into dbo.LifeInsJobCode (JobCode,JobGrade,JobDescription,JobGroupCode1,JobGroupName1,JobGroupCode2,JobGroupName2,CreateTime,Creator,ModifyTime,Modifier) VALUES ('21480020','2','撞球球員','','','','',getdate(),'Alvin',getdate(),'Alvin')</v>
      </c>
    </row>
    <row r="1055" spans="2:13" ht="13.8">
      <c r="B1055" s="15" t="s">
        <v>2839</v>
      </c>
      <c r="C1055" s="15">
        <v>2</v>
      </c>
      <c r="D1055" s="15" t="s">
        <v>2033</v>
      </c>
      <c r="E1055" s="15" t="s">
        <v>758</v>
      </c>
      <c r="F1055" s="15" t="s">
        <v>758</v>
      </c>
      <c r="G1055" s="15" t="s">
        <v>2840</v>
      </c>
      <c r="H1055" s="15" t="s">
        <v>2841</v>
      </c>
      <c r="I1055" s="15" t="s">
        <v>2895</v>
      </c>
      <c r="J1055" s="15" t="s">
        <v>755</v>
      </c>
      <c r="K1055" s="15" t="s">
        <v>2895</v>
      </c>
      <c r="L1055" s="15" t="s">
        <v>755</v>
      </c>
      <c r="M1055" s="15" t="str">
        <f t="shared" si="16"/>
        <v>insert into dbo.LifeInsJobCode (JobCode,JobGrade,JobDescription,JobGroupCode1,JobGroupName1,JobGroupCode2,JobGroupName2,CreateTime,Creator,ModifyTime,Modifier) VALUES ('21490010','2','教練','','','2149','迴力球(壁球)',getdate(),'Alvin',getdate(),'Alvin')</v>
      </c>
    </row>
    <row r="1056" spans="2:13" ht="13.8">
      <c r="B1056" s="15" t="s">
        <v>2842</v>
      </c>
      <c r="C1056" s="15">
        <v>3</v>
      </c>
      <c r="D1056" s="15" t="s">
        <v>3392</v>
      </c>
      <c r="E1056" s="15" t="s">
        <v>758</v>
      </c>
      <c r="F1056" s="15" t="s">
        <v>758</v>
      </c>
      <c r="G1056" s="15" t="s">
        <v>758</v>
      </c>
      <c r="H1056" s="15" t="s">
        <v>758</v>
      </c>
      <c r="I1056" s="15" t="s">
        <v>2895</v>
      </c>
      <c r="J1056" s="15" t="s">
        <v>755</v>
      </c>
      <c r="K1056" s="15" t="s">
        <v>2895</v>
      </c>
      <c r="L1056" s="15" t="s">
        <v>755</v>
      </c>
      <c r="M1056" s="15" t="str">
        <f t="shared" si="16"/>
        <v>insert into dbo.LifeInsJobCode (JobCode,JobGrade,JobDescription,JobGroupCode1,JobGroupName1,JobGroupCode2,JobGroupName2,CreateTime,Creator,ModifyTime,Modifier) VALUES ('21490020','3','迴力球球員','','','','',getdate(),'Alvin',getdate(),'Alvin')</v>
      </c>
    </row>
    <row r="1057" spans="2:13" ht="13.8">
      <c r="B1057" s="15" t="s">
        <v>2843</v>
      </c>
      <c r="C1057" s="15">
        <v>2</v>
      </c>
      <c r="D1057" s="15" t="s">
        <v>2033</v>
      </c>
      <c r="E1057" s="15" t="s">
        <v>758</v>
      </c>
      <c r="F1057" s="15" t="s">
        <v>758</v>
      </c>
      <c r="G1057" s="15" t="s">
        <v>2844</v>
      </c>
      <c r="H1057" s="15" t="s">
        <v>2845</v>
      </c>
      <c r="I1057" s="15" t="s">
        <v>2895</v>
      </c>
      <c r="J1057" s="15" t="s">
        <v>755</v>
      </c>
      <c r="K1057" s="15" t="s">
        <v>2895</v>
      </c>
      <c r="L1057" s="15" t="s">
        <v>755</v>
      </c>
      <c r="M1057" s="15" t="str">
        <f t="shared" si="16"/>
        <v>insert into dbo.LifeInsJobCode (JobCode,JobGrade,JobDescription,JobGroupCode1,JobGroupName1,JobGroupCode2,JobGroupName2,CreateTime,Creator,ModifyTime,Modifier) VALUES ('21500010','2','教練','','','2150','滑板直排輪',getdate(),'Alvin',getdate(),'Alvin')</v>
      </c>
    </row>
    <row r="1058" spans="2:13" ht="13.8">
      <c r="B1058" s="15" t="s">
        <v>2846</v>
      </c>
      <c r="C1058" s="15">
        <v>3</v>
      </c>
      <c r="D1058" s="15" t="s">
        <v>2874</v>
      </c>
      <c r="E1058" s="15" t="s">
        <v>758</v>
      </c>
      <c r="F1058" s="15" t="s">
        <v>758</v>
      </c>
      <c r="G1058" s="15" t="s">
        <v>758</v>
      </c>
      <c r="H1058" s="15" t="s">
        <v>758</v>
      </c>
      <c r="I1058" s="15" t="s">
        <v>2895</v>
      </c>
      <c r="J1058" s="15" t="s">
        <v>755</v>
      </c>
      <c r="K1058" s="15" t="s">
        <v>2895</v>
      </c>
      <c r="L1058" s="15" t="s">
        <v>755</v>
      </c>
      <c r="M1058" s="15" t="str">
        <f t="shared" si="16"/>
        <v>insert into dbo.LifeInsJobCode (JobCode,JobGrade,JobDescription,JobGroupCode1,JobGroupName1,JobGroupCode2,JobGroupName2,CreateTime,Creator,ModifyTime,Modifier) VALUES ('21500020','3','選手','','','','',getdate(),'Alvin',getdate(),'Alvin')</v>
      </c>
    </row>
    <row r="1059" spans="2:13" ht="13.8">
      <c r="B1059" s="15" t="s">
        <v>2847</v>
      </c>
      <c r="C1059" s="15">
        <v>7</v>
      </c>
      <c r="D1059" s="15" t="s">
        <v>2033</v>
      </c>
      <c r="E1059" s="15" t="s">
        <v>758</v>
      </c>
      <c r="F1059" s="15" t="s">
        <v>758</v>
      </c>
      <c r="G1059" s="15" t="s">
        <v>2848</v>
      </c>
      <c r="H1059" s="15" t="s">
        <v>2849</v>
      </c>
      <c r="I1059" s="15" t="s">
        <v>2895</v>
      </c>
      <c r="J1059" s="15" t="s">
        <v>755</v>
      </c>
      <c r="K1059" s="15" t="s">
        <v>2895</v>
      </c>
      <c r="L1059" s="15" t="s">
        <v>755</v>
      </c>
      <c r="M1059" s="15" t="str">
        <f t="shared" si="16"/>
        <v>insert into dbo.LifeInsJobCode (JobCode,JobGrade,JobDescription,JobGroupCode1,JobGroupName1,JobGroupCode2,JobGroupName2,CreateTime,Creator,ModifyTime,Modifier) VALUES ('21510010','7','教練','','','2151','鐵人三項',getdate(),'Alvin',getdate(),'Alvin')</v>
      </c>
    </row>
    <row r="1060" spans="2:13" ht="13.8">
      <c r="B1060" s="15" t="s">
        <v>2850</v>
      </c>
      <c r="C1060" s="15">
        <v>7</v>
      </c>
      <c r="D1060" s="15" t="s">
        <v>2874</v>
      </c>
      <c r="E1060" s="15" t="s">
        <v>758</v>
      </c>
      <c r="F1060" s="15" t="s">
        <v>758</v>
      </c>
      <c r="G1060" s="15" t="s">
        <v>758</v>
      </c>
      <c r="H1060" s="15" t="s">
        <v>758</v>
      </c>
      <c r="I1060" s="15" t="s">
        <v>2895</v>
      </c>
      <c r="J1060" s="15" t="s">
        <v>755</v>
      </c>
      <c r="K1060" s="15" t="s">
        <v>2895</v>
      </c>
      <c r="L1060" s="15" t="s">
        <v>755</v>
      </c>
      <c r="M1060" s="15" t="str">
        <f t="shared" si="16"/>
        <v>insert into dbo.LifeInsJobCode (JobCode,JobGrade,JobDescription,JobGroupCode1,JobGroupName1,JobGroupCode2,JobGroupName2,CreateTime,Creator,ModifyTime,Modifier) VALUES ('21510020','7','選手','','','','',getdate(),'Alvin',getdate(),'Alvin')</v>
      </c>
    </row>
    <row r="1061" spans="2:13" ht="13.8">
      <c r="B1061" s="15" t="s">
        <v>2851</v>
      </c>
      <c r="C1061" s="15">
        <v>7</v>
      </c>
      <c r="D1061" s="15" t="s">
        <v>2033</v>
      </c>
      <c r="E1061" s="15" t="s">
        <v>758</v>
      </c>
      <c r="F1061" s="15" t="s">
        <v>758</v>
      </c>
      <c r="G1061" s="15" t="s">
        <v>2852</v>
      </c>
      <c r="H1061" s="15" t="s">
        <v>2853</v>
      </c>
      <c r="I1061" s="15" t="s">
        <v>2895</v>
      </c>
      <c r="J1061" s="15" t="s">
        <v>755</v>
      </c>
      <c r="K1061" s="15" t="s">
        <v>2895</v>
      </c>
      <c r="L1061" s="15" t="s">
        <v>755</v>
      </c>
      <c r="M1061" s="15" t="str">
        <f t="shared" si="16"/>
        <v>insert into dbo.LifeInsJobCode (JobCode,JobGrade,JobDescription,JobGroupCode1,JobGroupName1,JobGroupCode2,JobGroupName2,CreateTime,Creator,ModifyTime,Modifier) VALUES ('21520010','7','教練','','','2152','相撲',getdate(),'Alvin',getdate(),'Alvin')</v>
      </c>
    </row>
    <row r="1062" spans="2:13" ht="13.8">
      <c r="B1062" s="15" t="s">
        <v>2854</v>
      </c>
      <c r="C1062" s="15">
        <v>7</v>
      </c>
      <c r="D1062" s="15" t="s">
        <v>3393</v>
      </c>
      <c r="E1062" s="15" t="s">
        <v>758</v>
      </c>
      <c r="F1062" s="15" t="s">
        <v>758</v>
      </c>
      <c r="G1062" s="15" t="s">
        <v>758</v>
      </c>
      <c r="H1062" s="15" t="s">
        <v>758</v>
      </c>
      <c r="I1062" s="15" t="s">
        <v>2895</v>
      </c>
      <c r="J1062" s="15" t="s">
        <v>755</v>
      </c>
      <c r="K1062" s="15" t="s">
        <v>2895</v>
      </c>
      <c r="L1062" s="15" t="s">
        <v>755</v>
      </c>
      <c r="M1062" s="15" t="str">
        <f t="shared" si="16"/>
        <v>insert into dbo.LifeInsJobCode (JobCode,JobGrade,JobDescription,JobGroupCode1,JobGroupName1,JobGroupCode2,JobGroupName2,CreateTime,Creator,ModifyTime,Modifier) VALUES ('21520020','7','相撲選手','','','','',getdate(),'Alvin',getdate(),'Alvin')</v>
      </c>
    </row>
    <row r="1063" spans="2:13" ht="13.8">
      <c r="B1063" s="15" t="s">
        <v>2855</v>
      </c>
      <c r="C1063" s="15">
        <v>7</v>
      </c>
      <c r="D1063" s="15" t="s">
        <v>2033</v>
      </c>
      <c r="E1063" s="15" t="s">
        <v>758</v>
      </c>
      <c r="F1063" s="15" t="s">
        <v>758</v>
      </c>
      <c r="G1063" s="15" t="s">
        <v>2856</v>
      </c>
      <c r="H1063" s="15" t="s">
        <v>2857</v>
      </c>
      <c r="I1063" s="15" t="s">
        <v>2895</v>
      </c>
      <c r="J1063" s="15" t="s">
        <v>755</v>
      </c>
      <c r="K1063" s="15" t="s">
        <v>2895</v>
      </c>
      <c r="L1063" s="15" t="s">
        <v>755</v>
      </c>
      <c r="M1063" s="15" t="str">
        <f t="shared" si="16"/>
        <v>insert into dbo.LifeInsJobCode (JobCode,JobGrade,JobDescription,JobGroupCode1,JobGroupName1,JobGroupCode2,JobGroupName2,CreateTime,Creator,ModifyTime,Modifier) VALUES ('21530010','7','教練','','','2153','合氣道',getdate(),'Alvin',getdate(),'Alvin')</v>
      </c>
    </row>
    <row r="1064" spans="2:13" ht="13.8">
      <c r="B1064" s="15" t="s">
        <v>2858</v>
      </c>
      <c r="C1064" s="15">
        <v>7</v>
      </c>
      <c r="D1064" s="15" t="s">
        <v>2859</v>
      </c>
      <c r="E1064" s="15" t="s">
        <v>758</v>
      </c>
      <c r="F1064" s="15" t="s">
        <v>758</v>
      </c>
      <c r="G1064" s="15" t="s">
        <v>758</v>
      </c>
      <c r="H1064" s="15" t="s">
        <v>758</v>
      </c>
      <c r="I1064" s="15" t="s">
        <v>2895</v>
      </c>
      <c r="J1064" s="15" t="s">
        <v>755</v>
      </c>
      <c r="K1064" s="15" t="s">
        <v>2895</v>
      </c>
      <c r="L1064" s="15" t="s">
        <v>755</v>
      </c>
      <c r="M1064" s="15" t="str">
        <f t="shared" si="16"/>
        <v>insert into dbo.LifeInsJobCode (JobCode,JobGrade,JobDescription,JobGroupCode1,JobGroupName1,JobGroupCode2,JobGroupName2,CreateTime,Creator,ModifyTime,Modifier) VALUES ('21530020','7','合氣道選手','','','','',getdate(),'Alvin',getdate(),'Alvin')</v>
      </c>
    </row>
    <row r="1065" spans="2:13" ht="13.8">
      <c r="B1065" s="15" t="s">
        <v>2860</v>
      </c>
      <c r="C1065" s="15">
        <v>7</v>
      </c>
      <c r="D1065" s="15" t="s">
        <v>2033</v>
      </c>
      <c r="E1065" s="15" t="s">
        <v>758</v>
      </c>
      <c r="F1065" s="15" t="s">
        <v>758</v>
      </c>
      <c r="G1065" s="15" t="s">
        <v>2861</v>
      </c>
      <c r="H1065" s="15" t="s">
        <v>2862</v>
      </c>
      <c r="I1065" s="15" t="s">
        <v>2895</v>
      </c>
      <c r="J1065" s="15" t="s">
        <v>755</v>
      </c>
      <c r="K1065" s="15" t="s">
        <v>2895</v>
      </c>
      <c r="L1065" s="15" t="s">
        <v>755</v>
      </c>
      <c r="M1065" s="15" t="str">
        <f t="shared" si="16"/>
        <v>insert into dbo.LifeInsJobCode (JobCode,JobGrade,JobDescription,JobGroupCode1,JobGroupName1,JobGroupCode2,JobGroupName2,CreateTime,Creator,ModifyTime,Modifier) VALUES ('21540010','7','教練','','','2154','衝浪',getdate(),'Alvin',getdate(),'Alvin')</v>
      </c>
    </row>
    <row r="1066" spans="2:13" ht="13.8">
      <c r="B1066" s="15" t="s">
        <v>2863</v>
      </c>
      <c r="C1066" s="15">
        <v>7</v>
      </c>
      <c r="D1066" s="15" t="s">
        <v>2864</v>
      </c>
      <c r="E1066" s="15" t="s">
        <v>758</v>
      </c>
      <c r="F1066" s="15" t="s">
        <v>758</v>
      </c>
      <c r="G1066" s="15" t="s">
        <v>758</v>
      </c>
      <c r="H1066" s="15" t="s">
        <v>758</v>
      </c>
      <c r="I1066" s="15" t="s">
        <v>2895</v>
      </c>
      <c r="J1066" s="15" t="s">
        <v>755</v>
      </c>
      <c r="K1066" s="15" t="s">
        <v>2895</v>
      </c>
      <c r="L1066" s="15" t="s">
        <v>755</v>
      </c>
      <c r="M1066" s="15" t="str">
        <f t="shared" si="16"/>
        <v>insert into dbo.LifeInsJobCode (JobCode,JobGrade,JobDescription,JobGroupCode1,JobGroupName1,JobGroupCode2,JobGroupName2,CreateTime,Creator,ModifyTime,Modifier) VALUES ('21540020','7','衝浪選手','','','','',getdate(),'Alvin',getdate(),'Alvin')</v>
      </c>
    </row>
    <row r="1067" spans="2:13" ht="13.8">
      <c r="B1067" s="15" t="s">
        <v>2865</v>
      </c>
      <c r="C1067" s="15">
        <v>7</v>
      </c>
      <c r="D1067" s="15" t="s">
        <v>2033</v>
      </c>
      <c r="E1067" s="15" t="s">
        <v>758</v>
      </c>
      <c r="F1067" s="15" t="s">
        <v>758</v>
      </c>
      <c r="G1067" s="15" t="s">
        <v>2866</v>
      </c>
      <c r="H1067" s="15" t="s">
        <v>2867</v>
      </c>
      <c r="I1067" s="15" t="s">
        <v>2895</v>
      </c>
      <c r="J1067" s="15" t="s">
        <v>755</v>
      </c>
      <c r="K1067" s="15" t="s">
        <v>2895</v>
      </c>
      <c r="L1067" s="15" t="s">
        <v>755</v>
      </c>
      <c r="M1067" s="15" t="str">
        <f t="shared" si="16"/>
        <v>insert into dbo.LifeInsJobCode (JobCode,JobGrade,JobDescription,JobGroupCode1,JobGroupName1,JobGroupCode2,JobGroupName2,CreateTime,Creator,ModifyTime,Modifier) VALUES ('21550010','7','教練','','','2155','跳水',getdate(),'Alvin',getdate(),'Alvin')</v>
      </c>
    </row>
    <row r="1068" spans="2:13" ht="13.8">
      <c r="B1068" s="15" t="s">
        <v>2868</v>
      </c>
      <c r="C1068" s="15">
        <v>7</v>
      </c>
      <c r="D1068" s="15" t="s">
        <v>2869</v>
      </c>
      <c r="E1068" s="15" t="s">
        <v>758</v>
      </c>
      <c r="F1068" s="15" t="s">
        <v>758</v>
      </c>
      <c r="G1068" s="15" t="s">
        <v>758</v>
      </c>
      <c r="H1068" s="15" t="s">
        <v>758</v>
      </c>
      <c r="I1068" s="15" t="s">
        <v>2895</v>
      </c>
      <c r="J1068" s="15" t="s">
        <v>755</v>
      </c>
      <c r="K1068" s="15" t="s">
        <v>2895</v>
      </c>
      <c r="L1068" s="15" t="s">
        <v>755</v>
      </c>
      <c r="M1068" s="15" t="str">
        <f t="shared" si="16"/>
        <v>insert into dbo.LifeInsJobCode (JobCode,JobGrade,JobDescription,JobGroupCode1,JobGroupName1,JobGroupCode2,JobGroupName2,CreateTime,Creator,ModifyTime,Modifier) VALUES ('21550020','7','跳水選手','','','','',getdate(),'Alvin',getdate(),'Alvin')</v>
      </c>
    </row>
    <row r="1069" spans="2:13" ht="13.8">
      <c r="B1069" s="15" t="s">
        <v>2870</v>
      </c>
      <c r="C1069" s="15">
        <v>7</v>
      </c>
      <c r="D1069" s="15" t="s">
        <v>2033</v>
      </c>
      <c r="E1069" s="15" t="s">
        <v>758</v>
      </c>
      <c r="F1069" s="15" t="s">
        <v>758</v>
      </c>
      <c r="G1069" s="15" t="s">
        <v>2871</v>
      </c>
      <c r="H1069" s="15" t="s">
        <v>2872</v>
      </c>
      <c r="I1069" s="15" t="s">
        <v>2895</v>
      </c>
      <c r="J1069" s="15" t="s">
        <v>755</v>
      </c>
      <c r="K1069" s="15" t="s">
        <v>2895</v>
      </c>
      <c r="L1069" s="15" t="s">
        <v>755</v>
      </c>
      <c r="M1069" s="15" t="str">
        <f t="shared" si="16"/>
        <v>insert into dbo.LifeInsJobCode (JobCode,JobGrade,JobDescription,JobGroupCode1,JobGroupName1,JobGroupCode2,JobGroupName2,CreateTime,Creator,ModifyTime,Modifier) VALUES ('21560010','7','教練','','','2156','高空彈跳',getdate(),'Alvin',getdate(),'Alvin')</v>
      </c>
    </row>
    <row r="1070" spans="2:13" ht="13.8">
      <c r="B1070" s="15" t="s">
        <v>2873</v>
      </c>
      <c r="C1070" s="15">
        <v>7</v>
      </c>
      <c r="D1070" s="15" t="s">
        <v>3260</v>
      </c>
      <c r="E1070" s="15" t="s">
        <v>758</v>
      </c>
      <c r="F1070" s="15" t="s">
        <v>758</v>
      </c>
      <c r="G1070" s="15" t="s">
        <v>758</v>
      </c>
      <c r="H1070" s="15" t="s">
        <v>758</v>
      </c>
      <c r="I1070" s="15" t="s">
        <v>2895</v>
      </c>
      <c r="J1070" s="15" t="s">
        <v>755</v>
      </c>
      <c r="K1070" s="15" t="s">
        <v>2895</v>
      </c>
      <c r="L1070" s="15" t="s">
        <v>755</v>
      </c>
      <c r="M1070" s="15" t="str">
        <f t="shared" si="16"/>
        <v>insert into dbo.LifeInsJobCode (JobCode,JobGrade,JobDescription,JobGroupCode1,JobGroupName1,JobGroupCode2,JobGroupName2,CreateTime,Creator,ModifyTime,Modifier) VALUES ('21560020','7','選手','','','','',getdate(),'Alvin',getdate(),'Alvin')</v>
      </c>
    </row>
    <row r="1071" spans="2:13" ht="13.8">
      <c r="B1071" s="15" t="s">
        <v>2875</v>
      </c>
      <c r="C1071" s="15">
        <v>7</v>
      </c>
      <c r="D1071" s="15" t="s">
        <v>2033</v>
      </c>
      <c r="E1071" s="15" t="s">
        <v>758</v>
      </c>
      <c r="F1071" s="15" t="s">
        <v>758</v>
      </c>
      <c r="G1071" s="15" t="s">
        <v>2876</v>
      </c>
      <c r="H1071" s="15" t="s">
        <v>2877</v>
      </c>
      <c r="I1071" s="15" t="s">
        <v>2895</v>
      </c>
      <c r="J1071" s="15" t="s">
        <v>755</v>
      </c>
      <c r="K1071" s="15" t="s">
        <v>2895</v>
      </c>
      <c r="L1071" s="15" t="s">
        <v>755</v>
      </c>
      <c r="M1071" s="15" t="str">
        <f t="shared" si="16"/>
        <v>insert into dbo.LifeInsJobCode (JobCode,JobGrade,JobDescription,JobGroupCode1,JobGroupName1,JobGroupCode2,JobGroupName2,CreateTime,Creator,ModifyTime,Modifier) VALUES ('21570010','7','教練','','','2157','攀岩',getdate(),'Alvin',getdate(),'Alvin')</v>
      </c>
    </row>
    <row r="1072" spans="2:13" ht="13.8">
      <c r="B1072" s="15" t="s">
        <v>2878</v>
      </c>
      <c r="C1072" s="15">
        <v>7</v>
      </c>
      <c r="D1072" s="15" t="s">
        <v>2874</v>
      </c>
      <c r="E1072" s="15" t="s">
        <v>758</v>
      </c>
      <c r="F1072" s="15" t="s">
        <v>758</v>
      </c>
      <c r="G1072" s="15" t="s">
        <v>758</v>
      </c>
      <c r="H1072" s="15" t="s">
        <v>758</v>
      </c>
      <c r="I1072" s="15" t="s">
        <v>2895</v>
      </c>
      <c r="J1072" s="15" t="s">
        <v>755</v>
      </c>
      <c r="K1072" s="15" t="s">
        <v>2895</v>
      </c>
      <c r="L1072" s="15" t="s">
        <v>755</v>
      </c>
      <c r="M1072" s="15" t="str">
        <f t="shared" si="16"/>
        <v>insert into dbo.LifeInsJobCode (JobCode,JobGrade,JobDescription,JobGroupCode1,JobGroupName1,JobGroupCode2,JobGroupName2,CreateTime,Creator,ModifyTime,Modifier) VALUES ('21570020','7','選手','','','','',getdate(),'Alvin',getdate(),'Alvin')</v>
      </c>
    </row>
    <row r="1073" spans="2:13" ht="13.8">
      <c r="B1073" s="15" t="s">
        <v>2879</v>
      </c>
      <c r="C1073" s="15">
        <v>7</v>
      </c>
      <c r="D1073" s="15" t="s">
        <v>2033</v>
      </c>
      <c r="E1073" s="15" t="s">
        <v>758</v>
      </c>
      <c r="F1073" s="15" t="s">
        <v>758</v>
      </c>
      <c r="G1073" s="15" t="s">
        <v>2880</v>
      </c>
      <c r="H1073" s="15" t="s">
        <v>2881</v>
      </c>
      <c r="I1073" s="15" t="s">
        <v>2895</v>
      </c>
      <c r="J1073" s="15" t="s">
        <v>755</v>
      </c>
      <c r="K1073" s="15" t="s">
        <v>2895</v>
      </c>
      <c r="L1073" s="15" t="s">
        <v>755</v>
      </c>
      <c r="M1073" s="15" t="str">
        <f t="shared" si="16"/>
        <v>insert into dbo.LifeInsJobCode (JobCode,JobGrade,JobDescription,JobGroupCode1,JobGroupName1,JobGroupCode2,JobGroupName2,CreateTime,Creator,ModifyTime,Modifier) VALUES ('21580010','7','教練','','','2158','馬球',getdate(),'Alvin',getdate(),'Alvin')</v>
      </c>
    </row>
    <row r="1074" spans="2:13" ht="13.8">
      <c r="B1074" s="15" t="s">
        <v>2882</v>
      </c>
      <c r="C1074" s="15">
        <v>7</v>
      </c>
      <c r="D1074" s="15" t="s">
        <v>2874</v>
      </c>
      <c r="E1074" s="15" t="s">
        <v>758</v>
      </c>
      <c r="F1074" s="15" t="s">
        <v>758</v>
      </c>
      <c r="G1074" s="15" t="s">
        <v>758</v>
      </c>
      <c r="H1074" s="15" t="s">
        <v>758</v>
      </c>
      <c r="I1074" s="15" t="s">
        <v>2895</v>
      </c>
      <c r="J1074" s="15" t="s">
        <v>755</v>
      </c>
      <c r="K1074" s="15" t="s">
        <v>2895</v>
      </c>
      <c r="L1074" s="15" t="s">
        <v>755</v>
      </c>
      <c r="M1074" s="15" t="str">
        <f t="shared" si="16"/>
        <v>insert into dbo.LifeInsJobCode (JobCode,JobGrade,JobDescription,JobGroupCode1,JobGroupName1,JobGroupCode2,JobGroupName2,CreateTime,Creator,ModifyTime,Modifier) VALUES ('21580020','7','選手','','','','',getdate(),'Alvin',getdate(),'Alvin')</v>
      </c>
    </row>
    <row r="1075" spans="2:13" ht="13.8">
      <c r="B1075" s="15" t="s">
        <v>2883</v>
      </c>
      <c r="C1075" s="15">
        <v>2</v>
      </c>
      <c r="D1075" s="15" t="s">
        <v>2033</v>
      </c>
      <c r="E1075" s="15" t="s">
        <v>758</v>
      </c>
      <c r="F1075" s="15" t="s">
        <v>758</v>
      </c>
      <c r="G1075" s="15" t="s">
        <v>2884</v>
      </c>
      <c r="H1075" s="15" t="s">
        <v>2885</v>
      </c>
      <c r="I1075" s="15" t="s">
        <v>2895</v>
      </c>
      <c r="J1075" s="15" t="s">
        <v>755</v>
      </c>
      <c r="K1075" s="15" t="s">
        <v>2895</v>
      </c>
      <c r="L1075" s="15" t="s">
        <v>755</v>
      </c>
      <c r="M1075" s="15" t="str">
        <f t="shared" si="16"/>
        <v>insert into dbo.LifeInsJobCode (JobCode,JobGrade,JobDescription,JobGroupCode1,JobGroupName1,JobGroupCode2,JobGroupName2,CreateTime,Creator,ModifyTime,Modifier) VALUES ('21590010','2','教練','','','2159','劍道',getdate(),'Alvin',getdate(),'Alvin')</v>
      </c>
    </row>
    <row r="1076" spans="2:13" ht="13.8">
      <c r="B1076" s="15" t="s">
        <v>2886</v>
      </c>
      <c r="C1076" s="15">
        <v>3</v>
      </c>
      <c r="D1076" s="15" t="s">
        <v>2874</v>
      </c>
      <c r="E1076" s="15" t="s">
        <v>758</v>
      </c>
      <c r="F1076" s="15" t="s">
        <v>758</v>
      </c>
      <c r="G1076" s="15" t="s">
        <v>758</v>
      </c>
      <c r="H1076" s="15" t="s">
        <v>758</v>
      </c>
      <c r="I1076" s="15" t="s">
        <v>2895</v>
      </c>
      <c r="J1076" s="15" t="s">
        <v>755</v>
      </c>
      <c r="K1076" s="15" t="s">
        <v>2895</v>
      </c>
      <c r="L1076" s="15" t="s">
        <v>755</v>
      </c>
      <c r="M1076" s="15" t="str">
        <f t="shared" si="16"/>
        <v>insert into dbo.LifeInsJobCode (JobCode,JobGrade,JobDescription,JobGroupCode1,JobGroupName1,JobGroupCode2,JobGroupName2,CreateTime,Creator,ModifyTime,Modifier) VALUES ('21590020','3','選手','','','','',getdate(),'Alvin',getdate(),'Alvin')</v>
      </c>
    </row>
    <row r="1077" spans="2:13" ht="13.8">
      <c r="B1077" s="15" t="s">
        <v>2887</v>
      </c>
      <c r="C1077" s="15">
        <v>2</v>
      </c>
      <c r="D1077" s="15" t="s">
        <v>2033</v>
      </c>
      <c r="E1077" s="15" t="s">
        <v>758</v>
      </c>
      <c r="F1077" s="15" t="s">
        <v>758</v>
      </c>
      <c r="G1077" s="15" t="s">
        <v>2888</v>
      </c>
      <c r="H1077" s="15" t="s">
        <v>2889</v>
      </c>
      <c r="I1077" s="15" t="s">
        <v>2895</v>
      </c>
      <c r="J1077" s="15" t="s">
        <v>755</v>
      </c>
      <c r="K1077" s="15" t="s">
        <v>2895</v>
      </c>
      <c r="L1077" s="15" t="s">
        <v>755</v>
      </c>
      <c r="M1077" s="15" t="str">
        <f t="shared" si="16"/>
        <v>insert into dbo.LifeInsJobCode (JobCode,JobGrade,JobDescription,JobGroupCode1,JobGroupName1,JobGroupCode2,JobGroupName2,CreateTime,Creator,ModifyTime,Modifier) VALUES ('21600010','2','教練','','','2160','西洋劍',getdate(),'Alvin',getdate(),'Alvin')</v>
      </c>
    </row>
    <row r="1078" spans="2:13" ht="13.8">
      <c r="B1078" s="15" t="s">
        <v>2890</v>
      </c>
      <c r="C1078" s="15">
        <v>3</v>
      </c>
      <c r="D1078" s="15" t="s">
        <v>2874</v>
      </c>
      <c r="E1078" s="15" t="s">
        <v>758</v>
      </c>
      <c r="F1078" s="15" t="s">
        <v>758</v>
      </c>
      <c r="G1078" s="15" t="s">
        <v>758</v>
      </c>
      <c r="H1078" s="15" t="s">
        <v>758</v>
      </c>
      <c r="I1078" s="15" t="s">
        <v>2895</v>
      </c>
      <c r="J1078" s="15" t="s">
        <v>755</v>
      </c>
      <c r="K1078" s="15" t="s">
        <v>2895</v>
      </c>
      <c r="L1078" s="15" t="s">
        <v>755</v>
      </c>
      <c r="M1078" s="15" t="str">
        <f t="shared" si="16"/>
        <v>insert into dbo.LifeInsJobCode (JobCode,JobGrade,JobDescription,JobGroupCode1,JobGroupName1,JobGroupCode2,JobGroupName2,CreateTime,Creator,ModifyTime,Modifier) VALUES ('21600020','3','選手','','','','',getdate(),'Alvin',getdate(),'Alvin')</v>
      </c>
    </row>
    <row r="1079" spans="2:13" ht="13.8">
      <c r="B1079" s="15" t="s">
        <v>2891</v>
      </c>
      <c r="C1079" s="15">
        <v>1</v>
      </c>
      <c r="D1079" s="15" t="s">
        <v>2033</v>
      </c>
      <c r="E1079" s="15" t="s">
        <v>758</v>
      </c>
      <c r="F1079" s="15" t="s">
        <v>758</v>
      </c>
      <c r="G1079" s="15" t="s">
        <v>2892</v>
      </c>
      <c r="H1079" s="15" t="s">
        <v>2893</v>
      </c>
      <c r="I1079" s="15" t="s">
        <v>2895</v>
      </c>
      <c r="J1079" s="15" t="s">
        <v>755</v>
      </c>
      <c r="K1079" s="15" t="s">
        <v>2895</v>
      </c>
      <c r="L1079" s="15" t="s">
        <v>755</v>
      </c>
      <c r="M1079" s="15" t="str">
        <f t="shared" si="16"/>
        <v>insert into dbo.LifeInsJobCode (JobCode,JobGrade,JobDescription,JobGroupCode1,JobGroupName1,JobGroupCode2,JobGroupName2,CreateTime,Creator,ModifyTime,Modifier) VALUES ('21610010','1','教練','','','2161','槌球',getdate(),'Alvin',getdate(),'Alvin')</v>
      </c>
    </row>
    <row r="1080" spans="2:13" ht="13.8">
      <c r="B1080" s="15" t="s">
        <v>2894</v>
      </c>
      <c r="C1080" s="15">
        <v>2</v>
      </c>
      <c r="D1080" s="15" t="s">
        <v>2874</v>
      </c>
      <c r="E1080" s="15" t="s">
        <v>758</v>
      </c>
      <c r="F1080" s="15" t="s">
        <v>758</v>
      </c>
      <c r="G1080" s="15" t="s">
        <v>758</v>
      </c>
      <c r="H1080" s="15" t="s">
        <v>758</v>
      </c>
      <c r="I1080" s="15" t="s">
        <v>2895</v>
      </c>
      <c r="J1080" s="15" t="s">
        <v>755</v>
      </c>
      <c r="K1080" s="15" t="s">
        <v>2895</v>
      </c>
      <c r="L1080" s="15" t="s">
        <v>755</v>
      </c>
      <c r="M1080" s="15" t="str">
        <f t="shared" si="16"/>
        <v>insert into dbo.LifeInsJobCode (JobCode,JobGrade,JobDescription,JobGroupCode1,JobGroupName1,JobGroupCode2,JobGroupName2,CreateTime,Creator,ModifyTime,Modifier) VALUES ('21610020','2','選手','','','','',getdate(),'Alvin',getdate(),'Alvin')</v>
      </c>
    </row>
  </sheetData>
  <phoneticPr fontId="3" type="noConversion"/>
  <hyperlinks>
    <hyperlink ref="A1" location="目錄!A1" display="回到目錄"/>
  </hyperlinks>
  <pageMargins left="0.7" right="0.7" top="0.75" bottom="0.75" header="0.3" footer="0.3"/>
  <pageSetup paperSize="9" orientation="portrait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"/>
  <dimension ref="A1:S18"/>
  <sheetViews>
    <sheetView workbookViewId="0"/>
  </sheetViews>
  <sheetFormatPr defaultColWidth="11.1796875" defaultRowHeight="13.8"/>
  <cols>
    <col min="1" max="1" width="7.453125" style="10" bestFit="1" customWidth="1"/>
    <col min="2" max="2" width="4.36328125" style="14" bestFit="1" customWidth="1"/>
    <col min="3" max="3" width="12.81640625" style="15" bestFit="1" customWidth="1"/>
    <col min="4" max="4" width="12.08984375" style="15" bestFit="1" customWidth="1"/>
    <col min="5" max="5" width="7.54296875" style="14" bestFit="1" customWidth="1"/>
    <col min="6" max="6" width="10" style="10" bestFit="1" customWidth="1"/>
    <col min="7" max="7" width="10.6328125" style="10" bestFit="1" customWidth="1"/>
    <col min="8" max="8" width="25.08984375" style="15" bestFit="1" customWidth="1"/>
    <col min="9" max="9" width="10.08984375" style="15" bestFit="1" customWidth="1"/>
    <col min="10" max="12" width="3.6328125" style="14" bestFit="1" customWidth="1"/>
    <col min="13" max="13" width="12.54296875" style="10" bestFit="1" customWidth="1"/>
    <col min="14" max="16384" width="11.1796875" style="10"/>
  </cols>
  <sheetData>
    <row r="1" spans="1:19" s="17" customFormat="1">
      <c r="A1" s="23" t="s">
        <v>36</v>
      </c>
      <c r="B1" s="5" t="s">
        <v>5</v>
      </c>
      <c r="C1" s="20" t="s">
        <v>3</v>
      </c>
      <c r="D1" s="20" t="s">
        <v>4</v>
      </c>
      <c r="E1" s="7" t="s">
        <v>6</v>
      </c>
      <c r="F1" s="8" t="s">
        <v>13</v>
      </c>
      <c r="G1" s="8" t="s">
        <v>7</v>
      </c>
      <c r="H1" s="9" t="s">
        <v>8</v>
      </c>
      <c r="I1" s="9" t="s">
        <v>139</v>
      </c>
      <c r="J1" s="33"/>
      <c r="K1" s="33"/>
      <c r="L1" s="72" t="s">
        <v>240</v>
      </c>
      <c r="M1" s="72" t="s">
        <v>4157</v>
      </c>
      <c r="N1" s="72" t="s">
        <v>470</v>
      </c>
      <c r="O1" s="72" t="s">
        <v>471</v>
      </c>
      <c r="P1" s="72" t="s">
        <v>472</v>
      </c>
      <c r="Q1" s="72" t="s">
        <v>473</v>
      </c>
      <c r="R1" s="72" t="s">
        <v>474</v>
      </c>
      <c r="S1" s="73" t="s">
        <v>475</v>
      </c>
    </row>
    <row r="2" spans="1:19">
      <c r="B2" s="14" t="s">
        <v>14</v>
      </c>
      <c r="C2" s="13" t="s">
        <v>80</v>
      </c>
      <c r="D2" s="18" t="s">
        <v>24</v>
      </c>
      <c r="E2" s="11"/>
      <c r="F2" s="12"/>
      <c r="G2" s="12" t="s">
        <v>81</v>
      </c>
      <c r="H2" s="15" t="s">
        <v>498</v>
      </c>
      <c r="I2" s="24"/>
      <c r="L2" s="36"/>
      <c r="M2" s="34"/>
      <c r="N2" s="36" t="str">
        <f>"EXEC sp_dropextendedproperty @name = N'MS_Description', @level0type=N'SCHEMA',@level0name=N'"&amp;$L$1&amp;"', @level1type=N'TABLE',@level1name=N'"&amp;$M$1&amp;"', @level2type=N'COLUMN',@level2name=N'"&amp;$C2&amp;"'"</f>
        <v>EXEC sp_dropextendedproperty @name = N'MS_Description', @level0type=N'SCHEMA',@level0name=N'dbo', @level1type=N'TABLE',@level1name=N'LifeInsUWRuleDescription', @level2type=N'COLUMN',@level2name=N'PlanCode'</v>
      </c>
      <c r="O2" s="36" t="str">
        <f>"EXEC sp_dropextendedproperty @name = N'Rule', @level0type=N'SCHEMA',@level0name=N'"&amp;$L$1&amp;"', @level1type=N'TABLE',@level1name=N'"&amp;$M$1&amp;"', @level2type=N'COLUMN',@level2name=N'"&amp;$C2&amp;"'"</f>
        <v>EXEC sp_dropextendedproperty @name = N'Rule', @level0type=N'SCHEMA',@level0name=N'dbo', @level1type=N'TABLE',@level1name=N'LifeInsUWRuleDescription', @level2type=N'COLUMN',@level2name=N'PlanCode'</v>
      </c>
      <c r="P2" s="36" t="str">
        <f>"EXEC sp_dropextendedproperty @name = N'Memo', @level0type=N'SCHEMA',@level0name=N'"&amp;$L$1&amp;"', @level1type=N'TABLE',@level1name=N'"&amp;$M$1&amp;"', @level2type=N'COLUMN',@level2name=N'"&amp;$C2&amp;"'"</f>
        <v>EXEC sp_dropextendedproperty @name = N'Memo', @level0type=N'SCHEMA',@level0name=N'dbo', @level1type=N'TABLE',@level1name=N'LifeInsUWRuleDescription', @level2type=N'COLUMN',@level2name=N'PlanCode'</v>
      </c>
      <c r="Q2" s="36" t="str">
        <f>"set @OldWording = N'"&amp;SUBSTITUTE($G2,CHAR(10),"")&amp;"'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@level2type=N'COLUMN',@level2name=N'"&amp;$C2&amp;"'"</f>
        <v>set @OldWording = N'險種代碼' set @NewWording = REPLACE(@OldWording,'***',char(13)+char(10)) EXEC sys.sp_addextendedproperty @name=N'MS_Description', @value=@NewWording , @level0type=N'SCHEMA',@level0name=N'dbo', @level1type=N'TABLE',@level1name=N'LifeInsUWRuleDescription', @level2type=N'COLUMN',@level2name=N'PlanCode'</v>
      </c>
      <c r="R2" s="32" t="str">
        <f>"set @OldWording = N'"&amp;SUBSTITUTE($H2,CHAR(10),"")&amp;"'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@level2type=N'COLUMN',@level2name=N'"&amp;$C2&amp;"'"</f>
        <v>set @OldWording = N'*=不依險種' set @NewWording = REPLACE(@OldWording,'***',char(13)+char(10)) EXEC sys.sp_addextendedproperty @name=N'Rule', @value=@NewWording , @level0type=N'SCHEMA',@level0name=N'dbo', @level1type=N'TABLE',@level1name=N'LifeInsUWRuleDescription', @level2type=N'COLUMN',@level2name=N'PlanCode'</v>
      </c>
      <c r="S2" s="36" t="str">
        <f>"set @OldWording = N'"&amp;SUBSTITUTE($I2,CHAR(10),"")&amp;"' set @NewWording = REPLACE(@OldWording,'***',char(13)+char(10)) "&amp;"EXEC sys.sp_addextendedproperty @name=N'Memo',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@name=N'Memo', @value=@NewWording , @level0type=N'SCHEMA',@level0name=N'dbo', @level1type=N'TABLE',@level1name=N'LifeInsUWRuleDescription', @level2type=N'COLUMN',@level2name=N'PlanCode'</v>
      </c>
    </row>
    <row r="3" spans="1:19">
      <c r="B3" s="14" t="s">
        <v>14</v>
      </c>
      <c r="C3" s="47" t="s">
        <v>372</v>
      </c>
      <c r="D3" s="47" t="s">
        <v>23</v>
      </c>
      <c r="E3" s="46"/>
      <c r="F3" s="45"/>
      <c r="G3" s="45" t="s">
        <v>97</v>
      </c>
      <c r="H3" s="24"/>
      <c r="I3" s="24"/>
    </row>
    <row r="4" spans="1:19">
      <c r="C4" s="13" t="s">
        <v>4158</v>
      </c>
      <c r="D4" s="18" t="s">
        <v>4159</v>
      </c>
      <c r="E4" s="11"/>
      <c r="F4" s="12"/>
      <c r="G4" s="10" t="s">
        <v>4160</v>
      </c>
      <c r="H4" s="24"/>
      <c r="I4" s="24"/>
    </row>
    <row r="5" spans="1:19">
      <c r="C5" s="12" t="s">
        <v>69</v>
      </c>
      <c r="D5" s="12" t="s">
        <v>11</v>
      </c>
      <c r="E5" s="11" t="s">
        <v>16</v>
      </c>
      <c r="F5" s="13" t="s">
        <v>20</v>
      </c>
      <c r="G5" s="12" t="s">
        <v>30</v>
      </c>
    </row>
    <row r="6" spans="1:19">
      <c r="C6" s="12" t="s">
        <v>1</v>
      </c>
      <c r="D6" s="12" t="s">
        <v>37</v>
      </c>
      <c r="E6" s="11"/>
      <c r="F6" s="13"/>
      <c r="G6" s="12" t="s">
        <v>31</v>
      </c>
    </row>
    <row r="7" spans="1:19">
      <c r="C7" s="12" t="s">
        <v>19</v>
      </c>
      <c r="D7" s="12" t="s">
        <v>11</v>
      </c>
      <c r="E7" s="11" t="s">
        <v>16</v>
      </c>
      <c r="F7" s="13" t="s">
        <v>20</v>
      </c>
      <c r="G7" s="12" t="s">
        <v>32</v>
      </c>
    </row>
    <row r="8" spans="1:19">
      <c r="C8" s="12" t="s">
        <v>70</v>
      </c>
      <c r="D8" s="12" t="s">
        <v>37</v>
      </c>
      <c r="E8" s="11"/>
      <c r="F8" s="13"/>
      <c r="G8" s="12" t="s">
        <v>33</v>
      </c>
    </row>
    <row r="11" spans="1:19">
      <c r="B11" s="10"/>
    </row>
    <row r="12" spans="1:19">
      <c r="B12" s="10"/>
    </row>
    <row r="13" spans="1:19">
      <c r="B13" s="10"/>
    </row>
    <row r="14" spans="1:19">
      <c r="B14" s="10"/>
    </row>
    <row r="15" spans="1:19">
      <c r="B15" s="10"/>
    </row>
    <row r="16" spans="1:19">
      <c r="B16" s="10"/>
    </row>
    <row r="17" spans="2:2">
      <c r="B17" s="10"/>
    </row>
    <row r="18" spans="2:2">
      <c r="B18" s="10"/>
    </row>
  </sheetData>
  <phoneticPr fontId="3" type="noConversion"/>
  <hyperlinks>
    <hyperlink ref="A1" location="目錄!A1" display="回到目錄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"/>
  <dimension ref="A1:S24"/>
  <sheetViews>
    <sheetView workbookViewId="0">
      <selection activeCell="C7" sqref="C7"/>
    </sheetView>
  </sheetViews>
  <sheetFormatPr defaultColWidth="11.1796875" defaultRowHeight="13.8"/>
  <cols>
    <col min="1" max="1" width="7.453125" style="10" bestFit="1" customWidth="1"/>
    <col min="2" max="2" width="4.36328125" style="14" bestFit="1" customWidth="1"/>
    <col min="3" max="3" width="12.81640625" style="15" bestFit="1" customWidth="1"/>
    <col min="4" max="4" width="12.08984375" style="15" bestFit="1" customWidth="1"/>
    <col min="5" max="5" width="7.54296875" style="14" bestFit="1" customWidth="1"/>
    <col min="6" max="6" width="10" style="10" bestFit="1" customWidth="1"/>
    <col min="7" max="7" width="10.6328125" style="10" bestFit="1" customWidth="1"/>
    <col min="8" max="8" width="33.6328125" style="15" customWidth="1"/>
    <col min="9" max="9" width="10.08984375" style="15" bestFit="1" customWidth="1"/>
    <col min="10" max="12" width="3.6328125" style="14" bestFit="1" customWidth="1"/>
    <col min="13" max="13" width="12.54296875" style="10" bestFit="1" customWidth="1"/>
    <col min="14" max="16384" width="11.1796875" style="10"/>
  </cols>
  <sheetData>
    <row r="1" spans="1:19" s="17" customFormat="1">
      <c r="A1" s="23" t="s">
        <v>36</v>
      </c>
      <c r="B1" s="5" t="s">
        <v>5</v>
      </c>
      <c r="C1" s="20" t="s">
        <v>3</v>
      </c>
      <c r="D1" s="20" t="s">
        <v>4</v>
      </c>
      <c r="E1" s="7" t="s">
        <v>6</v>
      </c>
      <c r="F1" s="8" t="s">
        <v>13</v>
      </c>
      <c r="G1" s="8" t="s">
        <v>7</v>
      </c>
      <c r="H1" s="9" t="s">
        <v>8</v>
      </c>
      <c r="I1" s="9" t="s">
        <v>139</v>
      </c>
      <c r="J1" s="33"/>
      <c r="K1" s="33"/>
      <c r="L1" s="72" t="s">
        <v>240</v>
      </c>
      <c r="M1" s="72" t="s">
        <v>130</v>
      </c>
      <c r="N1" s="72" t="s">
        <v>470</v>
      </c>
      <c r="O1" s="72" t="s">
        <v>471</v>
      </c>
      <c r="P1" s="72" t="s">
        <v>472</v>
      </c>
      <c r="Q1" s="72" t="s">
        <v>473</v>
      </c>
      <c r="R1" s="72" t="s">
        <v>474</v>
      </c>
      <c r="S1" s="73" t="s">
        <v>475</v>
      </c>
    </row>
    <row r="2" spans="1:19">
      <c r="B2" s="14" t="s">
        <v>14</v>
      </c>
      <c r="C2" s="13" t="s">
        <v>80</v>
      </c>
      <c r="D2" s="18" t="s">
        <v>24</v>
      </c>
      <c r="E2" s="11"/>
      <c r="F2" s="12"/>
      <c r="G2" s="12" t="s">
        <v>81</v>
      </c>
      <c r="H2" s="15" t="s">
        <v>498</v>
      </c>
      <c r="I2" s="24"/>
      <c r="L2" s="36"/>
      <c r="M2" s="34"/>
      <c r="N2" s="36" t="str">
        <f>"EXEC sp_dropextendedproperty @name = N'MS_Description', @level0type=N'SCHEMA',@level0name=N'"&amp;$L$1&amp;"', @level1type=N'TABLE',@level1name=N'"&amp;$M$1&amp;"', @level2type=N'COLUMN',@level2name=N'"&amp;$C2&amp;"'"</f>
        <v>EXEC sp_dropextendedproperty @name = N'MS_Description', @level0type=N'SCHEMA',@level0name=N'dbo', @level1type=N'TABLE',@level1name=N'LifeInsUWRule', @level2type=N'COLUMN',@level2name=N'PlanCode'</v>
      </c>
      <c r="O2" s="36" t="str">
        <f>"EXEC sp_dropextendedproperty @name = N'Rule', @level0type=N'SCHEMA',@level0name=N'"&amp;$L$1&amp;"', @level1type=N'TABLE',@level1name=N'"&amp;$M$1&amp;"', @level2type=N'COLUMN',@level2name=N'"&amp;$C2&amp;"'"</f>
        <v>EXEC sp_dropextendedproperty @name = N'Rule', @level0type=N'SCHEMA',@level0name=N'dbo', @level1type=N'TABLE',@level1name=N'LifeInsUWRule', @level2type=N'COLUMN',@level2name=N'PlanCode'</v>
      </c>
      <c r="P2" s="36" t="str">
        <f>"EXEC sp_dropextendedproperty @name = N'Memo', @level0type=N'SCHEMA',@level0name=N'"&amp;$L$1&amp;"', @level1type=N'TABLE',@level1name=N'"&amp;$M$1&amp;"', @level2type=N'COLUMN',@level2name=N'"&amp;$C2&amp;"'"</f>
        <v>EXEC sp_dropextendedproperty @name = N'Memo', @level0type=N'SCHEMA',@level0name=N'dbo', @level1type=N'TABLE',@level1name=N'LifeInsUWRule', @level2type=N'COLUMN',@level2name=N'PlanCode'</v>
      </c>
      <c r="Q2" s="36" t="str">
        <f>"set @OldWording = N'"&amp;SUBSTITUTE($G2,CHAR(10),"")&amp;"'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@level2type=N'COLUMN',@level2name=N'"&amp;$C2&amp;"'"</f>
        <v>set @OldWording = N'險種代碼' set @NewWording = REPLACE(@OldWording,'***',char(13)+char(10)) EXEC sys.sp_addextendedproperty @name=N'MS_Description', @value=@NewWording , @level0type=N'SCHEMA',@level0name=N'dbo', @level1type=N'TABLE',@level1name=N'LifeInsUWRule', @level2type=N'COLUMN',@level2name=N'PlanCode'</v>
      </c>
      <c r="R2" s="32" t="str">
        <f>"set @OldWording = N'"&amp;SUBSTITUTE($H2,CHAR(10),"")&amp;"'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@level2type=N'COLUMN',@level2name=N'"&amp;$C2&amp;"'"</f>
        <v>set @OldWording = N'*=不依險種' set @NewWording = REPLACE(@OldWording,'***',char(13)+char(10)) EXEC sys.sp_addextendedproperty @name=N'Rule', @value=@NewWording , @level0type=N'SCHEMA',@level0name=N'dbo', @level1type=N'TABLE',@level1name=N'LifeInsUWRule', @level2type=N'COLUMN',@level2name=N'PlanCode'</v>
      </c>
      <c r="S2" s="36" t="str">
        <f>"set @OldWording = N'"&amp;SUBSTITUTE($I2,CHAR(10),"")&amp;"' set @NewWording = REPLACE(@OldWording,'***',char(13)+char(10)) "&amp;"EXEC sys.sp_addextendedproperty @name=N'Memo',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@name=N'Memo', @value=@NewWording , @level0type=N'SCHEMA',@level0name=N'dbo', @level1type=N'TABLE',@level1name=N'LifeInsUWRule', @level2type=N'COLUMN',@level2name=N'PlanCode'</v>
      </c>
    </row>
    <row r="3" spans="1:19">
      <c r="B3" s="14" t="s">
        <v>14</v>
      </c>
      <c r="C3" s="47" t="s">
        <v>372</v>
      </c>
      <c r="D3" s="47" t="s">
        <v>23</v>
      </c>
      <c r="E3" s="46"/>
      <c r="F3" s="45"/>
      <c r="G3" s="45" t="s">
        <v>97</v>
      </c>
      <c r="H3" s="24"/>
      <c r="I3" s="24"/>
    </row>
    <row r="4" spans="1:19">
      <c r="C4" s="13" t="s">
        <v>501</v>
      </c>
      <c r="D4" s="18" t="s">
        <v>135</v>
      </c>
      <c r="E4" s="11"/>
      <c r="F4" s="12"/>
      <c r="G4" s="10" t="s">
        <v>137</v>
      </c>
      <c r="H4" s="24"/>
      <c r="I4" s="24" t="s">
        <v>300</v>
      </c>
    </row>
    <row r="5" spans="1:19">
      <c r="C5" s="13" t="s">
        <v>500</v>
      </c>
      <c r="D5" s="18" t="s">
        <v>135</v>
      </c>
      <c r="E5" s="11"/>
      <c r="F5" s="12"/>
      <c r="G5" s="12" t="s">
        <v>499</v>
      </c>
      <c r="H5" s="24"/>
      <c r="I5" s="24" t="s">
        <v>301</v>
      </c>
    </row>
    <row r="6" spans="1:19">
      <c r="C6" s="13" t="s">
        <v>4696</v>
      </c>
      <c r="D6" s="18" t="s">
        <v>47</v>
      </c>
      <c r="E6" s="11"/>
      <c r="F6" s="12"/>
      <c r="G6" s="12" t="s">
        <v>4697</v>
      </c>
      <c r="H6" s="24"/>
      <c r="I6" s="24" t="s">
        <v>4698</v>
      </c>
    </row>
    <row r="7" spans="1:19" ht="27.6">
      <c r="C7" s="15" t="s">
        <v>3719</v>
      </c>
      <c r="D7" s="13" t="s">
        <v>21</v>
      </c>
      <c r="F7" s="15"/>
      <c r="G7" s="15" t="s">
        <v>353</v>
      </c>
      <c r="H7" s="24" t="s">
        <v>4991</v>
      </c>
      <c r="I7" s="27" t="s">
        <v>265</v>
      </c>
    </row>
    <row r="8" spans="1:19">
      <c r="C8" s="12" t="s">
        <v>3407</v>
      </c>
      <c r="D8" s="12" t="s">
        <v>2993</v>
      </c>
      <c r="E8" s="11"/>
      <c r="G8" s="12" t="s">
        <v>3409</v>
      </c>
      <c r="H8" s="24" t="s">
        <v>3412</v>
      </c>
    </row>
    <row r="9" spans="1:19">
      <c r="C9" s="12" t="s">
        <v>3408</v>
      </c>
      <c r="D9" s="12" t="s">
        <v>2993</v>
      </c>
      <c r="E9" s="11"/>
      <c r="F9" s="13"/>
      <c r="G9" s="12" t="s">
        <v>3410</v>
      </c>
      <c r="H9" s="24" t="s">
        <v>3411</v>
      </c>
    </row>
    <row r="10" spans="1:19">
      <c r="C10" s="12" t="s">
        <v>2994</v>
      </c>
      <c r="D10" s="12" t="s">
        <v>2995</v>
      </c>
      <c r="E10" s="11"/>
      <c r="F10" s="13"/>
      <c r="G10" s="12" t="s">
        <v>3406</v>
      </c>
    </row>
    <row r="11" spans="1:19">
      <c r="C11" s="12" t="s">
        <v>69</v>
      </c>
      <c r="D11" s="12" t="s">
        <v>11</v>
      </c>
      <c r="E11" s="11" t="s">
        <v>16</v>
      </c>
      <c r="F11" s="13" t="s">
        <v>20</v>
      </c>
      <c r="G11" s="12" t="s">
        <v>30</v>
      </c>
    </row>
    <row r="12" spans="1:19">
      <c r="C12" s="12" t="s">
        <v>1</v>
      </c>
      <c r="D12" s="12" t="s">
        <v>37</v>
      </c>
      <c r="E12" s="11"/>
      <c r="F12" s="13"/>
      <c r="G12" s="12" t="s">
        <v>31</v>
      </c>
    </row>
    <row r="13" spans="1:19">
      <c r="C13" s="12" t="s">
        <v>19</v>
      </c>
      <c r="D13" s="12" t="s">
        <v>11</v>
      </c>
      <c r="E13" s="11" t="s">
        <v>16</v>
      </c>
      <c r="F13" s="13" t="s">
        <v>20</v>
      </c>
      <c r="G13" s="12" t="s">
        <v>32</v>
      </c>
    </row>
    <row r="14" spans="1:19">
      <c r="C14" s="12" t="s">
        <v>70</v>
      </c>
      <c r="D14" s="12" t="s">
        <v>37</v>
      </c>
      <c r="E14" s="11"/>
      <c r="F14" s="13"/>
      <c r="G14" s="12" t="s">
        <v>33</v>
      </c>
    </row>
    <row r="17" spans="2:2">
      <c r="B17" s="10"/>
    </row>
    <row r="18" spans="2:2">
      <c r="B18" s="10"/>
    </row>
    <row r="19" spans="2:2">
      <c r="B19" s="10"/>
    </row>
    <row r="20" spans="2:2">
      <c r="B20" s="10"/>
    </row>
    <row r="21" spans="2:2">
      <c r="B21" s="10"/>
    </row>
    <row r="22" spans="2:2">
      <c r="B22" s="10"/>
    </row>
    <row r="23" spans="2:2">
      <c r="B23" s="10"/>
    </row>
    <row r="24" spans="2:2">
      <c r="B24" s="10"/>
    </row>
  </sheetData>
  <phoneticPr fontId="3" type="noConversion"/>
  <hyperlinks>
    <hyperlink ref="A1" location="目錄!A1" display="回到目錄"/>
  </hyperlinks>
  <pageMargins left="0.7" right="0.7" top="0.75" bottom="0.75" header="0.3" footer="0.3"/>
  <pageSetup paperSize="9" orientation="portrait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5"/>
  <dimension ref="A1:S12"/>
  <sheetViews>
    <sheetView workbookViewId="0"/>
  </sheetViews>
  <sheetFormatPr defaultColWidth="11.1796875" defaultRowHeight="13.8"/>
  <cols>
    <col min="1" max="1" width="7.453125" style="10" bestFit="1" customWidth="1"/>
    <col min="2" max="2" width="4.36328125" style="14" bestFit="1" customWidth="1"/>
    <col min="3" max="3" width="12.54296875" style="15" bestFit="1" customWidth="1"/>
    <col min="4" max="4" width="12.08984375" style="15" bestFit="1" customWidth="1"/>
    <col min="5" max="5" width="7.54296875" style="14" bestFit="1" customWidth="1"/>
    <col min="6" max="6" width="10" style="10" bestFit="1" customWidth="1"/>
    <col min="7" max="7" width="10.6328125" style="10" bestFit="1" customWidth="1"/>
    <col min="8" max="8" width="34.7265625" style="15" customWidth="1"/>
    <col min="9" max="9" width="10.08984375" style="15" bestFit="1" customWidth="1"/>
    <col min="10" max="10" width="5.08984375" style="10" customWidth="1"/>
    <col min="11" max="11" width="11.1796875" style="10"/>
    <col min="12" max="12" width="4.26953125" style="10" bestFit="1" customWidth="1"/>
    <col min="13" max="13" width="20.1796875" style="10" bestFit="1" customWidth="1"/>
    <col min="14" max="16384" width="11.1796875" style="10"/>
  </cols>
  <sheetData>
    <row r="1" spans="1:19" s="17" customFormat="1">
      <c r="A1" s="23" t="s">
        <v>36</v>
      </c>
      <c r="B1" s="5" t="s">
        <v>5</v>
      </c>
      <c r="C1" s="20" t="s">
        <v>3</v>
      </c>
      <c r="D1" s="20" t="s">
        <v>4</v>
      </c>
      <c r="E1" s="7" t="s">
        <v>6</v>
      </c>
      <c r="F1" s="8" t="s">
        <v>13</v>
      </c>
      <c r="G1" s="8" t="s">
        <v>7</v>
      </c>
      <c r="H1" s="9" t="s">
        <v>8</v>
      </c>
      <c r="I1" s="9" t="s">
        <v>139</v>
      </c>
      <c r="J1" s="33"/>
      <c r="L1" s="72" t="s">
        <v>240</v>
      </c>
      <c r="M1" s="72" t="s">
        <v>3661</v>
      </c>
      <c r="N1" s="72" t="s">
        <v>470</v>
      </c>
      <c r="O1" s="72" t="s">
        <v>471</v>
      </c>
      <c r="P1" s="72" t="s">
        <v>472</v>
      </c>
      <c r="Q1" s="72" t="s">
        <v>473</v>
      </c>
      <c r="R1" s="72" t="s">
        <v>474</v>
      </c>
      <c r="S1" s="73" t="s">
        <v>475</v>
      </c>
    </row>
    <row r="2" spans="1:19" ht="15">
      <c r="B2" s="14" t="s">
        <v>14</v>
      </c>
      <c r="C2" s="13" t="s">
        <v>80</v>
      </c>
      <c r="D2" s="18" t="s">
        <v>24</v>
      </c>
      <c r="E2" s="11"/>
      <c r="F2" s="12"/>
      <c r="G2" s="12" t="s">
        <v>81</v>
      </c>
      <c r="I2" s="24"/>
      <c r="J2" s="14"/>
      <c r="K2"/>
      <c r="L2" s="36"/>
      <c r="M2" s="34"/>
      <c r="N2" s="36" t="str">
        <f>"EXEC sp_dropextendedproperty @name = N'MS_Description', @level0type=N'SCHEMA',@level0name=N'"&amp;$L$1&amp;"', @level1type=N'TABLE',@level1name=N'"&amp;$M$1&amp;"', @level2type=N'COLUMN',@level2name=N'"&amp;$C2&amp;"'"</f>
        <v>EXEC sp_dropextendedproperty @name = N'MS_Description', @level0type=N'SCHEMA',@level0name=N'dbo', @level1type=N'TABLE',@level1name=N'LifeInsUWParam', @level2type=N'COLUMN',@level2name=N'PlanCode'</v>
      </c>
      <c r="O2" s="36" t="str">
        <f>"EXEC sp_dropextendedproperty @name = N'Rule', @level0type=N'SCHEMA',@level0name=N'"&amp;$L$1&amp;"', @level1type=N'TABLE',@level1name=N'"&amp;$M$1&amp;"', @level2type=N'COLUMN',@level2name=N'"&amp;$C2&amp;"'"</f>
        <v>EXEC sp_dropextendedproperty @name = N'Rule', @level0type=N'SCHEMA',@level0name=N'dbo', @level1type=N'TABLE',@level1name=N'LifeInsUWParam', @level2type=N'COLUMN',@level2name=N'PlanCode'</v>
      </c>
      <c r="P2" s="36" t="str">
        <f>"EXEC sp_dropextendedproperty @name = N'Memo', @level0type=N'SCHEMA',@level0name=N'"&amp;$L$1&amp;"', @level1type=N'TABLE',@level1name=N'"&amp;$M$1&amp;"', @level2type=N'COLUMN',@level2name=N'"&amp;$C2&amp;"'"</f>
        <v>EXEC sp_dropextendedproperty @name = N'Memo', @level0type=N'SCHEMA',@level0name=N'dbo', @level1type=N'TABLE',@level1name=N'LifeInsUWParam', @level2type=N'COLUMN',@level2name=N'PlanCode'</v>
      </c>
      <c r="Q2" s="36" t="str">
        <f>"set @OldWording = N'"&amp;SUBSTITUTE($G2,CHAR(10),"")&amp;"'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@level2type=N'COLUMN',@level2name=N'"&amp;$C2&amp;"'"</f>
        <v>set @OldWording = N'險種代碼' set @NewWording = REPLACE(@OldWording,'***',char(13)+char(10)) EXEC sys.sp_addextendedproperty @name=N'MS_Description', @value=@NewWording , @level0type=N'SCHEMA',@level0name=N'dbo', @level1type=N'TABLE',@level1name=N'LifeInsUWParam', @level2type=N'COLUMN',@level2name=N'PlanCode'</v>
      </c>
      <c r="R2" s="32" t="str">
        <f>"set @OldWording = N'"&amp;SUBSTITUTE($H2,CHAR(10),"")&amp;"'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@name=N'Rule', @value=@NewWording , @level0type=N'SCHEMA',@level0name=N'dbo', @level1type=N'TABLE',@level1name=N'LifeInsUWParam', @level2type=N'COLUMN',@level2name=N'PlanCode'</v>
      </c>
      <c r="S2" s="36" t="str">
        <f>"set @OldWording = N'"&amp;SUBSTITUTE($I2,CHAR(10),"")&amp;"' set @NewWording = REPLACE(@OldWording,'***',char(13)+char(10)) "&amp;"EXEC sys.sp_addextendedproperty @name=N'Memo',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@name=N'Memo', @value=@NewWording , @level0type=N'SCHEMA',@level0name=N'dbo', @level1type=N'TABLE',@level1name=N'LifeInsUWParam', @level2type=N'COLUMN',@level2name=N'PlanCode'</v>
      </c>
    </row>
    <row r="3" spans="1:19" s="45" customFormat="1">
      <c r="B3" s="46" t="s">
        <v>14</v>
      </c>
      <c r="C3" s="47" t="s">
        <v>372</v>
      </c>
      <c r="D3" s="47" t="s">
        <v>23</v>
      </c>
      <c r="E3" s="46"/>
      <c r="G3" s="45" t="s">
        <v>97</v>
      </c>
      <c r="H3" s="47"/>
      <c r="I3" s="47"/>
      <c r="J3" s="46"/>
    </row>
    <row r="4" spans="1:19" s="45" customFormat="1">
      <c r="B4" s="46"/>
      <c r="C4" s="13" t="s">
        <v>501</v>
      </c>
      <c r="D4" s="18" t="s">
        <v>135</v>
      </c>
      <c r="E4" s="11"/>
      <c r="F4" s="12"/>
      <c r="G4" s="10" t="s">
        <v>137</v>
      </c>
      <c r="H4" s="24"/>
      <c r="I4" s="24" t="s">
        <v>300</v>
      </c>
      <c r="J4" s="46"/>
    </row>
    <row r="5" spans="1:19" s="45" customFormat="1">
      <c r="B5" s="46"/>
      <c r="C5" s="13" t="s">
        <v>133</v>
      </c>
      <c r="D5" s="18" t="s">
        <v>239</v>
      </c>
      <c r="E5" s="11"/>
      <c r="F5" s="12"/>
      <c r="G5" s="12" t="s">
        <v>131</v>
      </c>
      <c r="H5" s="48"/>
      <c r="I5" s="47"/>
      <c r="J5" s="46"/>
    </row>
    <row r="6" spans="1:19" s="45" customFormat="1" ht="27.6">
      <c r="B6" s="46"/>
      <c r="C6" s="15" t="s">
        <v>3719</v>
      </c>
      <c r="D6" s="13" t="s">
        <v>21</v>
      </c>
      <c r="E6" s="14"/>
      <c r="F6" s="15"/>
      <c r="G6" s="15" t="s">
        <v>353</v>
      </c>
      <c r="H6" s="24" t="s">
        <v>4990</v>
      </c>
      <c r="I6" s="27" t="s">
        <v>265</v>
      </c>
      <c r="J6" s="46"/>
    </row>
    <row r="7" spans="1:19" s="45" customFormat="1">
      <c r="B7" s="46"/>
      <c r="C7" s="12" t="s">
        <v>3407</v>
      </c>
      <c r="D7" s="12" t="s">
        <v>2993</v>
      </c>
      <c r="E7" s="11"/>
      <c r="F7" s="10"/>
      <c r="G7" s="12" t="s">
        <v>3409</v>
      </c>
      <c r="H7" s="24" t="s">
        <v>3414</v>
      </c>
      <c r="I7" s="47"/>
      <c r="J7" s="46"/>
    </row>
    <row r="8" spans="1:19" ht="15">
      <c r="C8" s="12" t="s">
        <v>3408</v>
      </c>
      <c r="D8" s="12" t="s">
        <v>2993</v>
      </c>
      <c r="E8" s="11"/>
      <c r="F8" s="13"/>
      <c r="G8" s="12" t="s">
        <v>3413</v>
      </c>
      <c r="H8" s="24"/>
      <c r="I8" s="24"/>
      <c r="J8" s="14"/>
      <c r="K8"/>
    </row>
    <row r="9" spans="1:19" ht="15">
      <c r="C9" s="12" t="s">
        <v>69</v>
      </c>
      <c r="D9" s="12" t="s">
        <v>11</v>
      </c>
      <c r="E9" s="11" t="s">
        <v>16</v>
      </c>
      <c r="F9" s="13" t="s">
        <v>20</v>
      </c>
      <c r="G9" s="12" t="s">
        <v>30</v>
      </c>
      <c r="J9" s="14"/>
      <c r="K9"/>
    </row>
    <row r="10" spans="1:19" ht="15">
      <c r="C10" s="12" t="s">
        <v>1</v>
      </c>
      <c r="D10" s="12" t="s">
        <v>37</v>
      </c>
      <c r="E10" s="11"/>
      <c r="F10" s="13"/>
      <c r="G10" s="12" t="s">
        <v>31</v>
      </c>
      <c r="J10" s="14"/>
      <c r="K10"/>
    </row>
    <row r="11" spans="1:19" ht="15">
      <c r="C11" s="12" t="s">
        <v>19</v>
      </c>
      <c r="D11" s="12" t="s">
        <v>11</v>
      </c>
      <c r="E11" s="11" t="s">
        <v>16</v>
      </c>
      <c r="F11" s="13" t="s">
        <v>20</v>
      </c>
      <c r="G11" s="12" t="s">
        <v>32</v>
      </c>
      <c r="J11" s="14"/>
      <c r="K11"/>
    </row>
    <row r="12" spans="1:19" ht="15">
      <c r="C12" s="12" t="s">
        <v>70</v>
      </c>
      <c r="D12" s="12" t="s">
        <v>37</v>
      </c>
      <c r="E12" s="11"/>
      <c r="F12" s="13"/>
      <c r="G12" s="12" t="s">
        <v>33</v>
      </c>
      <c r="J12" s="14"/>
      <c r="K12"/>
    </row>
  </sheetData>
  <phoneticPr fontId="3" type="noConversion"/>
  <hyperlinks>
    <hyperlink ref="A1" location="目錄!A1" display="回到目錄"/>
  </hyperlinks>
  <pageMargins left="0.7" right="0.7" top="0.75" bottom="0.75" header="0.3" footer="0.3"/>
  <pageSetup paperSize="9" orientation="portrait" horizontalDpi="300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7"/>
  <dimension ref="A1:M11"/>
  <sheetViews>
    <sheetView workbookViewId="0"/>
  </sheetViews>
  <sheetFormatPr defaultColWidth="11.1796875" defaultRowHeight="13.8"/>
  <cols>
    <col min="1" max="1" width="7.453125" style="10" bestFit="1" customWidth="1"/>
    <col min="2" max="2" width="4.36328125" style="14" bestFit="1" customWidth="1"/>
    <col min="3" max="3" width="12.54296875" style="15" bestFit="1" customWidth="1"/>
    <col min="4" max="4" width="10.08984375" style="15" bestFit="1" customWidth="1"/>
    <col min="5" max="5" width="7.54296875" style="14" bestFit="1" customWidth="1"/>
    <col min="6" max="6" width="10" style="10" bestFit="1" customWidth="1"/>
    <col min="7" max="7" width="10.6328125" style="10" bestFit="1" customWidth="1"/>
    <col min="8" max="8" width="20.453125" style="15" customWidth="1"/>
    <col min="9" max="9" width="7.453125" style="15" bestFit="1" customWidth="1"/>
    <col min="10" max="13" width="3.6328125" style="14" bestFit="1" customWidth="1"/>
    <col min="14" max="16384" width="11.1796875" style="10"/>
  </cols>
  <sheetData>
    <row r="1" spans="1:13" s="17" customFormat="1">
      <c r="A1" s="23" t="s">
        <v>36</v>
      </c>
      <c r="B1" s="5" t="s">
        <v>5</v>
      </c>
      <c r="C1" s="20" t="s">
        <v>3</v>
      </c>
      <c r="D1" s="20" t="s">
        <v>4</v>
      </c>
      <c r="E1" s="7" t="s">
        <v>6</v>
      </c>
      <c r="F1" s="8" t="s">
        <v>13</v>
      </c>
      <c r="G1" s="8" t="s">
        <v>7</v>
      </c>
      <c r="H1" s="9" t="s">
        <v>8</v>
      </c>
      <c r="I1" s="9" t="s">
        <v>105</v>
      </c>
      <c r="J1" s="33"/>
      <c r="K1" s="33"/>
      <c r="L1" s="33"/>
      <c r="M1" s="33"/>
    </row>
    <row r="2" spans="1:13">
      <c r="B2" s="14" t="s">
        <v>14</v>
      </c>
      <c r="C2" s="12" t="s">
        <v>17</v>
      </c>
      <c r="D2" s="12" t="s">
        <v>9</v>
      </c>
      <c r="E2" s="11"/>
      <c r="F2" s="4"/>
      <c r="G2" s="12" t="s">
        <v>12</v>
      </c>
    </row>
    <row r="3" spans="1:13">
      <c r="C3" s="13"/>
      <c r="D3" s="18"/>
      <c r="E3" s="11"/>
      <c r="F3" s="12"/>
      <c r="G3" s="12"/>
      <c r="I3" s="24"/>
    </row>
    <row r="4" spans="1:13">
      <c r="C4" s="13"/>
      <c r="D4" s="13"/>
      <c r="E4" s="11"/>
      <c r="F4" s="12"/>
      <c r="G4" s="12"/>
      <c r="H4" s="24"/>
      <c r="I4" s="24"/>
    </row>
    <row r="5" spans="1:13">
      <c r="H5" s="24"/>
      <c r="I5" s="24"/>
    </row>
    <row r="6" spans="1:13">
      <c r="C6" s="12"/>
      <c r="D6" s="12"/>
      <c r="E6" s="11"/>
      <c r="F6" s="13"/>
      <c r="G6" s="12"/>
    </row>
    <row r="7" spans="1:13">
      <c r="C7" s="12"/>
      <c r="D7" s="12"/>
      <c r="E7" s="11"/>
      <c r="F7" s="13"/>
      <c r="G7" s="12"/>
    </row>
    <row r="8" spans="1:13">
      <c r="C8" s="12" t="s">
        <v>69</v>
      </c>
      <c r="D8" s="12" t="s">
        <v>11</v>
      </c>
      <c r="E8" s="11" t="s">
        <v>16</v>
      </c>
      <c r="F8" s="13" t="s">
        <v>20</v>
      </c>
      <c r="G8" s="12" t="s">
        <v>30</v>
      </c>
    </row>
    <row r="9" spans="1:13">
      <c r="C9" s="12" t="s">
        <v>1</v>
      </c>
      <c r="D9" s="12" t="s">
        <v>37</v>
      </c>
      <c r="E9" s="11"/>
      <c r="F9" s="13"/>
      <c r="G9" s="12" t="s">
        <v>31</v>
      </c>
    </row>
    <row r="10" spans="1:13">
      <c r="C10" s="12" t="s">
        <v>19</v>
      </c>
      <c r="D10" s="12" t="s">
        <v>11</v>
      </c>
      <c r="E10" s="11" t="s">
        <v>16</v>
      </c>
      <c r="F10" s="13" t="s">
        <v>20</v>
      </c>
      <c r="G10" s="12" t="s">
        <v>32</v>
      </c>
    </row>
    <row r="11" spans="1:13">
      <c r="C11" s="12" t="s">
        <v>70</v>
      </c>
      <c r="D11" s="12" t="s">
        <v>37</v>
      </c>
      <c r="E11" s="11"/>
      <c r="F11" s="13"/>
      <c r="G11" s="12" t="s">
        <v>33</v>
      </c>
    </row>
  </sheetData>
  <phoneticPr fontId="3" type="noConversion"/>
  <hyperlinks>
    <hyperlink ref="A1" location="目錄!A1" display="回到目錄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7"/>
  <dimension ref="A1:AH130"/>
  <sheetViews>
    <sheetView workbookViewId="0">
      <pane ySplit="1" topLeftCell="A2" activePane="bottomLeft" state="frozen"/>
      <selection pane="bottomLeft"/>
    </sheetView>
  </sheetViews>
  <sheetFormatPr defaultColWidth="11.1796875" defaultRowHeight="13.8"/>
  <cols>
    <col min="1" max="1" width="7.453125" style="10" bestFit="1" customWidth="1"/>
    <col min="2" max="2" width="4.36328125" style="10" bestFit="1" customWidth="1"/>
    <col min="3" max="3" width="11.1796875" style="10"/>
    <col min="4" max="4" width="11" style="10" bestFit="1" customWidth="1"/>
    <col min="5" max="5" width="7.54296875" style="14" bestFit="1" customWidth="1"/>
    <col min="6" max="6" width="10" style="15" bestFit="1" customWidth="1"/>
    <col min="7" max="7" width="10.6328125" style="10" bestFit="1" customWidth="1"/>
    <col min="8" max="8" width="58.90625" style="10" bestFit="1" customWidth="1"/>
    <col min="9" max="9" width="14.54296875" style="10" bestFit="1" customWidth="1"/>
    <col min="10" max="10" width="5.90625" style="10" customWidth="1"/>
    <col min="11" max="12" width="3.6328125" style="14" bestFit="1" customWidth="1"/>
    <col min="13" max="13" width="13" style="14" bestFit="1" customWidth="1"/>
    <col min="14" max="15" width="3.6328125" style="14" customWidth="1"/>
    <col min="16" max="21" width="3.6328125" style="14" bestFit="1" customWidth="1"/>
    <col min="22" max="22" width="3.6328125" style="10" bestFit="1" customWidth="1"/>
    <col min="23" max="28" width="5.36328125" style="14" bestFit="1" customWidth="1"/>
    <col min="29" max="34" width="5.36328125" style="10" bestFit="1" customWidth="1"/>
    <col min="35" max="16384" width="11.1796875" style="10"/>
  </cols>
  <sheetData>
    <row r="1" spans="1:34">
      <c r="A1" s="23" t="s">
        <v>3776</v>
      </c>
      <c r="B1" s="5" t="s">
        <v>5</v>
      </c>
      <c r="C1" s="6" t="s">
        <v>3</v>
      </c>
      <c r="D1" s="6" t="s">
        <v>4</v>
      </c>
      <c r="E1" s="7" t="s">
        <v>6</v>
      </c>
      <c r="F1" s="9" t="s">
        <v>13</v>
      </c>
      <c r="G1" s="9" t="s">
        <v>7</v>
      </c>
      <c r="H1" s="9" t="s">
        <v>8</v>
      </c>
      <c r="I1" s="9" t="s">
        <v>467</v>
      </c>
      <c r="L1" s="72" t="s">
        <v>240</v>
      </c>
      <c r="M1" s="72" t="s">
        <v>484</v>
      </c>
      <c r="N1" s="72" t="s">
        <v>470</v>
      </c>
      <c r="O1" s="72" t="s">
        <v>471</v>
      </c>
      <c r="P1" s="72" t="s">
        <v>472</v>
      </c>
      <c r="Q1" s="72" t="s">
        <v>473</v>
      </c>
      <c r="R1" s="72" t="s">
        <v>474</v>
      </c>
      <c r="S1" s="73" t="s">
        <v>475</v>
      </c>
    </row>
    <row r="2" spans="1:34">
      <c r="B2" s="11" t="s">
        <v>14</v>
      </c>
      <c r="C2" s="13" t="s">
        <v>80</v>
      </c>
      <c r="D2" s="18" t="s">
        <v>111</v>
      </c>
      <c r="E2" s="11"/>
      <c r="F2" s="12"/>
      <c r="G2" s="12" t="s">
        <v>81</v>
      </c>
      <c r="L2" s="36"/>
      <c r="M2" s="34"/>
      <c r="N2" s="36" t="str">
        <f>"EXEC sp_dropextendedproperty @name = N'MS_Description', @level0type=N'SCHEMA',@level0name=N'"&amp;$L$1&amp;"', @level1type=N'TABLE',@level1name=N'"&amp;$M$1&amp;"', @level2type=N'COLUMN',@level2name=N'"&amp;$C2&amp;"'"</f>
        <v>EXEC sp_dropextendedproperty @name = N'MS_Description', @level0type=N'SCHEMA',@level0name=N'dbo', @level1type=N'TABLE',@level1name=N'LifeInsActPrem', @level2type=N'COLUMN',@level2name=N'PlanCode'</v>
      </c>
      <c r="O2" s="36" t="str">
        <f>"EXEC sp_dropextendedproperty @name = N'Rule', @level0type=N'SCHEMA',@level0name=N'"&amp;$L$1&amp;"', @level1type=N'TABLE',@level1name=N'"&amp;$M$1&amp;"', @level2type=N'COLUMN',@level2name=N'"&amp;$C2&amp;"'"</f>
        <v>EXEC sp_dropextendedproperty @name = N'Rule', @level0type=N'SCHEMA',@level0name=N'dbo', @level1type=N'TABLE',@level1name=N'LifeInsActPrem', @level2type=N'COLUMN',@level2name=N'PlanCode'</v>
      </c>
      <c r="P2" s="36" t="str">
        <f>"EXEC sp_dropextendedproperty @name = N'Memo', @level0type=N'SCHEMA',@level0name=N'"&amp;$L$1&amp;"', @level1type=N'TABLE',@level1name=N'"&amp;$M$1&amp;"', @level2type=N'COLUMN',@level2name=N'"&amp;$C2&amp;"'"</f>
        <v>EXEC sp_dropextendedproperty @name = N'Memo', @level0type=N'SCHEMA',@level0name=N'dbo', @level1type=N'TABLE',@level1name=N'LifeInsActPrem', @level2type=N'COLUMN',@level2name=N'PlanCode'</v>
      </c>
      <c r="Q2" s="36" t="str">
        <f>"set @OldWording = N'"&amp;SUBSTITUTE($G2,CHAR(10),"")&amp;"'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@level2type=N'COLUMN',@level2name=N'"&amp;$C2&amp;"'"</f>
        <v>set @OldWording = N'險種代碼' set @NewWording = REPLACE(@OldWording,'***',char(13)+char(10)) EXEC sys.sp_addextendedproperty @name=N'MS_Description', @value=@NewWording , @level0type=N'SCHEMA',@level0name=N'dbo', @level1type=N'TABLE',@level1name=N'LifeInsActPrem', @level2type=N'COLUMN',@level2name=N'PlanCode'</v>
      </c>
      <c r="R2" s="32" t="str">
        <f>"set @OldWording = N'"&amp;SUBSTITUTE($H2,CHAR(10),"")&amp;"'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@name=N'Rule', @value=@NewWording , @level0type=N'SCHEMA',@level0name=N'dbo', @level1type=N'TABLE',@level1name=N'LifeInsActPrem', @level2type=N'COLUMN',@level2name=N'PlanCode'</v>
      </c>
      <c r="S2" s="36" t="str">
        <f>"set @OldWording = N'"&amp;SUBSTITUTE($I2,CHAR(10),"")&amp;"' set @NewWording = REPLACE(@OldWording,'***',char(13)+char(10)) "&amp;"EXEC sys.sp_addextendedproperty @name=N'Memo',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@name=N'Memo', @value=@NewWording , @level0type=N'SCHEMA',@level0name=N'dbo', @level1type=N'TABLE',@level1name=N'LifeInsActPrem', @level2type=N'COLUMN',@level2name=N'PlanCode'</v>
      </c>
      <c r="V2" s="14"/>
      <c r="AC2" s="14"/>
      <c r="AD2" s="14"/>
      <c r="AE2" s="14"/>
      <c r="AF2" s="14"/>
      <c r="AG2" s="14"/>
      <c r="AH2" s="14"/>
    </row>
    <row r="3" spans="1:34" ht="27.6">
      <c r="B3" s="11" t="s">
        <v>14</v>
      </c>
      <c r="C3" s="15" t="s">
        <v>3728</v>
      </c>
      <c r="D3" s="15" t="s">
        <v>21</v>
      </c>
      <c r="F3" s="10"/>
      <c r="G3" s="10" t="s">
        <v>78</v>
      </c>
      <c r="H3" s="16" t="s">
        <v>3652</v>
      </c>
      <c r="V3" s="14"/>
      <c r="AC3" s="14"/>
      <c r="AD3" s="14"/>
      <c r="AE3" s="14"/>
      <c r="AF3" s="14"/>
      <c r="AG3" s="14"/>
      <c r="AH3" s="14"/>
    </row>
    <row r="4" spans="1:34">
      <c r="B4" s="11" t="s">
        <v>14</v>
      </c>
      <c r="C4" s="12" t="s">
        <v>86</v>
      </c>
      <c r="D4" s="12" t="s">
        <v>34</v>
      </c>
      <c r="F4" s="13"/>
      <c r="G4" s="12" t="s">
        <v>87</v>
      </c>
      <c r="V4" s="14"/>
      <c r="AC4" s="14"/>
      <c r="AD4" s="14"/>
      <c r="AE4" s="14"/>
      <c r="AF4" s="14"/>
      <c r="AG4" s="14"/>
      <c r="AH4" s="14"/>
    </row>
    <row r="5" spans="1:34">
      <c r="B5" s="11" t="s">
        <v>14</v>
      </c>
      <c r="C5" s="12" t="s">
        <v>50</v>
      </c>
      <c r="D5" s="12" t="s">
        <v>21</v>
      </c>
      <c r="F5" s="13"/>
      <c r="G5" s="12" t="s">
        <v>52</v>
      </c>
      <c r="H5" s="16" t="s">
        <v>493</v>
      </c>
      <c r="I5" s="27" t="s">
        <v>267</v>
      </c>
      <c r="V5" s="14"/>
      <c r="AC5" s="14"/>
      <c r="AD5" s="14"/>
      <c r="AE5" s="14"/>
      <c r="AF5" s="14"/>
      <c r="AG5" s="14"/>
      <c r="AH5" s="14"/>
    </row>
    <row r="6" spans="1:34">
      <c r="B6" s="11" t="s">
        <v>14</v>
      </c>
      <c r="C6" s="12" t="s">
        <v>121</v>
      </c>
      <c r="D6" s="12" t="s">
        <v>21</v>
      </c>
      <c r="F6" s="13"/>
      <c r="G6" s="12" t="s">
        <v>122</v>
      </c>
      <c r="H6" s="16" t="s">
        <v>496</v>
      </c>
      <c r="I6" s="27" t="s">
        <v>268</v>
      </c>
      <c r="V6" s="14"/>
      <c r="AC6" s="14"/>
      <c r="AD6" s="14"/>
      <c r="AE6" s="14"/>
      <c r="AF6" s="14"/>
      <c r="AG6" s="14"/>
      <c r="AH6" s="14"/>
    </row>
    <row r="7" spans="1:34" ht="82.8">
      <c r="B7" s="11" t="s">
        <v>14</v>
      </c>
      <c r="C7" s="10" t="s">
        <v>95</v>
      </c>
      <c r="D7" s="10" t="s">
        <v>128</v>
      </c>
      <c r="F7" s="13"/>
      <c r="G7" s="10" t="s">
        <v>3643</v>
      </c>
      <c r="H7" s="26" t="s">
        <v>4988</v>
      </c>
      <c r="I7" s="91"/>
      <c r="V7" s="14"/>
      <c r="AC7" s="14"/>
      <c r="AD7" s="14"/>
      <c r="AE7" s="14"/>
      <c r="AF7" s="14"/>
      <c r="AG7" s="14"/>
      <c r="AH7" s="14"/>
    </row>
    <row r="8" spans="1:34">
      <c r="B8" s="11" t="s">
        <v>14</v>
      </c>
      <c r="C8" s="10" t="s">
        <v>3646</v>
      </c>
      <c r="D8" s="12" t="s">
        <v>23</v>
      </c>
      <c r="F8" s="13"/>
      <c r="G8" s="10" t="s">
        <v>3645</v>
      </c>
      <c r="H8" s="34"/>
      <c r="I8" s="27"/>
      <c r="J8" s="29"/>
      <c r="K8" s="29"/>
      <c r="L8" s="36"/>
      <c r="M8" s="36"/>
      <c r="N8" s="36"/>
      <c r="O8" s="36"/>
      <c r="P8" s="36"/>
      <c r="Q8" s="36"/>
      <c r="R8" s="32"/>
      <c r="S8" s="36"/>
      <c r="T8" s="32"/>
      <c r="U8" s="32"/>
      <c r="W8" s="10"/>
      <c r="X8" s="10"/>
      <c r="Y8" s="10"/>
      <c r="Z8" s="10"/>
      <c r="AA8" s="10"/>
      <c r="AB8" s="10"/>
    </row>
    <row r="9" spans="1:34">
      <c r="B9" s="11"/>
      <c r="C9" s="29" t="s">
        <v>3730</v>
      </c>
      <c r="D9" s="29" t="s">
        <v>126</v>
      </c>
      <c r="E9" s="28"/>
      <c r="F9" s="22"/>
      <c r="G9" s="22" t="s">
        <v>125</v>
      </c>
      <c r="H9" s="27" t="s">
        <v>3591</v>
      </c>
      <c r="V9" s="14"/>
      <c r="AC9" s="14"/>
      <c r="AD9" s="14"/>
      <c r="AE9" s="14"/>
      <c r="AF9" s="14"/>
      <c r="AG9" s="14"/>
      <c r="AH9" s="14"/>
    </row>
    <row r="10" spans="1:34">
      <c r="B10" s="11"/>
      <c r="C10" s="29" t="s">
        <v>123</v>
      </c>
      <c r="D10" s="29" t="s">
        <v>126</v>
      </c>
      <c r="E10" s="28"/>
      <c r="F10" s="22"/>
      <c r="G10" s="22" t="s">
        <v>124</v>
      </c>
      <c r="H10" s="27" t="s">
        <v>3591</v>
      </c>
      <c r="V10" s="14"/>
      <c r="AC10" s="14"/>
      <c r="AD10" s="14"/>
      <c r="AE10" s="14"/>
      <c r="AF10" s="14"/>
      <c r="AG10" s="14"/>
      <c r="AH10" s="14"/>
    </row>
    <row r="11" spans="1:34">
      <c r="C11" s="10" t="s">
        <v>603</v>
      </c>
      <c r="D11" s="32" t="s">
        <v>285</v>
      </c>
      <c r="E11" s="14" t="s">
        <v>93</v>
      </c>
      <c r="F11" s="13"/>
      <c r="G11" s="10" t="s">
        <v>483</v>
      </c>
      <c r="H11" s="16"/>
    </row>
    <row r="12" spans="1:34">
      <c r="C12" s="10" t="s">
        <v>604</v>
      </c>
      <c r="D12" s="32" t="s">
        <v>285</v>
      </c>
      <c r="E12" s="14" t="s">
        <v>93</v>
      </c>
      <c r="F12" s="13"/>
    </row>
    <row r="13" spans="1:34">
      <c r="C13" s="10" t="s">
        <v>605</v>
      </c>
      <c r="D13" s="32" t="s">
        <v>284</v>
      </c>
      <c r="E13" s="14" t="s">
        <v>93</v>
      </c>
      <c r="F13" s="13"/>
    </row>
    <row r="14" spans="1:34">
      <c r="C14" s="10" t="s">
        <v>606</v>
      </c>
      <c r="D14" s="32" t="s">
        <v>284</v>
      </c>
      <c r="E14" s="14" t="s">
        <v>93</v>
      </c>
      <c r="F14" s="13"/>
    </row>
    <row r="15" spans="1:34">
      <c r="C15" s="10" t="s">
        <v>607</v>
      </c>
      <c r="D15" s="32" t="s">
        <v>284</v>
      </c>
      <c r="E15" s="14" t="s">
        <v>93</v>
      </c>
      <c r="F15" s="13"/>
    </row>
    <row r="16" spans="1:34">
      <c r="C16" s="10" t="s">
        <v>608</v>
      </c>
      <c r="D16" s="32" t="s">
        <v>284</v>
      </c>
      <c r="E16" s="14" t="s">
        <v>93</v>
      </c>
      <c r="F16" s="13"/>
    </row>
    <row r="17" spans="3:6">
      <c r="C17" s="10" t="s">
        <v>609</v>
      </c>
      <c r="D17" s="32" t="s">
        <v>284</v>
      </c>
      <c r="E17" s="14" t="s">
        <v>93</v>
      </c>
      <c r="F17" s="13"/>
    </row>
    <row r="18" spans="3:6">
      <c r="C18" s="10" t="s">
        <v>610</v>
      </c>
      <c r="D18" s="32" t="s">
        <v>284</v>
      </c>
      <c r="E18" s="14" t="s">
        <v>93</v>
      </c>
      <c r="F18" s="13"/>
    </row>
    <row r="19" spans="3:6">
      <c r="C19" s="10" t="s">
        <v>611</v>
      </c>
      <c r="D19" s="32" t="s">
        <v>284</v>
      </c>
      <c r="E19" s="14" t="s">
        <v>93</v>
      </c>
      <c r="F19" s="13"/>
    </row>
    <row r="20" spans="3:6">
      <c r="C20" s="10" t="s">
        <v>612</v>
      </c>
      <c r="D20" s="32" t="s">
        <v>284</v>
      </c>
      <c r="E20" s="14" t="s">
        <v>93</v>
      </c>
      <c r="F20" s="13"/>
    </row>
    <row r="21" spans="3:6">
      <c r="C21" s="10" t="s">
        <v>613</v>
      </c>
      <c r="D21" s="32" t="s">
        <v>284</v>
      </c>
      <c r="E21" s="14" t="s">
        <v>93</v>
      </c>
      <c r="F21" s="13"/>
    </row>
    <row r="22" spans="3:6">
      <c r="C22" s="10" t="s">
        <v>614</v>
      </c>
      <c r="D22" s="32" t="s">
        <v>284</v>
      </c>
      <c r="E22" s="14" t="s">
        <v>93</v>
      </c>
      <c r="F22" s="13"/>
    </row>
    <row r="23" spans="3:6">
      <c r="C23" s="10" t="s">
        <v>615</v>
      </c>
      <c r="D23" s="32" t="s">
        <v>284</v>
      </c>
      <c r="E23" s="14" t="s">
        <v>93</v>
      </c>
      <c r="F23" s="13"/>
    </row>
    <row r="24" spans="3:6">
      <c r="C24" s="10" t="s">
        <v>616</v>
      </c>
      <c r="D24" s="32" t="s">
        <v>284</v>
      </c>
      <c r="E24" s="14" t="s">
        <v>93</v>
      </c>
      <c r="F24" s="13"/>
    </row>
    <row r="25" spans="3:6">
      <c r="C25" s="10" t="s">
        <v>617</v>
      </c>
      <c r="D25" s="32" t="s">
        <v>284</v>
      </c>
      <c r="E25" s="14" t="s">
        <v>93</v>
      </c>
      <c r="F25" s="13"/>
    </row>
    <row r="26" spans="3:6">
      <c r="C26" s="10" t="s">
        <v>618</v>
      </c>
      <c r="D26" s="32" t="s">
        <v>284</v>
      </c>
      <c r="E26" s="14" t="s">
        <v>93</v>
      </c>
      <c r="F26" s="13"/>
    </row>
    <row r="27" spans="3:6">
      <c r="C27" s="10" t="s">
        <v>619</v>
      </c>
      <c r="D27" s="32" t="s">
        <v>284</v>
      </c>
      <c r="E27" s="14" t="s">
        <v>93</v>
      </c>
      <c r="F27" s="13"/>
    </row>
    <row r="28" spans="3:6">
      <c r="C28" s="10" t="s">
        <v>620</v>
      </c>
      <c r="D28" s="32" t="s">
        <v>284</v>
      </c>
      <c r="E28" s="14" t="s">
        <v>93</v>
      </c>
      <c r="F28" s="13"/>
    </row>
    <row r="29" spans="3:6">
      <c r="C29" s="10" t="s">
        <v>621</v>
      </c>
      <c r="D29" s="32" t="s">
        <v>284</v>
      </c>
      <c r="E29" s="14" t="s">
        <v>93</v>
      </c>
      <c r="F29" s="13"/>
    </row>
    <row r="30" spans="3:6">
      <c r="C30" s="10" t="s">
        <v>622</v>
      </c>
      <c r="D30" s="32" t="s">
        <v>284</v>
      </c>
      <c r="E30" s="14" t="s">
        <v>93</v>
      </c>
      <c r="F30" s="13"/>
    </row>
    <row r="31" spans="3:6">
      <c r="C31" s="10" t="s">
        <v>623</v>
      </c>
      <c r="D31" s="32" t="s">
        <v>284</v>
      </c>
      <c r="E31" s="14" t="s">
        <v>93</v>
      </c>
      <c r="F31" s="13"/>
    </row>
    <row r="32" spans="3:6">
      <c r="C32" s="10" t="s">
        <v>624</v>
      </c>
      <c r="D32" s="32" t="s">
        <v>284</v>
      </c>
      <c r="E32" s="14" t="s">
        <v>93</v>
      </c>
      <c r="F32" s="13"/>
    </row>
    <row r="33" spans="3:6">
      <c r="C33" s="10" t="s">
        <v>625</v>
      </c>
      <c r="D33" s="32" t="s">
        <v>284</v>
      </c>
      <c r="E33" s="14" t="s">
        <v>93</v>
      </c>
      <c r="F33" s="13"/>
    </row>
    <row r="34" spans="3:6">
      <c r="C34" s="10" t="s">
        <v>626</v>
      </c>
      <c r="D34" s="32" t="s">
        <v>284</v>
      </c>
      <c r="E34" s="14" t="s">
        <v>93</v>
      </c>
      <c r="F34" s="13"/>
    </row>
    <row r="35" spans="3:6">
      <c r="C35" s="10" t="s">
        <v>627</v>
      </c>
      <c r="D35" s="32" t="s">
        <v>284</v>
      </c>
      <c r="E35" s="14" t="s">
        <v>93</v>
      </c>
      <c r="F35" s="13"/>
    </row>
    <row r="36" spans="3:6">
      <c r="C36" s="10" t="s">
        <v>628</v>
      </c>
      <c r="D36" s="32" t="s">
        <v>284</v>
      </c>
      <c r="E36" s="14" t="s">
        <v>93</v>
      </c>
      <c r="F36" s="13"/>
    </row>
    <row r="37" spans="3:6">
      <c r="C37" s="10" t="s">
        <v>629</v>
      </c>
      <c r="D37" s="32" t="s">
        <v>284</v>
      </c>
      <c r="E37" s="14" t="s">
        <v>93</v>
      </c>
      <c r="F37" s="13"/>
    </row>
    <row r="38" spans="3:6">
      <c r="C38" s="10" t="s">
        <v>630</v>
      </c>
      <c r="D38" s="32" t="s">
        <v>284</v>
      </c>
      <c r="E38" s="14" t="s">
        <v>93</v>
      </c>
      <c r="F38" s="13"/>
    </row>
    <row r="39" spans="3:6">
      <c r="C39" s="10" t="s">
        <v>631</v>
      </c>
      <c r="D39" s="32" t="s">
        <v>284</v>
      </c>
      <c r="E39" s="14" t="s">
        <v>93</v>
      </c>
      <c r="F39" s="13"/>
    </row>
    <row r="40" spans="3:6">
      <c r="C40" s="10" t="s">
        <v>632</v>
      </c>
      <c r="D40" s="32" t="s">
        <v>284</v>
      </c>
      <c r="E40" s="14" t="s">
        <v>93</v>
      </c>
      <c r="F40" s="13"/>
    </row>
    <row r="41" spans="3:6">
      <c r="C41" s="10" t="s">
        <v>633</v>
      </c>
      <c r="D41" s="32" t="s">
        <v>284</v>
      </c>
      <c r="E41" s="14" t="s">
        <v>93</v>
      </c>
      <c r="F41" s="13"/>
    </row>
    <row r="42" spans="3:6">
      <c r="C42" s="10" t="s">
        <v>634</v>
      </c>
      <c r="D42" s="32" t="s">
        <v>284</v>
      </c>
      <c r="E42" s="14" t="s">
        <v>93</v>
      </c>
      <c r="F42" s="13"/>
    </row>
    <row r="43" spans="3:6">
      <c r="C43" s="10" t="s">
        <v>635</v>
      </c>
      <c r="D43" s="32" t="s">
        <v>284</v>
      </c>
      <c r="E43" s="14" t="s">
        <v>93</v>
      </c>
      <c r="F43" s="13"/>
    </row>
    <row r="44" spans="3:6">
      <c r="C44" s="10" t="s">
        <v>636</v>
      </c>
      <c r="D44" s="32" t="s">
        <v>284</v>
      </c>
      <c r="E44" s="14" t="s">
        <v>93</v>
      </c>
      <c r="F44" s="13"/>
    </row>
    <row r="45" spans="3:6">
      <c r="C45" s="10" t="s">
        <v>637</v>
      </c>
      <c r="D45" s="32" t="s">
        <v>284</v>
      </c>
      <c r="E45" s="14" t="s">
        <v>93</v>
      </c>
      <c r="F45" s="13"/>
    </row>
    <row r="46" spans="3:6">
      <c r="C46" s="10" t="s">
        <v>638</v>
      </c>
      <c r="D46" s="32" t="s">
        <v>284</v>
      </c>
      <c r="E46" s="14" t="s">
        <v>93</v>
      </c>
      <c r="F46" s="13"/>
    </row>
    <row r="47" spans="3:6">
      <c r="C47" s="10" t="s">
        <v>639</v>
      </c>
      <c r="D47" s="32" t="s">
        <v>284</v>
      </c>
      <c r="E47" s="14" t="s">
        <v>93</v>
      </c>
      <c r="F47" s="13"/>
    </row>
    <row r="48" spans="3:6">
      <c r="C48" s="10" t="s">
        <v>640</v>
      </c>
      <c r="D48" s="32" t="s">
        <v>284</v>
      </c>
      <c r="E48" s="14" t="s">
        <v>93</v>
      </c>
      <c r="F48" s="13"/>
    </row>
    <row r="49" spans="3:6">
      <c r="C49" s="10" t="s">
        <v>641</v>
      </c>
      <c r="D49" s="32" t="s">
        <v>284</v>
      </c>
      <c r="E49" s="14" t="s">
        <v>93</v>
      </c>
      <c r="F49" s="13"/>
    </row>
    <row r="50" spans="3:6">
      <c r="C50" s="10" t="s">
        <v>642</v>
      </c>
      <c r="D50" s="32" t="s">
        <v>284</v>
      </c>
      <c r="E50" s="14" t="s">
        <v>93</v>
      </c>
      <c r="F50" s="13"/>
    </row>
    <row r="51" spans="3:6">
      <c r="C51" s="10" t="s">
        <v>643</v>
      </c>
      <c r="D51" s="32" t="s">
        <v>284</v>
      </c>
      <c r="E51" s="14" t="s">
        <v>93</v>
      </c>
      <c r="F51" s="13"/>
    </row>
    <row r="52" spans="3:6">
      <c r="C52" s="10" t="s">
        <v>644</v>
      </c>
      <c r="D52" s="32" t="s">
        <v>284</v>
      </c>
      <c r="E52" s="14" t="s">
        <v>93</v>
      </c>
      <c r="F52" s="13"/>
    </row>
    <row r="53" spans="3:6">
      <c r="C53" s="10" t="s">
        <v>645</v>
      </c>
      <c r="D53" s="32" t="s">
        <v>284</v>
      </c>
      <c r="E53" s="14" t="s">
        <v>93</v>
      </c>
      <c r="F53" s="13"/>
    </row>
    <row r="54" spans="3:6">
      <c r="C54" s="10" t="s">
        <v>646</v>
      </c>
      <c r="D54" s="32" t="s">
        <v>284</v>
      </c>
      <c r="E54" s="14" t="s">
        <v>93</v>
      </c>
      <c r="F54" s="13"/>
    </row>
    <row r="55" spans="3:6">
      <c r="C55" s="10" t="s">
        <v>647</v>
      </c>
      <c r="D55" s="32" t="s">
        <v>284</v>
      </c>
      <c r="E55" s="14" t="s">
        <v>93</v>
      </c>
      <c r="F55" s="13"/>
    </row>
    <row r="56" spans="3:6">
      <c r="C56" s="10" t="s">
        <v>648</v>
      </c>
      <c r="D56" s="32" t="s">
        <v>284</v>
      </c>
      <c r="E56" s="14" t="s">
        <v>93</v>
      </c>
      <c r="F56" s="13"/>
    </row>
    <row r="57" spans="3:6">
      <c r="C57" s="10" t="s">
        <v>649</v>
      </c>
      <c r="D57" s="32" t="s">
        <v>284</v>
      </c>
      <c r="E57" s="14" t="s">
        <v>93</v>
      </c>
      <c r="F57" s="13"/>
    </row>
    <row r="58" spans="3:6">
      <c r="C58" s="10" t="s">
        <v>650</v>
      </c>
      <c r="D58" s="32" t="s">
        <v>284</v>
      </c>
      <c r="E58" s="14" t="s">
        <v>93</v>
      </c>
      <c r="F58" s="13"/>
    </row>
    <row r="59" spans="3:6">
      <c r="C59" s="10" t="s">
        <v>651</v>
      </c>
      <c r="D59" s="32" t="s">
        <v>284</v>
      </c>
      <c r="E59" s="14" t="s">
        <v>93</v>
      </c>
      <c r="F59" s="13"/>
    </row>
    <row r="60" spans="3:6">
      <c r="C60" s="10" t="s">
        <v>652</v>
      </c>
      <c r="D60" s="32" t="s">
        <v>284</v>
      </c>
      <c r="E60" s="14" t="s">
        <v>93</v>
      </c>
      <c r="F60" s="13"/>
    </row>
    <row r="61" spans="3:6">
      <c r="C61" s="10" t="s">
        <v>653</v>
      </c>
      <c r="D61" s="32" t="s">
        <v>284</v>
      </c>
      <c r="E61" s="14" t="s">
        <v>93</v>
      </c>
      <c r="F61" s="13"/>
    </row>
    <row r="62" spans="3:6">
      <c r="C62" s="10" t="s">
        <v>654</v>
      </c>
      <c r="D62" s="32" t="s">
        <v>284</v>
      </c>
      <c r="E62" s="14" t="s">
        <v>93</v>
      </c>
      <c r="F62" s="13"/>
    </row>
    <row r="63" spans="3:6">
      <c r="C63" s="10" t="s">
        <v>655</v>
      </c>
      <c r="D63" s="32" t="s">
        <v>284</v>
      </c>
      <c r="E63" s="14" t="s">
        <v>93</v>
      </c>
      <c r="F63" s="13"/>
    </row>
    <row r="64" spans="3:6">
      <c r="C64" s="10" t="s">
        <v>656</v>
      </c>
      <c r="D64" s="32" t="s">
        <v>284</v>
      </c>
      <c r="E64" s="14" t="s">
        <v>93</v>
      </c>
      <c r="F64" s="13"/>
    </row>
    <row r="65" spans="3:6">
      <c r="C65" s="10" t="s">
        <v>657</v>
      </c>
      <c r="D65" s="32" t="s">
        <v>284</v>
      </c>
      <c r="E65" s="14" t="s">
        <v>93</v>
      </c>
      <c r="F65" s="13"/>
    </row>
    <row r="66" spans="3:6">
      <c r="C66" s="10" t="s">
        <v>658</v>
      </c>
      <c r="D66" s="32" t="s">
        <v>284</v>
      </c>
      <c r="E66" s="14" t="s">
        <v>93</v>
      </c>
      <c r="F66" s="13"/>
    </row>
    <row r="67" spans="3:6">
      <c r="C67" s="10" t="s">
        <v>659</v>
      </c>
      <c r="D67" s="32" t="s">
        <v>284</v>
      </c>
      <c r="E67" s="14" t="s">
        <v>93</v>
      </c>
      <c r="F67" s="13"/>
    </row>
    <row r="68" spans="3:6">
      <c r="C68" s="10" t="s">
        <v>660</v>
      </c>
      <c r="D68" s="32" t="s">
        <v>284</v>
      </c>
      <c r="E68" s="14" t="s">
        <v>93</v>
      </c>
      <c r="F68" s="13"/>
    </row>
    <row r="69" spans="3:6">
      <c r="C69" s="10" t="s">
        <v>661</v>
      </c>
      <c r="D69" s="32" t="s">
        <v>284</v>
      </c>
      <c r="E69" s="14" t="s">
        <v>93</v>
      </c>
      <c r="F69" s="13"/>
    </row>
    <row r="70" spans="3:6">
      <c r="C70" s="10" t="s">
        <v>662</v>
      </c>
      <c r="D70" s="32" t="s">
        <v>284</v>
      </c>
      <c r="E70" s="14" t="s">
        <v>93</v>
      </c>
      <c r="F70" s="13"/>
    </row>
    <row r="71" spans="3:6">
      <c r="C71" s="10" t="s">
        <v>663</v>
      </c>
      <c r="D71" s="32" t="s">
        <v>284</v>
      </c>
      <c r="E71" s="14" t="s">
        <v>93</v>
      </c>
      <c r="F71" s="13"/>
    </row>
    <row r="72" spans="3:6">
      <c r="C72" s="10" t="s">
        <v>664</v>
      </c>
      <c r="D72" s="32" t="s">
        <v>284</v>
      </c>
      <c r="E72" s="14" t="s">
        <v>93</v>
      </c>
      <c r="F72" s="13"/>
    </row>
    <row r="73" spans="3:6">
      <c r="C73" s="10" t="s">
        <v>665</v>
      </c>
      <c r="D73" s="32" t="s">
        <v>284</v>
      </c>
      <c r="E73" s="14" t="s">
        <v>93</v>
      </c>
      <c r="F73" s="13"/>
    </row>
    <row r="74" spans="3:6">
      <c r="C74" s="10" t="s">
        <v>666</v>
      </c>
      <c r="D74" s="32" t="s">
        <v>284</v>
      </c>
      <c r="E74" s="14" t="s">
        <v>93</v>
      </c>
      <c r="F74" s="13"/>
    </row>
    <row r="75" spans="3:6">
      <c r="C75" s="10" t="s">
        <v>667</v>
      </c>
      <c r="D75" s="32" t="s">
        <v>284</v>
      </c>
      <c r="E75" s="14" t="s">
        <v>93</v>
      </c>
      <c r="F75" s="13"/>
    </row>
    <row r="76" spans="3:6">
      <c r="C76" s="10" t="s">
        <v>668</v>
      </c>
      <c r="D76" s="32" t="s">
        <v>284</v>
      </c>
      <c r="E76" s="14" t="s">
        <v>93</v>
      </c>
      <c r="F76" s="13"/>
    </row>
    <row r="77" spans="3:6">
      <c r="C77" s="10" t="s">
        <v>669</v>
      </c>
      <c r="D77" s="32" t="s">
        <v>284</v>
      </c>
      <c r="E77" s="14" t="s">
        <v>93</v>
      </c>
      <c r="F77" s="13"/>
    </row>
    <row r="78" spans="3:6">
      <c r="C78" s="10" t="s">
        <v>670</v>
      </c>
      <c r="D78" s="32" t="s">
        <v>284</v>
      </c>
      <c r="E78" s="14" t="s">
        <v>93</v>
      </c>
      <c r="F78" s="13"/>
    </row>
    <row r="79" spans="3:6">
      <c r="C79" s="10" t="s">
        <v>671</v>
      </c>
      <c r="D79" s="32" t="s">
        <v>284</v>
      </c>
      <c r="E79" s="14" t="s">
        <v>93</v>
      </c>
      <c r="F79" s="13"/>
    </row>
    <row r="80" spans="3:6">
      <c r="C80" s="10" t="s">
        <v>672</v>
      </c>
      <c r="D80" s="32" t="s">
        <v>284</v>
      </c>
      <c r="E80" s="14" t="s">
        <v>93</v>
      </c>
      <c r="F80" s="13"/>
    </row>
    <row r="81" spans="3:6">
      <c r="C81" s="10" t="s">
        <v>673</v>
      </c>
      <c r="D81" s="32" t="s">
        <v>284</v>
      </c>
      <c r="E81" s="14" t="s">
        <v>93</v>
      </c>
      <c r="F81" s="13"/>
    </row>
    <row r="82" spans="3:6">
      <c r="C82" s="10" t="s">
        <v>674</v>
      </c>
      <c r="D82" s="32" t="s">
        <v>284</v>
      </c>
      <c r="E82" s="14" t="s">
        <v>93</v>
      </c>
      <c r="F82" s="13"/>
    </row>
    <row r="83" spans="3:6">
      <c r="C83" s="10" t="s">
        <v>675</v>
      </c>
      <c r="D83" s="32" t="s">
        <v>284</v>
      </c>
      <c r="E83" s="14" t="s">
        <v>93</v>
      </c>
      <c r="F83" s="13"/>
    </row>
    <row r="84" spans="3:6">
      <c r="C84" s="10" t="s">
        <v>676</v>
      </c>
      <c r="D84" s="32" t="s">
        <v>284</v>
      </c>
      <c r="E84" s="14" t="s">
        <v>93</v>
      </c>
      <c r="F84" s="13"/>
    </row>
    <row r="85" spans="3:6">
      <c r="C85" s="10" t="s">
        <v>677</v>
      </c>
      <c r="D85" s="32" t="s">
        <v>284</v>
      </c>
      <c r="E85" s="14" t="s">
        <v>93</v>
      </c>
      <c r="F85" s="13"/>
    </row>
    <row r="86" spans="3:6">
      <c r="C86" s="10" t="s">
        <v>678</v>
      </c>
      <c r="D86" s="32" t="s">
        <v>284</v>
      </c>
      <c r="E86" s="14" t="s">
        <v>93</v>
      </c>
      <c r="F86" s="13"/>
    </row>
    <row r="87" spans="3:6">
      <c r="C87" s="10" t="s">
        <v>679</v>
      </c>
      <c r="D87" s="32" t="s">
        <v>284</v>
      </c>
      <c r="E87" s="14" t="s">
        <v>93</v>
      </c>
      <c r="F87" s="13"/>
    </row>
    <row r="88" spans="3:6">
      <c r="C88" s="10" t="s">
        <v>680</v>
      </c>
      <c r="D88" s="32" t="s">
        <v>284</v>
      </c>
      <c r="E88" s="14" t="s">
        <v>93</v>
      </c>
      <c r="F88" s="13"/>
    </row>
    <row r="89" spans="3:6">
      <c r="C89" s="10" t="s">
        <v>681</v>
      </c>
      <c r="D89" s="32" t="s">
        <v>284</v>
      </c>
      <c r="E89" s="14" t="s">
        <v>93</v>
      </c>
      <c r="F89" s="13"/>
    </row>
    <row r="90" spans="3:6">
      <c r="C90" s="10" t="s">
        <v>682</v>
      </c>
      <c r="D90" s="32" t="s">
        <v>284</v>
      </c>
      <c r="E90" s="14" t="s">
        <v>93</v>
      </c>
      <c r="F90" s="13"/>
    </row>
    <row r="91" spans="3:6">
      <c r="C91" s="10" t="s">
        <v>683</v>
      </c>
      <c r="D91" s="32" t="s">
        <v>284</v>
      </c>
      <c r="E91" s="14" t="s">
        <v>93</v>
      </c>
      <c r="F91" s="13"/>
    </row>
    <row r="92" spans="3:6">
      <c r="C92" s="10" t="s">
        <v>684</v>
      </c>
      <c r="D92" s="32" t="s">
        <v>284</v>
      </c>
      <c r="E92" s="14" t="s">
        <v>93</v>
      </c>
      <c r="F92" s="13"/>
    </row>
    <row r="93" spans="3:6">
      <c r="C93" s="10" t="s">
        <v>685</v>
      </c>
      <c r="D93" s="32" t="s">
        <v>284</v>
      </c>
      <c r="E93" s="14" t="s">
        <v>93</v>
      </c>
      <c r="F93" s="13"/>
    </row>
    <row r="94" spans="3:6">
      <c r="C94" s="10" t="s">
        <v>686</v>
      </c>
      <c r="D94" s="32" t="s">
        <v>284</v>
      </c>
      <c r="E94" s="14" t="s">
        <v>93</v>
      </c>
      <c r="F94" s="13"/>
    </row>
    <row r="95" spans="3:6">
      <c r="C95" s="10" t="s">
        <v>687</v>
      </c>
      <c r="D95" s="32" t="s">
        <v>284</v>
      </c>
      <c r="E95" s="14" t="s">
        <v>93</v>
      </c>
      <c r="F95" s="13"/>
    </row>
    <row r="96" spans="3:6">
      <c r="C96" s="10" t="s">
        <v>688</v>
      </c>
      <c r="D96" s="32" t="s">
        <v>284</v>
      </c>
      <c r="E96" s="14" t="s">
        <v>93</v>
      </c>
      <c r="F96" s="13"/>
    </row>
    <row r="97" spans="3:7">
      <c r="C97" s="10" t="s">
        <v>689</v>
      </c>
      <c r="D97" s="32" t="s">
        <v>284</v>
      </c>
      <c r="E97" s="14" t="s">
        <v>93</v>
      </c>
      <c r="F97" s="13"/>
      <c r="G97" s="12"/>
    </row>
    <row r="98" spans="3:7">
      <c r="C98" s="10" t="s">
        <v>690</v>
      </c>
      <c r="D98" s="32" t="s">
        <v>284</v>
      </c>
      <c r="E98" s="14" t="s">
        <v>93</v>
      </c>
      <c r="F98" s="13"/>
      <c r="G98" s="12"/>
    </row>
    <row r="99" spans="3:7">
      <c r="C99" s="10" t="s">
        <v>691</v>
      </c>
      <c r="D99" s="32" t="s">
        <v>284</v>
      </c>
      <c r="E99" s="14" t="s">
        <v>93</v>
      </c>
      <c r="F99" s="13"/>
      <c r="G99" s="12"/>
    </row>
    <row r="100" spans="3:7">
      <c r="C100" s="10" t="s">
        <v>692</v>
      </c>
      <c r="D100" s="32" t="s">
        <v>284</v>
      </c>
      <c r="E100" s="14" t="s">
        <v>93</v>
      </c>
      <c r="F100" s="13"/>
      <c r="G100" s="12"/>
    </row>
    <row r="101" spans="3:7">
      <c r="C101" s="10" t="s">
        <v>693</v>
      </c>
      <c r="D101" s="32" t="s">
        <v>284</v>
      </c>
      <c r="E101" s="14" t="s">
        <v>93</v>
      </c>
    </row>
    <row r="102" spans="3:7">
      <c r="C102" s="10" t="s">
        <v>694</v>
      </c>
      <c r="D102" s="32" t="s">
        <v>284</v>
      </c>
      <c r="E102" s="14" t="s">
        <v>93</v>
      </c>
    </row>
    <row r="103" spans="3:7">
      <c r="C103" s="10" t="s">
        <v>695</v>
      </c>
      <c r="D103" s="32" t="s">
        <v>284</v>
      </c>
      <c r="E103" s="14" t="s">
        <v>93</v>
      </c>
    </row>
    <row r="104" spans="3:7">
      <c r="C104" s="10" t="s">
        <v>696</v>
      </c>
      <c r="D104" s="32" t="s">
        <v>284</v>
      </c>
      <c r="E104" s="14" t="s">
        <v>93</v>
      </c>
    </row>
    <row r="105" spans="3:7">
      <c r="C105" s="10" t="s">
        <v>697</v>
      </c>
      <c r="D105" s="32" t="s">
        <v>284</v>
      </c>
      <c r="E105" s="14" t="s">
        <v>93</v>
      </c>
    </row>
    <row r="106" spans="3:7">
      <c r="C106" s="10" t="s">
        <v>698</v>
      </c>
      <c r="D106" s="32" t="s">
        <v>284</v>
      </c>
      <c r="E106" s="14" t="s">
        <v>93</v>
      </c>
    </row>
    <row r="107" spans="3:7">
      <c r="C107" s="10" t="s">
        <v>699</v>
      </c>
      <c r="D107" s="32" t="s">
        <v>284</v>
      </c>
      <c r="E107" s="14" t="s">
        <v>93</v>
      </c>
    </row>
    <row r="108" spans="3:7">
      <c r="C108" s="10" t="s">
        <v>700</v>
      </c>
      <c r="D108" s="32" t="s">
        <v>284</v>
      </c>
      <c r="E108" s="14" t="s">
        <v>93</v>
      </c>
    </row>
    <row r="109" spans="3:7">
      <c r="C109" s="10" t="s">
        <v>701</v>
      </c>
      <c r="D109" s="32" t="s">
        <v>284</v>
      </c>
      <c r="E109" s="14" t="s">
        <v>93</v>
      </c>
    </row>
    <row r="110" spans="3:7">
      <c r="C110" s="10" t="s">
        <v>702</v>
      </c>
      <c r="D110" s="32" t="s">
        <v>284</v>
      </c>
      <c r="E110" s="14" t="s">
        <v>93</v>
      </c>
    </row>
    <row r="111" spans="3:7">
      <c r="C111" s="10" t="s">
        <v>703</v>
      </c>
      <c r="D111" s="32" t="s">
        <v>284</v>
      </c>
      <c r="E111" s="14" t="s">
        <v>93</v>
      </c>
    </row>
    <row r="112" spans="3:7">
      <c r="C112" s="10" t="s">
        <v>704</v>
      </c>
      <c r="D112" s="32" t="s">
        <v>284</v>
      </c>
      <c r="E112" s="14" t="s">
        <v>93</v>
      </c>
    </row>
    <row r="113" spans="3:7">
      <c r="C113" s="10" t="s">
        <v>705</v>
      </c>
      <c r="D113" s="32" t="s">
        <v>284</v>
      </c>
      <c r="E113" s="14" t="s">
        <v>93</v>
      </c>
    </row>
    <row r="114" spans="3:7">
      <c r="C114" s="10" t="s">
        <v>706</v>
      </c>
      <c r="D114" s="32" t="s">
        <v>284</v>
      </c>
      <c r="E114" s="14" t="s">
        <v>93</v>
      </c>
    </row>
    <row r="115" spans="3:7">
      <c r="C115" s="10" t="s">
        <v>707</v>
      </c>
      <c r="D115" s="32" t="s">
        <v>284</v>
      </c>
      <c r="E115" s="14" t="s">
        <v>93</v>
      </c>
    </row>
    <row r="116" spans="3:7">
      <c r="C116" s="10" t="s">
        <v>708</v>
      </c>
      <c r="D116" s="32" t="s">
        <v>284</v>
      </c>
      <c r="E116" s="14" t="s">
        <v>93</v>
      </c>
    </row>
    <row r="117" spans="3:7">
      <c r="C117" s="10" t="s">
        <v>709</v>
      </c>
      <c r="D117" s="32" t="s">
        <v>284</v>
      </c>
      <c r="E117" s="14" t="s">
        <v>93</v>
      </c>
    </row>
    <row r="118" spans="3:7">
      <c r="C118" s="10" t="s">
        <v>710</v>
      </c>
      <c r="D118" s="32" t="s">
        <v>284</v>
      </c>
      <c r="E118" s="14" t="s">
        <v>93</v>
      </c>
    </row>
    <row r="119" spans="3:7">
      <c r="C119" s="10" t="s">
        <v>711</v>
      </c>
      <c r="D119" s="32" t="s">
        <v>284</v>
      </c>
      <c r="E119" s="14" t="s">
        <v>93</v>
      </c>
    </row>
    <row r="120" spans="3:7">
      <c r="C120" s="10" t="s">
        <v>712</v>
      </c>
      <c r="D120" s="32" t="s">
        <v>284</v>
      </c>
      <c r="E120" s="14" t="s">
        <v>93</v>
      </c>
    </row>
    <row r="121" spans="3:7">
      <c r="C121" s="10" t="s">
        <v>713</v>
      </c>
      <c r="D121" s="32" t="s">
        <v>284</v>
      </c>
      <c r="E121" s="14" t="s">
        <v>93</v>
      </c>
    </row>
    <row r="122" spans="3:7">
      <c r="C122" s="10" t="s">
        <v>714</v>
      </c>
      <c r="D122" s="32" t="s">
        <v>284</v>
      </c>
      <c r="E122" s="14" t="s">
        <v>93</v>
      </c>
    </row>
    <row r="123" spans="3:7">
      <c r="C123" s="10" t="s">
        <v>715</v>
      </c>
      <c r="D123" s="32" t="s">
        <v>284</v>
      </c>
      <c r="E123" s="14" t="s">
        <v>93</v>
      </c>
    </row>
    <row r="124" spans="3:7">
      <c r="C124" s="10" t="s">
        <v>716</v>
      </c>
      <c r="D124" s="32" t="s">
        <v>284</v>
      </c>
      <c r="E124" s="14" t="s">
        <v>16</v>
      </c>
    </row>
    <row r="125" spans="3:7">
      <c r="C125" s="10" t="s">
        <v>717</v>
      </c>
      <c r="D125" s="32" t="s">
        <v>284</v>
      </c>
      <c r="E125" s="14" t="s">
        <v>16</v>
      </c>
    </row>
    <row r="126" spans="3:7">
      <c r="C126" s="10" t="s">
        <v>718</v>
      </c>
      <c r="D126" s="32" t="s">
        <v>284</v>
      </c>
      <c r="E126" s="14" t="s">
        <v>16</v>
      </c>
    </row>
    <row r="127" spans="3:7">
      <c r="C127" s="12" t="s">
        <v>0</v>
      </c>
      <c r="D127" s="12" t="s">
        <v>11</v>
      </c>
      <c r="E127" s="11" t="s">
        <v>16</v>
      </c>
      <c r="F127" s="13" t="s">
        <v>20</v>
      </c>
      <c r="G127" s="12" t="s">
        <v>30</v>
      </c>
    </row>
    <row r="128" spans="3:7">
      <c r="C128" s="12" t="s">
        <v>1</v>
      </c>
      <c r="D128" s="12" t="s">
        <v>37</v>
      </c>
      <c r="E128" s="11"/>
      <c r="F128" s="13"/>
      <c r="G128" s="12" t="s">
        <v>31</v>
      </c>
    </row>
    <row r="129" spans="3:7">
      <c r="C129" s="12" t="s">
        <v>19</v>
      </c>
      <c r="D129" s="12" t="s">
        <v>11</v>
      </c>
      <c r="E129" s="11" t="s">
        <v>16</v>
      </c>
      <c r="F129" s="13" t="s">
        <v>20</v>
      </c>
      <c r="G129" s="12" t="s">
        <v>32</v>
      </c>
    </row>
    <row r="130" spans="3:7">
      <c r="C130" s="12" t="s">
        <v>2</v>
      </c>
      <c r="D130" s="12" t="s">
        <v>37</v>
      </c>
      <c r="E130" s="11"/>
      <c r="F130" s="13"/>
      <c r="G130" s="12" t="s">
        <v>33</v>
      </c>
    </row>
  </sheetData>
  <phoneticPr fontId="3" type="noConversion"/>
  <hyperlinks>
    <hyperlink ref="A1" location="目錄!A1" display="回到目錄"/>
  </hyperlinks>
  <pageMargins left="0.7" right="0.7" top="0.75" bottom="0.75" header="0.3" footer="0.3"/>
  <pageSetup paperSize="9" orientation="portrait" horizontalDpi="300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8"/>
  <dimension ref="A1:S129"/>
  <sheetViews>
    <sheetView workbookViewId="0">
      <pane ySplit="1" topLeftCell="A2" activePane="bottomLeft" state="frozen"/>
      <selection pane="bottomLeft"/>
    </sheetView>
  </sheetViews>
  <sheetFormatPr defaultColWidth="11.1796875" defaultRowHeight="13.8"/>
  <cols>
    <col min="1" max="1" width="7.453125" style="10" bestFit="1" customWidth="1"/>
    <col min="2" max="2" width="4.36328125" style="10" bestFit="1" customWidth="1"/>
    <col min="3" max="3" width="11.90625" style="10" bestFit="1" customWidth="1"/>
    <col min="4" max="4" width="11" style="10" bestFit="1" customWidth="1"/>
    <col min="5" max="5" width="7.54296875" style="14" bestFit="1" customWidth="1"/>
    <col min="6" max="6" width="10" style="15" bestFit="1" customWidth="1"/>
    <col min="7" max="7" width="10.6328125" style="10" bestFit="1" customWidth="1"/>
    <col min="8" max="8" width="28.08984375" style="10" bestFit="1" customWidth="1"/>
    <col min="9" max="9" width="10.08984375" style="10" bestFit="1" customWidth="1"/>
    <col min="10" max="12" width="4.54296875" style="15" bestFit="1" customWidth="1"/>
    <col min="13" max="13" width="13.81640625" style="14" bestFit="1" customWidth="1"/>
    <col min="14" max="16" width="6.6328125" style="14" customWidth="1"/>
    <col min="17" max="28" width="6.6328125" style="10" customWidth="1"/>
    <col min="29" max="32" width="14.453125" style="10" customWidth="1"/>
    <col min="33" max="16384" width="11.1796875" style="10"/>
  </cols>
  <sheetData>
    <row r="1" spans="1:19">
      <c r="A1" s="23" t="s">
        <v>36</v>
      </c>
      <c r="B1" s="5" t="s">
        <v>5</v>
      </c>
      <c r="C1" s="6" t="s">
        <v>3</v>
      </c>
      <c r="D1" s="6" t="s">
        <v>4</v>
      </c>
      <c r="E1" s="7" t="s">
        <v>6</v>
      </c>
      <c r="F1" s="9" t="s">
        <v>13</v>
      </c>
      <c r="G1" s="9" t="s">
        <v>7</v>
      </c>
      <c r="H1" s="9" t="s">
        <v>8</v>
      </c>
      <c r="I1" s="9" t="s">
        <v>467</v>
      </c>
      <c r="L1" s="72" t="s">
        <v>240</v>
      </c>
      <c r="M1" s="72" t="s">
        <v>485</v>
      </c>
      <c r="N1" s="72" t="s">
        <v>470</v>
      </c>
      <c r="O1" s="72" t="s">
        <v>471</v>
      </c>
      <c r="P1" s="72" t="s">
        <v>472</v>
      </c>
      <c r="Q1" s="72" t="s">
        <v>473</v>
      </c>
      <c r="R1" s="72" t="s">
        <v>474</v>
      </c>
      <c r="S1" s="73" t="s">
        <v>475</v>
      </c>
    </row>
    <row r="2" spans="1:19">
      <c r="B2" s="11" t="s">
        <v>14</v>
      </c>
      <c r="C2" s="13" t="s">
        <v>80</v>
      </c>
      <c r="D2" s="18" t="s">
        <v>24</v>
      </c>
      <c r="E2" s="11"/>
      <c r="F2" s="12"/>
      <c r="G2" s="12" t="s">
        <v>81</v>
      </c>
      <c r="L2" s="36"/>
      <c r="M2" s="34"/>
      <c r="N2" s="36" t="str">
        <f>"EXEC sp_dropextendedproperty @name = N'MS_Description', @level0type=N'SCHEMA',@level0name=N'"&amp;$L$1&amp;"', @level1type=N'TABLE',@level1name=N'"&amp;$M$1&amp;"', @level2type=N'COLUMN',@level2name=N'"&amp;$C2&amp;"'"</f>
        <v>EXEC sp_dropextendedproperty @name = N'MS_Description', @level0type=N'SCHEMA',@level0name=N'dbo', @level1type=N'TABLE',@level1name=N'LifeInsActFactor', @level2type=N'COLUMN',@level2name=N'PlanCode'</v>
      </c>
      <c r="O2" s="36" t="str">
        <f>"EXEC sp_dropextendedproperty @name = N'Rule', @level0type=N'SCHEMA',@level0name=N'"&amp;$L$1&amp;"', @level1type=N'TABLE',@level1name=N'"&amp;$M$1&amp;"', @level2type=N'COLUMN',@level2name=N'"&amp;$C2&amp;"'"</f>
        <v>EXEC sp_dropextendedproperty @name = N'Rule', @level0type=N'SCHEMA',@level0name=N'dbo', @level1type=N'TABLE',@level1name=N'LifeInsActFactor', @level2type=N'COLUMN',@level2name=N'PlanCode'</v>
      </c>
      <c r="P2" s="36" t="str">
        <f>"EXEC sp_dropextendedproperty @name = N'Memo', @level0type=N'SCHEMA',@level0name=N'"&amp;$L$1&amp;"', @level1type=N'TABLE',@level1name=N'"&amp;$M$1&amp;"', @level2type=N'COLUMN',@level2name=N'"&amp;$C2&amp;"'"</f>
        <v>EXEC sp_dropextendedproperty @name = N'Memo', @level0type=N'SCHEMA',@level0name=N'dbo', @level1type=N'TABLE',@level1name=N'LifeInsActFactor', @level2type=N'COLUMN',@level2name=N'PlanCode'</v>
      </c>
      <c r="Q2" s="36" t="str">
        <f>"set @OldWording = N'"&amp;SUBSTITUTE($G2,CHAR(10),"")&amp;"'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@level2type=N'COLUMN',@level2name=N'"&amp;$C2&amp;"'"</f>
        <v>set @OldWording = N'險種代碼' set @NewWording = REPLACE(@OldWording,'***',char(13)+char(10)) EXEC sys.sp_addextendedproperty @name=N'MS_Description', @value=@NewWording , @level0type=N'SCHEMA',@level0name=N'dbo', @level1type=N'TABLE',@level1name=N'LifeInsActFactor', @level2type=N'COLUMN',@level2name=N'PlanCode'</v>
      </c>
      <c r="R2" s="32" t="str">
        <f>"set @OldWording = N'"&amp;SUBSTITUTE($H2,CHAR(10),"")&amp;"'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@name=N'Rule', @value=@NewWording , @level0type=N'SCHEMA',@level0name=N'dbo', @level1type=N'TABLE',@level1name=N'LifeInsActFactor', @level2type=N'COLUMN',@level2name=N'PlanCode'</v>
      </c>
      <c r="S2" s="36" t="str">
        <f>"set @OldWording = N'"&amp;SUBSTITUTE($I2,CHAR(10),"")&amp;"' set @NewWording = REPLACE(@OldWording,'***',char(13)+char(10)) "&amp;"EXEC sys.sp_addextendedproperty @name=N'Memo',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@name=N'Memo', @value=@NewWording , @level0type=N'SCHEMA',@level0name=N'dbo', @level1type=N'TABLE',@level1name=N'LifeInsActFactor', @level2type=N'COLUMN',@level2name=N'PlanCode'</v>
      </c>
    </row>
    <row r="3" spans="1:19" ht="27.6">
      <c r="B3" s="11" t="s">
        <v>14</v>
      </c>
      <c r="C3" s="15" t="s">
        <v>3728</v>
      </c>
      <c r="D3" s="15" t="s">
        <v>21</v>
      </c>
      <c r="F3" s="10"/>
      <c r="G3" s="10" t="s">
        <v>78</v>
      </c>
      <c r="H3" s="16" t="s">
        <v>3652</v>
      </c>
      <c r="I3" s="16"/>
    </row>
    <row r="4" spans="1:19">
      <c r="B4" s="11" t="s">
        <v>14</v>
      </c>
      <c r="C4" s="12" t="s">
        <v>86</v>
      </c>
      <c r="D4" s="12" t="s">
        <v>34</v>
      </c>
      <c r="F4" s="13"/>
      <c r="G4" s="12" t="s">
        <v>87</v>
      </c>
    </row>
    <row r="5" spans="1:19">
      <c r="B5" s="11" t="s">
        <v>14</v>
      </c>
      <c r="C5" s="12" t="s">
        <v>50</v>
      </c>
      <c r="D5" s="12" t="s">
        <v>21</v>
      </c>
      <c r="F5" s="13"/>
      <c r="G5" s="12" t="s">
        <v>52</v>
      </c>
      <c r="H5" s="16" t="s">
        <v>493</v>
      </c>
      <c r="I5" s="27" t="s">
        <v>267</v>
      </c>
    </row>
    <row r="6" spans="1:19">
      <c r="B6" s="11" t="s">
        <v>14</v>
      </c>
      <c r="C6" s="10" t="s">
        <v>75</v>
      </c>
      <c r="D6" s="12" t="s">
        <v>34</v>
      </c>
      <c r="F6" s="13"/>
      <c r="G6" s="10" t="s">
        <v>74</v>
      </c>
    </row>
    <row r="7" spans="1:19" ht="41.4">
      <c r="B7" s="11" t="s">
        <v>3863</v>
      </c>
      <c r="C7" s="10" t="s">
        <v>3865</v>
      </c>
      <c r="D7" s="12" t="s">
        <v>3864</v>
      </c>
      <c r="F7" s="13"/>
      <c r="G7" s="10" t="s">
        <v>3866</v>
      </c>
      <c r="H7" s="26" t="s">
        <v>3867</v>
      </c>
    </row>
    <row r="8" spans="1:19">
      <c r="B8" s="11" t="s">
        <v>14</v>
      </c>
      <c r="C8" s="10" t="s">
        <v>3593</v>
      </c>
      <c r="D8" s="12" t="s">
        <v>23</v>
      </c>
      <c r="F8" s="13"/>
      <c r="G8" s="10" t="s">
        <v>3594</v>
      </c>
    </row>
    <row r="9" spans="1:19">
      <c r="B9" s="11"/>
      <c r="C9" s="29" t="s">
        <v>3730</v>
      </c>
      <c r="D9" s="29" t="s">
        <v>126</v>
      </c>
      <c r="E9" s="28"/>
      <c r="F9" s="22"/>
      <c r="G9" s="22" t="s">
        <v>125</v>
      </c>
      <c r="H9" s="27" t="s">
        <v>3591</v>
      </c>
    </row>
    <row r="10" spans="1:19">
      <c r="B10" s="11"/>
      <c r="C10" s="29" t="s">
        <v>123</v>
      </c>
      <c r="D10" s="29" t="s">
        <v>126</v>
      </c>
      <c r="E10" s="28"/>
      <c r="F10" s="22"/>
      <c r="G10" s="22" t="s">
        <v>124</v>
      </c>
      <c r="H10" s="27" t="s">
        <v>3591</v>
      </c>
    </row>
    <row r="11" spans="1:19">
      <c r="C11" s="10" t="s">
        <v>604</v>
      </c>
      <c r="D11" s="32" t="s">
        <v>285</v>
      </c>
      <c r="E11" s="14" t="s">
        <v>16</v>
      </c>
      <c r="F11" s="13"/>
      <c r="H11" s="16"/>
      <c r="I11" s="16"/>
    </row>
    <row r="12" spans="1:19">
      <c r="C12" s="10" t="s">
        <v>605</v>
      </c>
      <c r="D12" s="32" t="s">
        <v>285</v>
      </c>
      <c r="E12" s="14" t="s">
        <v>16</v>
      </c>
      <c r="F12" s="13"/>
    </row>
    <row r="13" spans="1:19">
      <c r="C13" s="10" t="s">
        <v>606</v>
      </c>
      <c r="D13" s="32" t="s">
        <v>284</v>
      </c>
      <c r="E13" s="14" t="s">
        <v>16</v>
      </c>
      <c r="F13" s="13"/>
    </row>
    <row r="14" spans="1:19">
      <c r="C14" s="10" t="s">
        <v>607</v>
      </c>
      <c r="D14" s="32" t="s">
        <v>284</v>
      </c>
      <c r="E14" s="14" t="s">
        <v>16</v>
      </c>
      <c r="F14" s="13"/>
    </row>
    <row r="15" spans="1:19">
      <c r="C15" s="10" t="s">
        <v>608</v>
      </c>
      <c r="D15" s="32" t="s">
        <v>284</v>
      </c>
      <c r="E15" s="14" t="s">
        <v>16</v>
      </c>
      <c r="F15" s="13"/>
    </row>
    <row r="16" spans="1:19">
      <c r="C16" s="10" t="s">
        <v>609</v>
      </c>
      <c r="D16" s="32" t="s">
        <v>284</v>
      </c>
      <c r="E16" s="14" t="s">
        <v>16</v>
      </c>
      <c r="F16" s="13"/>
    </row>
    <row r="17" spans="3:6">
      <c r="C17" s="10" t="s">
        <v>610</v>
      </c>
      <c r="D17" s="32" t="s">
        <v>284</v>
      </c>
      <c r="E17" s="14" t="s">
        <v>16</v>
      </c>
      <c r="F17" s="13"/>
    </row>
    <row r="18" spans="3:6">
      <c r="C18" s="10" t="s">
        <v>611</v>
      </c>
      <c r="D18" s="32" t="s">
        <v>284</v>
      </c>
      <c r="E18" s="14" t="s">
        <v>16</v>
      </c>
      <c r="F18" s="13"/>
    </row>
    <row r="19" spans="3:6">
      <c r="C19" s="10" t="s">
        <v>612</v>
      </c>
      <c r="D19" s="32" t="s">
        <v>284</v>
      </c>
      <c r="E19" s="14" t="s">
        <v>16</v>
      </c>
      <c r="F19" s="13"/>
    </row>
    <row r="20" spans="3:6">
      <c r="C20" s="10" t="s">
        <v>613</v>
      </c>
      <c r="D20" s="32" t="s">
        <v>284</v>
      </c>
      <c r="E20" s="14" t="s">
        <v>16</v>
      </c>
      <c r="F20" s="13"/>
    </row>
    <row r="21" spans="3:6">
      <c r="C21" s="10" t="s">
        <v>614</v>
      </c>
      <c r="D21" s="32" t="s">
        <v>284</v>
      </c>
      <c r="E21" s="14" t="s">
        <v>16</v>
      </c>
      <c r="F21" s="13"/>
    </row>
    <row r="22" spans="3:6">
      <c r="C22" s="10" t="s">
        <v>615</v>
      </c>
      <c r="D22" s="32" t="s">
        <v>284</v>
      </c>
      <c r="E22" s="14" t="s">
        <v>16</v>
      </c>
      <c r="F22" s="13"/>
    </row>
    <row r="23" spans="3:6">
      <c r="C23" s="10" t="s">
        <v>616</v>
      </c>
      <c r="D23" s="32" t="s">
        <v>284</v>
      </c>
      <c r="E23" s="14" t="s">
        <v>16</v>
      </c>
      <c r="F23" s="13"/>
    </row>
    <row r="24" spans="3:6">
      <c r="C24" s="10" t="s">
        <v>617</v>
      </c>
      <c r="D24" s="32" t="s">
        <v>284</v>
      </c>
      <c r="E24" s="14" t="s">
        <v>16</v>
      </c>
      <c r="F24" s="13"/>
    </row>
    <row r="25" spans="3:6">
      <c r="C25" s="10" t="s">
        <v>618</v>
      </c>
      <c r="D25" s="32" t="s">
        <v>284</v>
      </c>
      <c r="E25" s="14" t="s">
        <v>16</v>
      </c>
      <c r="F25" s="13"/>
    </row>
    <row r="26" spans="3:6">
      <c r="C26" s="10" t="s">
        <v>619</v>
      </c>
      <c r="D26" s="32" t="s">
        <v>284</v>
      </c>
      <c r="E26" s="14" t="s">
        <v>16</v>
      </c>
      <c r="F26" s="13"/>
    </row>
    <row r="27" spans="3:6">
      <c r="C27" s="10" t="s">
        <v>620</v>
      </c>
      <c r="D27" s="32" t="s">
        <v>284</v>
      </c>
      <c r="E27" s="14" t="s">
        <v>16</v>
      </c>
      <c r="F27" s="13"/>
    </row>
    <row r="28" spans="3:6">
      <c r="C28" s="10" t="s">
        <v>621</v>
      </c>
      <c r="D28" s="32" t="s">
        <v>284</v>
      </c>
      <c r="E28" s="14" t="s">
        <v>16</v>
      </c>
      <c r="F28" s="13"/>
    </row>
    <row r="29" spans="3:6">
      <c r="C29" s="10" t="s">
        <v>622</v>
      </c>
      <c r="D29" s="32" t="s">
        <v>284</v>
      </c>
      <c r="E29" s="14" t="s">
        <v>16</v>
      </c>
      <c r="F29" s="13"/>
    </row>
    <row r="30" spans="3:6">
      <c r="C30" s="10" t="s">
        <v>623</v>
      </c>
      <c r="D30" s="32" t="s">
        <v>284</v>
      </c>
      <c r="E30" s="14" t="s">
        <v>16</v>
      </c>
      <c r="F30" s="13"/>
    </row>
    <row r="31" spans="3:6">
      <c r="C31" s="10" t="s">
        <v>624</v>
      </c>
      <c r="D31" s="32" t="s">
        <v>284</v>
      </c>
      <c r="E31" s="14" t="s">
        <v>16</v>
      </c>
      <c r="F31" s="13"/>
    </row>
    <row r="32" spans="3:6">
      <c r="C32" s="10" t="s">
        <v>625</v>
      </c>
      <c r="D32" s="32" t="s">
        <v>284</v>
      </c>
      <c r="E32" s="14" t="s">
        <v>16</v>
      </c>
      <c r="F32" s="13"/>
    </row>
    <row r="33" spans="3:6">
      <c r="C33" s="10" t="s">
        <v>626</v>
      </c>
      <c r="D33" s="32" t="s">
        <v>284</v>
      </c>
      <c r="E33" s="14" t="s">
        <v>16</v>
      </c>
      <c r="F33" s="13"/>
    </row>
    <row r="34" spans="3:6">
      <c r="C34" s="10" t="s">
        <v>627</v>
      </c>
      <c r="D34" s="32" t="s">
        <v>284</v>
      </c>
      <c r="E34" s="14" t="s">
        <v>16</v>
      </c>
      <c r="F34" s="13"/>
    </row>
    <row r="35" spans="3:6">
      <c r="C35" s="10" t="s">
        <v>628</v>
      </c>
      <c r="D35" s="32" t="s">
        <v>284</v>
      </c>
      <c r="E35" s="14" t="s">
        <v>16</v>
      </c>
      <c r="F35" s="13"/>
    </row>
    <row r="36" spans="3:6">
      <c r="C36" s="10" t="s">
        <v>629</v>
      </c>
      <c r="D36" s="32" t="s">
        <v>284</v>
      </c>
      <c r="E36" s="14" t="s">
        <v>16</v>
      </c>
      <c r="F36" s="13"/>
    </row>
    <row r="37" spans="3:6">
      <c r="C37" s="10" t="s">
        <v>630</v>
      </c>
      <c r="D37" s="32" t="s">
        <v>284</v>
      </c>
      <c r="E37" s="14" t="s">
        <v>16</v>
      </c>
      <c r="F37" s="13"/>
    </row>
    <row r="38" spans="3:6">
      <c r="C38" s="10" t="s">
        <v>631</v>
      </c>
      <c r="D38" s="32" t="s">
        <v>284</v>
      </c>
      <c r="E38" s="14" t="s">
        <v>16</v>
      </c>
      <c r="F38" s="13"/>
    </row>
    <row r="39" spans="3:6">
      <c r="C39" s="10" t="s">
        <v>632</v>
      </c>
      <c r="D39" s="32" t="s">
        <v>284</v>
      </c>
      <c r="E39" s="14" t="s">
        <v>16</v>
      </c>
      <c r="F39" s="13"/>
    </row>
    <row r="40" spans="3:6">
      <c r="C40" s="10" t="s">
        <v>633</v>
      </c>
      <c r="D40" s="32" t="s">
        <v>284</v>
      </c>
      <c r="E40" s="14" t="s">
        <v>16</v>
      </c>
      <c r="F40" s="13"/>
    </row>
    <row r="41" spans="3:6">
      <c r="C41" s="10" t="s">
        <v>634</v>
      </c>
      <c r="D41" s="32" t="s">
        <v>284</v>
      </c>
      <c r="E41" s="14" t="s">
        <v>16</v>
      </c>
      <c r="F41" s="13"/>
    </row>
    <row r="42" spans="3:6">
      <c r="C42" s="10" t="s">
        <v>635</v>
      </c>
      <c r="D42" s="32" t="s">
        <v>284</v>
      </c>
      <c r="E42" s="14" t="s">
        <v>16</v>
      </c>
      <c r="F42" s="13"/>
    </row>
    <row r="43" spans="3:6">
      <c r="C43" s="10" t="s">
        <v>636</v>
      </c>
      <c r="D43" s="32" t="s">
        <v>284</v>
      </c>
      <c r="E43" s="14" t="s">
        <v>16</v>
      </c>
      <c r="F43" s="13"/>
    </row>
    <row r="44" spans="3:6">
      <c r="C44" s="10" t="s">
        <v>637</v>
      </c>
      <c r="D44" s="32" t="s">
        <v>284</v>
      </c>
      <c r="E44" s="14" t="s">
        <v>16</v>
      </c>
      <c r="F44" s="13"/>
    </row>
    <row r="45" spans="3:6">
      <c r="C45" s="10" t="s">
        <v>638</v>
      </c>
      <c r="D45" s="32" t="s">
        <v>284</v>
      </c>
      <c r="E45" s="14" t="s">
        <v>16</v>
      </c>
      <c r="F45" s="13"/>
    </row>
    <row r="46" spans="3:6">
      <c r="C46" s="10" t="s">
        <v>639</v>
      </c>
      <c r="D46" s="32" t="s">
        <v>284</v>
      </c>
      <c r="E46" s="14" t="s">
        <v>16</v>
      </c>
      <c r="F46" s="13"/>
    </row>
    <row r="47" spans="3:6">
      <c r="C47" s="10" t="s">
        <v>640</v>
      </c>
      <c r="D47" s="32" t="s">
        <v>284</v>
      </c>
      <c r="E47" s="14" t="s">
        <v>16</v>
      </c>
      <c r="F47" s="13"/>
    </row>
    <row r="48" spans="3:6">
      <c r="C48" s="10" t="s">
        <v>641</v>
      </c>
      <c r="D48" s="32" t="s">
        <v>284</v>
      </c>
      <c r="E48" s="14" t="s">
        <v>16</v>
      </c>
      <c r="F48" s="13"/>
    </row>
    <row r="49" spans="3:6">
      <c r="C49" s="10" t="s">
        <v>642</v>
      </c>
      <c r="D49" s="32" t="s">
        <v>284</v>
      </c>
      <c r="E49" s="14" t="s">
        <v>16</v>
      </c>
      <c r="F49" s="13"/>
    </row>
    <row r="50" spans="3:6">
      <c r="C50" s="10" t="s">
        <v>643</v>
      </c>
      <c r="D50" s="32" t="s">
        <v>284</v>
      </c>
      <c r="E50" s="14" t="s">
        <v>16</v>
      </c>
      <c r="F50" s="13"/>
    </row>
    <row r="51" spans="3:6">
      <c r="C51" s="10" t="s">
        <v>644</v>
      </c>
      <c r="D51" s="32" t="s">
        <v>284</v>
      </c>
      <c r="E51" s="14" t="s">
        <v>16</v>
      </c>
      <c r="F51" s="13"/>
    </row>
    <row r="52" spans="3:6">
      <c r="C52" s="10" t="s">
        <v>645</v>
      </c>
      <c r="D52" s="32" t="s">
        <v>284</v>
      </c>
      <c r="E52" s="14" t="s">
        <v>16</v>
      </c>
      <c r="F52" s="13"/>
    </row>
    <row r="53" spans="3:6">
      <c r="C53" s="10" t="s">
        <v>646</v>
      </c>
      <c r="D53" s="32" t="s">
        <v>284</v>
      </c>
      <c r="E53" s="14" t="s">
        <v>16</v>
      </c>
      <c r="F53" s="13"/>
    </row>
    <row r="54" spans="3:6">
      <c r="C54" s="10" t="s">
        <v>647</v>
      </c>
      <c r="D54" s="32" t="s">
        <v>284</v>
      </c>
      <c r="E54" s="14" t="s">
        <v>16</v>
      </c>
      <c r="F54" s="13"/>
    </row>
    <row r="55" spans="3:6">
      <c r="C55" s="10" t="s">
        <v>648</v>
      </c>
      <c r="D55" s="32" t="s">
        <v>284</v>
      </c>
      <c r="E55" s="14" t="s">
        <v>16</v>
      </c>
      <c r="F55" s="13"/>
    </row>
    <row r="56" spans="3:6">
      <c r="C56" s="10" t="s">
        <v>649</v>
      </c>
      <c r="D56" s="32" t="s">
        <v>284</v>
      </c>
      <c r="E56" s="14" t="s">
        <v>16</v>
      </c>
      <c r="F56" s="13"/>
    </row>
    <row r="57" spans="3:6">
      <c r="C57" s="10" t="s">
        <v>650</v>
      </c>
      <c r="D57" s="32" t="s">
        <v>284</v>
      </c>
      <c r="E57" s="14" t="s">
        <v>16</v>
      </c>
      <c r="F57" s="13"/>
    </row>
    <row r="58" spans="3:6">
      <c r="C58" s="10" t="s">
        <v>651</v>
      </c>
      <c r="D58" s="32" t="s">
        <v>284</v>
      </c>
      <c r="E58" s="14" t="s">
        <v>16</v>
      </c>
      <c r="F58" s="13"/>
    </row>
    <row r="59" spans="3:6">
      <c r="C59" s="10" t="s">
        <v>652</v>
      </c>
      <c r="D59" s="32" t="s">
        <v>284</v>
      </c>
      <c r="E59" s="14" t="s">
        <v>16</v>
      </c>
      <c r="F59" s="13"/>
    </row>
    <row r="60" spans="3:6">
      <c r="C60" s="10" t="s">
        <v>653</v>
      </c>
      <c r="D60" s="32" t="s">
        <v>284</v>
      </c>
      <c r="E60" s="14" t="s">
        <v>16</v>
      </c>
      <c r="F60" s="13"/>
    </row>
    <row r="61" spans="3:6">
      <c r="C61" s="10" t="s">
        <v>654</v>
      </c>
      <c r="D61" s="32" t="s">
        <v>284</v>
      </c>
      <c r="E61" s="14" t="s">
        <v>16</v>
      </c>
      <c r="F61" s="13"/>
    </row>
    <row r="62" spans="3:6">
      <c r="C62" s="10" t="s">
        <v>655</v>
      </c>
      <c r="D62" s="32" t="s">
        <v>284</v>
      </c>
      <c r="E62" s="14" t="s">
        <v>16</v>
      </c>
      <c r="F62" s="13"/>
    </row>
    <row r="63" spans="3:6">
      <c r="C63" s="10" t="s">
        <v>656</v>
      </c>
      <c r="D63" s="32" t="s">
        <v>284</v>
      </c>
      <c r="E63" s="14" t="s">
        <v>16</v>
      </c>
      <c r="F63" s="13"/>
    </row>
    <row r="64" spans="3:6">
      <c r="C64" s="10" t="s">
        <v>657</v>
      </c>
      <c r="D64" s="32" t="s">
        <v>284</v>
      </c>
      <c r="E64" s="14" t="s">
        <v>16</v>
      </c>
      <c r="F64" s="13"/>
    </row>
    <row r="65" spans="3:6">
      <c r="C65" s="10" t="s">
        <v>658</v>
      </c>
      <c r="D65" s="32" t="s">
        <v>284</v>
      </c>
      <c r="E65" s="14" t="s">
        <v>16</v>
      </c>
      <c r="F65" s="13"/>
    </row>
    <row r="66" spans="3:6">
      <c r="C66" s="10" t="s">
        <v>659</v>
      </c>
      <c r="D66" s="32" t="s">
        <v>284</v>
      </c>
      <c r="E66" s="14" t="s">
        <v>16</v>
      </c>
      <c r="F66" s="13"/>
    </row>
    <row r="67" spans="3:6">
      <c r="C67" s="10" t="s">
        <v>660</v>
      </c>
      <c r="D67" s="32" t="s">
        <v>284</v>
      </c>
      <c r="E67" s="14" t="s">
        <v>16</v>
      </c>
      <c r="F67" s="13"/>
    </row>
    <row r="68" spans="3:6">
      <c r="C68" s="10" t="s">
        <v>661</v>
      </c>
      <c r="D68" s="32" t="s">
        <v>284</v>
      </c>
      <c r="E68" s="14" t="s">
        <v>16</v>
      </c>
      <c r="F68" s="13"/>
    </row>
    <row r="69" spans="3:6">
      <c r="C69" s="10" t="s">
        <v>662</v>
      </c>
      <c r="D69" s="32" t="s">
        <v>284</v>
      </c>
      <c r="E69" s="14" t="s">
        <v>16</v>
      </c>
      <c r="F69" s="13"/>
    </row>
    <row r="70" spans="3:6">
      <c r="C70" s="10" t="s">
        <v>663</v>
      </c>
      <c r="D70" s="32" t="s">
        <v>284</v>
      </c>
      <c r="E70" s="14" t="s">
        <v>16</v>
      </c>
      <c r="F70" s="13"/>
    </row>
    <row r="71" spans="3:6">
      <c r="C71" s="10" t="s">
        <v>664</v>
      </c>
      <c r="D71" s="32" t="s">
        <v>284</v>
      </c>
      <c r="E71" s="14" t="s">
        <v>16</v>
      </c>
      <c r="F71" s="13"/>
    </row>
    <row r="72" spans="3:6">
      <c r="C72" s="10" t="s">
        <v>665</v>
      </c>
      <c r="D72" s="32" t="s">
        <v>284</v>
      </c>
      <c r="E72" s="14" t="s">
        <v>16</v>
      </c>
      <c r="F72" s="13"/>
    </row>
    <row r="73" spans="3:6">
      <c r="C73" s="10" t="s">
        <v>666</v>
      </c>
      <c r="D73" s="32" t="s">
        <v>284</v>
      </c>
      <c r="E73" s="14" t="s">
        <v>16</v>
      </c>
      <c r="F73" s="13"/>
    </row>
    <row r="74" spans="3:6">
      <c r="C74" s="10" t="s">
        <v>667</v>
      </c>
      <c r="D74" s="32" t="s">
        <v>284</v>
      </c>
      <c r="E74" s="14" t="s">
        <v>16</v>
      </c>
      <c r="F74" s="13"/>
    </row>
    <row r="75" spans="3:6">
      <c r="C75" s="10" t="s">
        <v>668</v>
      </c>
      <c r="D75" s="32" t="s">
        <v>284</v>
      </c>
      <c r="E75" s="14" t="s">
        <v>16</v>
      </c>
      <c r="F75" s="13"/>
    </row>
    <row r="76" spans="3:6">
      <c r="C76" s="10" t="s">
        <v>669</v>
      </c>
      <c r="D76" s="32" t="s">
        <v>284</v>
      </c>
      <c r="E76" s="14" t="s">
        <v>16</v>
      </c>
      <c r="F76" s="13"/>
    </row>
    <row r="77" spans="3:6">
      <c r="C77" s="10" t="s">
        <v>670</v>
      </c>
      <c r="D77" s="32" t="s">
        <v>284</v>
      </c>
      <c r="E77" s="14" t="s">
        <v>16</v>
      </c>
      <c r="F77" s="13"/>
    </row>
    <row r="78" spans="3:6">
      <c r="C78" s="10" t="s">
        <v>671</v>
      </c>
      <c r="D78" s="32" t="s">
        <v>284</v>
      </c>
      <c r="E78" s="14" t="s">
        <v>16</v>
      </c>
      <c r="F78" s="13"/>
    </row>
    <row r="79" spans="3:6">
      <c r="C79" s="10" t="s">
        <v>672</v>
      </c>
      <c r="D79" s="32" t="s">
        <v>284</v>
      </c>
      <c r="E79" s="14" t="s">
        <v>16</v>
      </c>
      <c r="F79" s="13"/>
    </row>
    <row r="80" spans="3:6">
      <c r="C80" s="10" t="s">
        <v>673</v>
      </c>
      <c r="D80" s="32" t="s">
        <v>284</v>
      </c>
      <c r="E80" s="14" t="s">
        <v>16</v>
      </c>
      <c r="F80" s="13"/>
    </row>
    <row r="81" spans="3:6">
      <c r="C81" s="10" t="s">
        <v>674</v>
      </c>
      <c r="D81" s="32" t="s">
        <v>284</v>
      </c>
      <c r="E81" s="14" t="s">
        <v>16</v>
      </c>
      <c r="F81" s="13"/>
    </row>
    <row r="82" spans="3:6">
      <c r="C82" s="10" t="s">
        <v>675</v>
      </c>
      <c r="D82" s="32" t="s">
        <v>284</v>
      </c>
      <c r="E82" s="14" t="s">
        <v>16</v>
      </c>
      <c r="F82" s="13"/>
    </row>
    <row r="83" spans="3:6">
      <c r="C83" s="10" t="s">
        <v>676</v>
      </c>
      <c r="D83" s="32" t="s">
        <v>284</v>
      </c>
      <c r="E83" s="14" t="s">
        <v>16</v>
      </c>
      <c r="F83" s="13"/>
    </row>
    <row r="84" spans="3:6">
      <c r="C84" s="10" t="s">
        <v>677</v>
      </c>
      <c r="D84" s="32" t="s">
        <v>284</v>
      </c>
      <c r="E84" s="14" t="s">
        <v>16</v>
      </c>
      <c r="F84" s="13"/>
    </row>
    <row r="85" spans="3:6">
      <c r="C85" s="10" t="s">
        <v>678</v>
      </c>
      <c r="D85" s="32" t="s">
        <v>284</v>
      </c>
      <c r="E85" s="14" t="s">
        <v>16</v>
      </c>
      <c r="F85" s="13"/>
    </row>
    <row r="86" spans="3:6">
      <c r="C86" s="10" t="s">
        <v>679</v>
      </c>
      <c r="D86" s="32" t="s">
        <v>284</v>
      </c>
      <c r="E86" s="14" t="s">
        <v>16</v>
      </c>
      <c r="F86" s="13"/>
    </row>
    <row r="87" spans="3:6">
      <c r="C87" s="10" t="s">
        <v>680</v>
      </c>
      <c r="D87" s="32" t="s">
        <v>284</v>
      </c>
      <c r="E87" s="14" t="s">
        <v>16</v>
      </c>
      <c r="F87" s="13"/>
    </row>
    <row r="88" spans="3:6">
      <c r="C88" s="10" t="s">
        <v>681</v>
      </c>
      <c r="D88" s="32" t="s">
        <v>284</v>
      </c>
      <c r="E88" s="14" t="s">
        <v>16</v>
      </c>
      <c r="F88" s="13"/>
    </row>
    <row r="89" spans="3:6">
      <c r="C89" s="10" t="s">
        <v>682</v>
      </c>
      <c r="D89" s="32" t="s">
        <v>284</v>
      </c>
      <c r="E89" s="14" t="s">
        <v>16</v>
      </c>
      <c r="F89" s="13"/>
    </row>
    <row r="90" spans="3:6">
      <c r="C90" s="10" t="s">
        <v>683</v>
      </c>
      <c r="D90" s="32" t="s">
        <v>284</v>
      </c>
      <c r="E90" s="14" t="s">
        <v>16</v>
      </c>
      <c r="F90" s="13"/>
    </row>
    <row r="91" spans="3:6">
      <c r="C91" s="10" t="s">
        <v>684</v>
      </c>
      <c r="D91" s="32" t="s">
        <v>284</v>
      </c>
      <c r="E91" s="14" t="s">
        <v>16</v>
      </c>
      <c r="F91" s="13"/>
    </row>
    <row r="92" spans="3:6">
      <c r="C92" s="10" t="s">
        <v>685</v>
      </c>
      <c r="D92" s="32" t="s">
        <v>284</v>
      </c>
      <c r="E92" s="14" t="s">
        <v>16</v>
      </c>
      <c r="F92" s="13"/>
    </row>
    <row r="93" spans="3:6">
      <c r="C93" s="10" t="s">
        <v>686</v>
      </c>
      <c r="D93" s="32" t="s">
        <v>284</v>
      </c>
      <c r="E93" s="14" t="s">
        <v>16</v>
      </c>
      <c r="F93" s="13"/>
    </row>
    <row r="94" spans="3:6">
      <c r="C94" s="10" t="s">
        <v>687</v>
      </c>
      <c r="D94" s="32" t="s">
        <v>284</v>
      </c>
      <c r="E94" s="14" t="s">
        <v>16</v>
      </c>
      <c r="F94" s="13"/>
    </row>
    <row r="95" spans="3:6">
      <c r="C95" s="10" t="s">
        <v>688</v>
      </c>
      <c r="D95" s="32" t="s">
        <v>284</v>
      </c>
      <c r="E95" s="14" t="s">
        <v>16</v>
      </c>
      <c r="F95" s="13"/>
    </row>
    <row r="96" spans="3:6">
      <c r="C96" s="10" t="s">
        <v>689</v>
      </c>
      <c r="D96" s="32" t="s">
        <v>284</v>
      </c>
      <c r="E96" s="14" t="s">
        <v>16</v>
      </c>
      <c r="F96" s="13"/>
    </row>
    <row r="97" spans="3:6">
      <c r="C97" s="10" t="s">
        <v>690</v>
      </c>
      <c r="D97" s="32" t="s">
        <v>284</v>
      </c>
      <c r="E97" s="14" t="s">
        <v>16</v>
      </c>
      <c r="F97" s="13"/>
    </row>
    <row r="98" spans="3:6">
      <c r="C98" s="10" t="s">
        <v>691</v>
      </c>
      <c r="D98" s="32" t="s">
        <v>284</v>
      </c>
      <c r="E98" s="14" t="s">
        <v>16</v>
      </c>
      <c r="F98" s="13"/>
    </row>
    <row r="99" spans="3:6">
      <c r="C99" s="10" t="s">
        <v>692</v>
      </c>
      <c r="D99" s="32" t="s">
        <v>284</v>
      </c>
      <c r="E99" s="14" t="s">
        <v>16</v>
      </c>
      <c r="F99" s="13"/>
    </row>
    <row r="100" spans="3:6">
      <c r="C100" s="10" t="s">
        <v>693</v>
      </c>
      <c r="D100" s="32" t="s">
        <v>284</v>
      </c>
      <c r="E100" s="14" t="s">
        <v>16</v>
      </c>
    </row>
    <row r="101" spans="3:6">
      <c r="C101" s="10" t="s">
        <v>694</v>
      </c>
      <c r="D101" s="32" t="s">
        <v>284</v>
      </c>
      <c r="E101" s="14" t="s">
        <v>16</v>
      </c>
    </row>
    <row r="102" spans="3:6">
      <c r="C102" s="10" t="s">
        <v>695</v>
      </c>
      <c r="D102" s="32" t="s">
        <v>284</v>
      </c>
      <c r="E102" s="14" t="s">
        <v>16</v>
      </c>
    </row>
    <row r="103" spans="3:6">
      <c r="C103" s="10" t="s">
        <v>696</v>
      </c>
      <c r="D103" s="32" t="s">
        <v>284</v>
      </c>
      <c r="E103" s="14" t="s">
        <v>16</v>
      </c>
    </row>
    <row r="104" spans="3:6">
      <c r="C104" s="10" t="s">
        <v>697</v>
      </c>
      <c r="D104" s="32" t="s">
        <v>284</v>
      </c>
      <c r="E104" s="14" t="s">
        <v>16</v>
      </c>
    </row>
    <row r="105" spans="3:6">
      <c r="C105" s="10" t="s">
        <v>698</v>
      </c>
      <c r="D105" s="32" t="s">
        <v>284</v>
      </c>
      <c r="E105" s="14" t="s">
        <v>16</v>
      </c>
    </row>
    <row r="106" spans="3:6">
      <c r="C106" s="10" t="s">
        <v>699</v>
      </c>
      <c r="D106" s="32" t="s">
        <v>284</v>
      </c>
      <c r="E106" s="14" t="s">
        <v>16</v>
      </c>
    </row>
    <row r="107" spans="3:6">
      <c r="C107" s="10" t="s">
        <v>700</v>
      </c>
      <c r="D107" s="32" t="s">
        <v>284</v>
      </c>
      <c r="E107" s="14" t="s">
        <v>16</v>
      </c>
    </row>
    <row r="108" spans="3:6">
      <c r="C108" s="10" t="s">
        <v>701</v>
      </c>
      <c r="D108" s="32" t="s">
        <v>284</v>
      </c>
      <c r="E108" s="14" t="s">
        <v>16</v>
      </c>
    </row>
    <row r="109" spans="3:6">
      <c r="C109" s="10" t="s">
        <v>702</v>
      </c>
      <c r="D109" s="32" t="s">
        <v>284</v>
      </c>
      <c r="E109" s="14" t="s">
        <v>16</v>
      </c>
    </row>
    <row r="110" spans="3:6">
      <c r="C110" s="10" t="s">
        <v>703</v>
      </c>
      <c r="D110" s="32" t="s">
        <v>284</v>
      </c>
      <c r="E110" s="14" t="s">
        <v>16</v>
      </c>
    </row>
    <row r="111" spans="3:6">
      <c r="C111" s="10" t="s">
        <v>704</v>
      </c>
      <c r="D111" s="32" t="s">
        <v>284</v>
      </c>
      <c r="E111" s="14" t="s">
        <v>16</v>
      </c>
    </row>
    <row r="112" spans="3:6">
      <c r="C112" s="10" t="s">
        <v>705</v>
      </c>
      <c r="D112" s="32" t="s">
        <v>284</v>
      </c>
      <c r="E112" s="14" t="s">
        <v>16</v>
      </c>
    </row>
    <row r="113" spans="3:7">
      <c r="C113" s="10" t="s">
        <v>706</v>
      </c>
      <c r="D113" s="32" t="s">
        <v>284</v>
      </c>
      <c r="E113" s="14" t="s">
        <v>16</v>
      </c>
    </row>
    <row r="114" spans="3:7">
      <c r="C114" s="10" t="s">
        <v>707</v>
      </c>
      <c r="D114" s="32" t="s">
        <v>284</v>
      </c>
      <c r="E114" s="14" t="s">
        <v>16</v>
      </c>
    </row>
    <row r="115" spans="3:7">
      <c r="C115" s="10" t="s">
        <v>708</v>
      </c>
      <c r="D115" s="32" t="s">
        <v>284</v>
      </c>
      <c r="E115" s="14" t="s">
        <v>16</v>
      </c>
    </row>
    <row r="116" spans="3:7">
      <c r="C116" s="10" t="s">
        <v>709</v>
      </c>
      <c r="D116" s="32" t="s">
        <v>284</v>
      </c>
      <c r="E116" s="14" t="s">
        <v>16</v>
      </c>
    </row>
    <row r="117" spans="3:7">
      <c r="C117" s="10" t="s">
        <v>710</v>
      </c>
      <c r="D117" s="32" t="s">
        <v>284</v>
      </c>
      <c r="E117" s="14" t="s">
        <v>16</v>
      </c>
    </row>
    <row r="118" spans="3:7">
      <c r="C118" s="10" t="s">
        <v>711</v>
      </c>
      <c r="D118" s="32" t="s">
        <v>284</v>
      </c>
      <c r="E118" s="14" t="s">
        <v>16</v>
      </c>
    </row>
    <row r="119" spans="3:7">
      <c r="C119" s="10" t="s">
        <v>712</v>
      </c>
      <c r="D119" s="32" t="s">
        <v>284</v>
      </c>
      <c r="E119" s="14" t="s">
        <v>16</v>
      </c>
    </row>
    <row r="120" spans="3:7">
      <c r="C120" s="10" t="s">
        <v>713</v>
      </c>
      <c r="D120" s="32" t="s">
        <v>284</v>
      </c>
      <c r="E120" s="14" t="s">
        <v>16</v>
      </c>
    </row>
    <row r="121" spans="3:7">
      <c r="C121" s="10" t="s">
        <v>714</v>
      </c>
      <c r="D121" s="32" t="s">
        <v>284</v>
      </c>
      <c r="E121" s="14" t="s">
        <v>16</v>
      </c>
    </row>
    <row r="122" spans="3:7">
      <c r="C122" s="10" t="s">
        <v>715</v>
      </c>
      <c r="D122" s="32" t="s">
        <v>284</v>
      </c>
      <c r="E122" s="14" t="s">
        <v>16</v>
      </c>
    </row>
    <row r="123" spans="3:7">
      <c r="C123" s="10" t="s">
        <v>716</v>
      </c>
      <c r="D123" s="32" t="s">
        <v>284</v>
      </c>
      <c r="E123" s="14" t="s">
        <v>16</v>
      </c>
    </row>
    <row r="124" spans="3:7">
      <c r="C124" s="10" t="s">
        <v>717</v>
      </c>
      <c r="D124" s="32" t="s">
        <v>284</v>
      </c>
      <c r="E124" s="14" t="s">
        <v>16</v>
      </c>
    </row>
    <row r="125" spans="3:7">
      <c r="C125" s="10" t="s">
        <v>718</v>
      </c>
      <c r="D125" s="32" t="s">
        <v>284</v>
      </c>
      <c r="E125" s="14" t="s">
        <v>16</v>
      </c>
    </row>
    <row r="126" spans="3:7">
      <c r="C126" s="12" t="s">
        <v>94</v>
      </c>
      <c r="D126" s="12" t="s">
        <v>11</v>
      </c>
      <c r="E126" s="11" t="s">
        <v>16</v>
      </c>
      <c r="F126" s="13" t="s">
        <v>20</v>
      </c>
      <c r="G126" s="12" t="s">
        <v>30</v>
      </c>
    </row>
    <row r="127" spans="3:7">
      <c r="C127" s="12" t="s">
        <v>1</v>
      </c>
      <c r="D127" s="12" t="s">
        <v>37</v>
      </c>
      <c r="E127" s="11"/>
      <c r="F127" s="13"/>
      <c r="G127" s="12" t="s">
        <v>31</v>
      </c>
    </row>
    <row r="128" spans="3:7">
      <c r="C128" s="12" t="s">
        <v>19</v>
      </c>
      <c r="D128" s="12" t="s">
        <v>11</v>
      </c>
      <c r="E128" s="11" t="s">
        <v>16</v>
      </c>
      <c r="F128" s="13" t="s">
        <v>20</v>
      </c>
      <c r="G128" s="12" t="s">
        <v>32</v>
      </c>
    </row>
    <row r="129" spans="3:7">
      <c r="C129" s="12" t="s">
        <v>2</v>
      </c>
      <c r="D129" s="12" t="s">
        <v>37</v>
      </c>
      <c r="E129" s="11"/>
      <c r="F129" s="13"/>
      <c r="G129" s="12" t="s">
        <v>33</v>
      </c>
    </row>
  </sheetData>
  <phoneticPr fontId="3" type="noConversion"/>
  <hyperlinks>
    <hyperlink ref="A1" location="目錄!A1" display="回到目錄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9"/>
  <dimension ref="A1:S129"/>
  <sheetViews>
    <sheetView topLeftCell="A124" workbookViewId="0">
      <selection activeCell="C2" sqref="C2:C129"/>
    </sheetView>
  </sheetViews>
  <sheetFormatPr defaultColWidth="11.1796875" defaultRowHeight="13.8"/>
  <cols>
    <col min="1" max="1" width="7.453125" style="10" bestFit="1" customWidth="1"/>
    <col min="2" max="2" width="4.36328125" style="10" bestFit="1" customWidth="1"/>
    <col min="3" max="3" width="11.90625" style="10" bestFit="1" customWidth="1"/>
    <col min="4" max="4" width="11" style="10" bestFit="1" customWidth="1"/>
    <col min="5" max="5" width="7.54296875" style="14" bestFit="1" customWidth="1"/>
    <col min="6" max="6" width="10" style="15" bestFit="1" customWidth="1"/>
    <col min="7" max="7" width="10.6328125" style="10" bestFit="1" customWidth="1"/>
    <col min="8" max="8" width="28.08984375" style="10" bestFit="1" customWidth="1"/>
    <col min="9" max="9" width="10.08984375" style="10" bestFit="1" customWidth="1"/>
    <col min="10" max="12" width="4.54296875" style="15" bestFit="1" customWidth="1"/>
    <col min="13" max="13" width="13.81640625" style="14" bestFit="1" customWidth="1"/>
    <col min="14" max="16" width="6.6328125" style="14" customWidth="1"/>
    <col min="17" max="28" width="6.6328125" style="10" customWidth="1"/>
    <col min="29" max="32" width="14.453125" style="10" customWidth="1"/>
    <col min="33" max="16384" width="11.1796875" style="10"/>
  </cols>
  <sheetData>
    <row r="1" spans="1:19">
      <c r="A1" s="23" t="s">
        <v>36</v>
      </c>
      <c r="B1" s="5" t="s">
        <v>5</v>
      </c>
      <c r="C1" s="6" t="s">
        <v>3</v>
      </c>
      <c r="D1" s="6" t="s">
        <v>4</v>
      </c>
      <c r="E1" s="7" t="s">
        <v>6</v>
      </c>
      <c r="F1" s="9" t="s">
        <v>13</v>
      </c>
      <c r="G1" s="9" t="s">
        <v>7</v>
      </c>
      <c r="H1" s="9" t="s">
        <v>8</v>
      </c>
      <c r="I1" s="9" t="s">
        <v>467</v>
      </c>
      <c r="L1" s="72" t="s">
        <v>240</v>
      </c>
      <c r="M1" s="72" t="s">
        <v>485</v>
      </c>
      <c r="N1" s="72" t="s">
        <v>470</v>
      </c>
      <c r="O1" s="72" t="s">
        <v>471</v>
      </c>
      <c r="P1" s="72" t="s">
        <v>472</v>
      </c>
      <c r="Q1" s="72" t="s">
        <v>473</v>
      </c>
      <c r="R1" s="72" t="s">
        <v>474</v>
      </c>
      <c r="S1" s="73" t="s">
        <v>475</v>
      </c>
    </row>
    <row r="2" spans="1:19">
      <c r="B2" s="11" t="s">
        <v>14</v>
      </c>
      <c r="C2" s="13" t="s">
        <v>80</v>
      </c>
      <c r="D2" s="18" t="s">
        <v>24</v>
      </c>
      <c r="E2" s="11"/>
      <c r="F2" s="12"/>
      <c r="G2" s="12" t="s">
        <v>81</v>
      </c>
      <c r="L2" s="36"/>
      <c r="M2" s="34"/>
      <c r="N2" s="36" t="str">
        <f>"EXEC sp_dropextendedproperty @name = N'MS_Description', @level0type=N'SCHEMA',@level0name=N'"&amp;$L$1&amp;"', @level1type=N'TABLE',@level1name=N'"&amp;$M$1&amp;"', @level2type=N'COLUMN',@level2name=N'"&amp;$C2&amp;"'"</f>
        <v>EXEC sp_dropextendedproperty @name = N'MS_Description', @level0type=N'SCHEMA',@level0name=N'dbo', @level1type=N'TABLE',@level1name=N'LifeInsActFactor', @level2type=N'COLUMN',@level2name=N'PlanCode'</v>
      </c>
      <c r="O2" s="36" t="str">
        <f>"EXEC sp_dropextendedproperty @name = N'Rule', @level0type=N'SCHEMA',@level0name=N'"&amp;$L$1&amp;"', @level1type=N'TABLE',@level1name=N'"&amp;$M$1&amp;"', @level2type=N'COLUMN',@level2name=N'"&amp;$C2&amp;"'"</f>
        <v>EXEC sp_dropextendedproperty @name = N'Rule', @level0type=N'SCHEMA',@level0name=N'dbo', @level1type=N'TABLE',@level1name=N'LifeInsActFactor', @level2type=N'COLUMN',@level2name=N'PlanCode'</v>
      </c>
      <c r="P2" s="36" t="str">
        <f>"EXEC sp_dropextendedproperty @name = N'Memo', @level0type=N'SCHEMA',@level0name=N'"&amp;$L$1&amp;"', @level1type=N'TABLE',@level1name=N'"&amp;$M$1&amp;"', @level2type=N'COLUMN',@level2name=N'"&amp;$C2&amp;"'"</f>
        <v>EXEC sp_dropextendedproperty @name = N'Memo', @level0type=N'SCHEMA',@level0name=N'dbo', @level1type=N'TABLE',@level1name=N'LifeInsActFactor', @level2type=N'COLUMN',@level2name=N'PlanCode'</v>
      </c>
      <c r="Q2" s="36" t="str">
        <f>"set @OldWording = N'"&amp;SUBSTITUTE($G2,CHAR(10),"")&amp;"'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@level2type=N'COLUMN',@level2name=N'"&amp;$C2&amp;"'"</f>
        <v>set @OldWording = N'險種代碼' set @NewWording = REPLACE(@OldWording,'***',char(13)+char(10)) EXEC sys.sp_addextendedproperty @name=N'MS_Description', @value=@NewWording , @level0type=N'SCHEMA',@level0name=N'dbo', @level1type=N'TABLE',@level1name=N'LifeInsActFactor', @level2type=N'COLUMN',@level2name=N'PlanCode'</v>
      </c>
      <c r="R2" s="32" t="str">
        <f>"set @OldWording = N'"&amp;SUBSTITUTE($H2,CHAR(10),"")&amp;"'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@name=N'Rule', @value=@NewWording , @level0type=N'SCHEMA',@level0name=N'dbo', @level1type=N'TABLE',@level1name=N'LifeInsActFactor', @level2type=N'COLUMN',@level2name=N'PlanCode'</v>
      </c>
      <c r="S2" s="36" t="str">
        <f>"set @OldWording = N'"&amp;SUBSTITUTE($I2,CHAR(10),"")&amp;"' set @NewWording = REPLACE(@OldWording,'***',char(13)+char(10)) "&amp;"EXEC sys.sp_addextendedproperty @name=N'Memo',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@name=N'Memo', @value=@NewWording , @level0type=N'SCHEMA',@level0name=N'dbo', @level1type=N'TABLE',@level1name=N'LifeInsActFactor', @level2type=N'COLUMN',@level2name=N'PlanCode'</v>
      </c>
    </row>
    <row r="3" spans="1:19" ht="27.6">
      <c r="B3" s="11" t="s">
        <v>14</v>
      </c>
      <c r="C3" s="15" t="s">
        <v>3728</v>
      </c>
      <c r="D3" s="15" t="s">
        <v>21</v>
      </c>
      <c r="F3" s="10"/>
      <c r="G3" s="10" t="s">
        <v>78</v>
      </c>
      <c r="H3" s="16" t="s">
        <v>3652</v>
      </c>
      <c r="I3" s="16"/>
    </row>
    <row r="4" spans="1:19">
      <c r="B4" s="11" t="s">
        <v>14</v>
      </c>
      <c r="C4" s="12" t="s">
        <v>86</v>
      </c>
      <c r="D4" s="12" t="s">
        <v>34</v>
      </c>
      <c r="F4" s="13"/>
      <c r="G4" s="12" t="s">
        <v>87</v>
      </c>
    </row>
    <row r="5" spans="1:19">
      <c r="B5" s="11" t="s">
        <v>14</v>
      </c>
      <c r="C5" s="12" t="s">
        <v>50</v>
      </c>
      <c r="D5" s="12" t="s">
        <v>21</v>
      </c>
      <c r="F5" s="13"/>
      <c r="G5" s="12" t="s">
        <v>52</v>
      </c>
      <c r="H5" s="16" t="s">
        <v>493</v>
      </c>
      <c r="I5" s="27" t="s">
        <v>267</v>
      </c>
    </row>
    <row r="6" spans="1:19">
      <c r="B6" s="11" t="s">
        <v>14</v>
      </c>
      <c r="C6" s="10" t="s">
        <v>75</v>
      </c>
      <c r="D6" s="12" t="s">
        <v>34</v>
      </c>
      <c r="F6" s="13"/>
      <c r="G6" s="10" t="s">
        <v>74</v>
      </c>
    </row>
    <row r="7" spans="1:19" ht="41.4">
      <c r="B7" s="11" t="s">
        <v>90</v>
      </c>
      <c r="C7" s="10" t="s">
        <v>3865</v>
      </c>
      <c r="D7" s="12" t="s">
        <v>128</v>
      </c>
      <c r="F7" s="13"/>
      <c r="G7" s="10" t="s">
        <v>3866</v>
      </c>
      <c r="H7" s="26" t="s">
        <v>3867</v>
      </c>
    </row>
    <row r="8" spans="1:19">
      <c r="B8" s="11" t="s">
        <v>14</v>
      </c>
      <c r="C8" s="10" t="s">
        <v>3593</v>
      </c>
      <c r="D8" s="12" t="s">
        <v>23</v>
      </c>
      <c r="F8" s="13"/>
      <c r="G8" s="10" t="s">
        <v>3594</v>
      </c>
    </row>
    <row r="9" spans="1:19">
      <c r="B9" s="11"/>
      <c r="C9" s="29" t="s">
        <v>3730</v>
      </c>
      <c r="D9" s="29" t="s">
        <v>126</v>
      </c>
      <c r="E9" s="28"/>
      <c r="F9" s="22"/>
      <c r="G9" s="22" t="s">
        <v>125</v>
      </c>
      <c r="H9" s="27" t="s">
        <v>3591</v>
      </c>
    </row>
    <row r="10" spans="1:19">
      <c r="B10" s="11"/>
      <c r="C10" s="29" t="s">
        <v>123</v>
      </c>
      <c r="D10" s="29" t="s">
        <v>126</v>
      </c>
      <c r="E10" s="28"/>
      <c r="F10" s="22"/>
      <c r="G10" s="22" t="s">
        <v>124</v>
      </c>
      <c r="H10" s="27" t="s">
        <v>3591</v>
      </c>
    </row>
    <row r="11" spans="1:19">
      <c r="C11" s="10" t="s">
        <v>604</v>
      </c>
      <c r="D11" s="32" t="s">
        <v>285</v>
      </c>
      <c r="E11" s="14" t="s">
        <v>16</v>
      </c>
      <c r="F11" s="13"/>
      <c r="H11" s="16"/>
      <c r="I11" s="16"/>
    </row>
    <row r="12" spans="1:19">
      <c r="C12" s="10" t="s">
        <v>605</v>
      </c>
      <c r="D12" s="32" t="s">
        <v>285</v>
      </c>
      <c r="E12" s="14" t="s">
        <v>16</v>
      </c>
      <c r="F12" s="13"/>
    </row>
    <row r="13" spans="1:19">
      <c r="C13" s="10" t="s">
        <v>606</v>
      </c>
      <c r="D13" s="32" t="s">
        <v>284</v>
      </c>
      <c r="E13" s="14" t="s">
        <v>16</v>
      </c>
      <c r="F13" s="13"/>
    </row>
    <row r="14" spans="1:19">
      <c r="C14" s="10" t="s">
        <v>607</v>
      </c>
      <c r="D14" s="32" t="s">
        <v>284</v>
      </c>
      <c r="E14" s="14" t="s">
        <v>16</v>
      </c>
      <c r="F14" s="13"/>
    </row>
    <row r="15" spans="1:19">
      <c r="C15" s="10" t="s">
        <v>608</v>
      </c>
      <c r="D15" s="32" t="s">
        <v>284</v>
      </c>
      <c r="E15" s="14" t="s">
        <v>16</v>
      </c>
      <c r="F15" s="13"/>
    </row>
    <row r="16" spans="1:19">
      <c r="C16" s="10" t="s">
        <v>609</v>
      </c>
      <c r="D16" s="32" t="s">
        <v>284</v>
      </c>
      <c r="E16" s="14" t="s">
        <v>16</v>
      </c>
      <c r="F16" s="13"/>
    </row>
    <row r="17" spans="3:6">
      <c r="C17" s="10" t="s">
        <v>610</v>
      </c>
      <c r="D17" s="32" t="s">
        <v>284</v>
      </c>
      <c r="E17" s="14" t="s">
        <v>16</v>
      </c>
      <c r="F17" s="13"/>
    </row>
    <row r="18" spans="3:6">
      <c r="C18" s="10" t="s">
        <v>611</v>
      </c>
      <c r="D18" s="32" t="s">
        <v>284</v>
      </c>
      <c r="E18" s="14" t="s">
        <v>16</v>
      </c>
      <c r="F18" s="13"/>
    </row>
    <row r="19" spans="3:6">
      <c r="C19" s="10" t="s">
        <v>612</v>
      </c>
      <c r="D19" s="32" t="s">
        <v>284</v>
      </c>
      <c r="E19" s="14" t="s">
        <v>16</v>
      </c>
      <c r="F19" s="13"/>
    </row>
    <row r="20" spans="3:6">
      <c r="C20" s="10" t="s">
        <v>613</v>
      </c>
      <c r="D20" s="32" t="s">
        <v>284</v>
      </c>
      <c r="E20" s="14" t="s">
        <v>16</v>
      </c>
      <c r="F20" s="13"/>
    </row>
    <row r="21" spans="3:6">
      <c r="C21" s="10" t="s">
        <v>614</v>
      </c>
      <c r="D21" s="32" t="s">
        <v>284</v>
      </c>
      <c r="E21" s="14" t="s">
        <v>16</v>
      </c>
      <c r="F21" s="13"/>
    </row>
    <row r="22" spans="3:6">
      <c r="C22" s="10" t="s">
        <v>615</v>
      </c>
      <c r="D22" s="32" t="s">
        <v>284</v>
      </c>
      <c r="E22" s="14" t="s">
        <v>16</v>
      </c>
      <c r="F22" s="13"/>
    </row>
    <row r="23" spans="3:6">
      <c r="C23" s="10" t="s">
        <v>616</v>
      </c>
      <c r="D23" s="32" t="s">
        <v>284</v>
      </c>
      <c r="E23" s="14" t="s">
        <v>16</v>
      </c>
      <c r="F23" s="13"/>
    </row>
    <row r="24" spans="3:6">
      <c r="C24" s="10" t="s">
        <v>617</v>
      </c>
      <c r="D24" s="32" t="s">
        <v>284</v>
      </c>
      <c r="E24" s="14" t="s">
        <v>16</v>
      </c>
      <c r="F24" s="13"/>
    </row>
    <row r="25" spans="3:6">
      <c r="C25" s="10" t="s">
        <v>618</v>
      </c>
      <c r="D25" s="32" t="s">
        <v>284</v>
      </c>
      <c r="E25" s="14" t="s">
        <v>16</v>
      </c>
      <c r="F25" s="13"/>
    </row>
    <row r="26" spans="3:6">
      <c r="C26" s="10" t="s">
        <v>619</v>
      </c>
      <c r="D26" s="32" t="s">
        <v>284</v>
      </c>
      <c r="E26" s="14" t="s">
        <v>16</v>
      </c>
      <c r="F26" s="13"/>
    </row>
    <row r="27" spans="3:6">
      <c r="C27" s="10" t="s">
        <v>620</v>
      </c>
      <c r="D27" s="32" t="s">
        <v>284</v>
      </c>
      <c r="E27" s="14" t="s">
        <v>16</v>
      </c>
      <c r="F27" s="13"/>
    </row>
    <row r="28" spans="3:6">
      <c r="C28" s="10" t="s">
        <v>621</v>
      </c>
      <c r="D28" s="32" t="s">
        <v>284</v>
      </c>
      <c r="E28" s="14" t="s">
        <v>16</v>
      </c>
      <c r="F28" s="13"/>
    </row>
    <row r="29" spans="3:6">
      <c r="C29" s="10" t="s">
        <v>622</v>
      </c>
      <c r="D29" s="32" t="s">
        <v>284</v>
      </c>
      <c r="E29" s="14" t="s">
        <v>16</v>
      </c>
      <c r="F29" s="13"/>
    </row>
    <row r="30" spans="3:6">
      <c r="C30" s="10" t="s">
        <v>623</v>
      </c>
      <c r="D30" s="32" t="s">
        <v>284</v>
      </c>
      <c r="E30" s="14" t="s">
        <v>16</v>
      </c>
      <c r="F30" s="13"/>
    </row>
    <row r="31" spans="3:6">
      <c r="C31" s="10" t="s">
        <v>624</v>
      </c>
      <c r="D31" s="32" t="s">
        <v>284</v>
      </c>
      <c r="E31" s="14" t="s">
        <v>16</v>
      </c>
      <c r="F31" s="13"/>
    </row>
    <row r="32" spans="3:6">
      <c r="C32" s="10" t="s">
        <v>625</v>
      </c>
      <c r="D32" s="32" t="s">
        <v>284</v>
      </c>
      <c r="E32" s="14" t="s">
        <v>16</v>
      </c>
      <c r="F32" s="13"/>
    </row>
    <row r="33" spans="3:6">
      <c r="C33" s="10" t="s">
        <v>626</v>
      </c>
      <c r="D33" s="32" t="s">
        <v>284</v>
      </c>
      <c r="E33" s="14" t="s">
        <v>16</v>
      </c>
      <c r="F33" s="13"/>
    </row>
    <row r="34" spans="3:6">
      <c r="C34" s="10" t="s">
        <v>627</v>
      </c>
      <c r="D34" s="32" t="s">
        <v>284</v>
      </c>
      <c r="E34" s="14" t="s">
        <v>16</v>
      </c>
      <c r="F34" s="13"/>
    </row>
    <row r="35" spans="3:6">
      <c r="C35" s="10" t="s">
        <v>628</v>
      </c>
      <c r="D35" s="32" t="s">
        <v>284</v>
      </c>
      <c r="E35" s="14" t="s">
        <v>16</v>
      </c>
      <c r="F35" s="13"/>
    </row>
    <row r="36" spans="3:6">
      <c r="C36" s="10" t="s">
        <v>629</v>
      </c>
      <c r="D36" s="32" t="s">
        <v>284</v>
      </c>
      <c r="E36" s="14" t="s">
        <v>16</v>
      </c>
      <c r="F36" s="13"/>
    </row>
    <row r="37" spans="3:6">
      <c r="C37" s="10" t="s">
        <v>630</v>
      </c>
      <c r="D37" s="32" t="s">
        <v>284</v>
      </c>
      <c r="E37" s="14" t="s">
        <v>16</v>
      </c>
      <c r="F37" s="13"/>
    </row>
    <row r="38" spans="3:6">
      <c r="C38" s="10" t="s">
        <v>631</v>
      </c>
      <c r="D38" s="32" t="s">
        <v>284</v>
      </c>
      <c r="E38" s="14" t="s">
        <v>16</v>
      </c>
      <c r="F38" s="13"/>
    </row>
    <row r="39" spans="3:6">
      <c r="C39" s="10" t="s">
        <v>632</v>
      </c>
      <c r="D39" s="32" t="s">
        <v>284</v>
      </c>
      <c r="E39" s="14" t="s">
        <v>16</v>
      </c>
      <c r="F39" s="13"/>
    </row>
    <row r="40" spans="3:6">
      <c r="C40" s="10" t="s">
        <v>633</v>
      </c>
      <c r="D40" s="32" t="s">
        <v>284</v>
      </c>
      <c r="E40" s="14" t="s">
        <v>16</v>
      </c>
      <c r="F40" s="13"/>
    </row>
    <row r="41" spans="3:6">
      <c r="C41" s="10" t="s">
        <v>634</v>
      </c>
      <c r="D41" s="32" t="s">
        <v>284</v>
      </c>
      <c r="E41" s="14" t="s">
        <v>16</v>
      </c>
      <c r="F41" s="13"/>
    </row>
    <row r="42" spans="3:6">
      <c r="C42" s="10" t="s">
        <v>635</v>
      </c>
      <c r="D42" s="32" t="s">
        <v>284</v>
      </c>
      <c r="E42" s="14" t="s">
        <v>16</v>
      </c>
      <c r="F42" s="13"/>
    </row>
    <row r="43" spans="3:6">
      <c r="C43" s="10" t="s">
        <v>636</v>
      </c>
      <c r="D43" s="32" t="s">
        <v>284</v>
      </c>
      <c r="E43" s="14" t="s">
        <v>16</v>
      </c>
      <c r="F43" s="13"/>
    </row>
    <row r="44" spans="3:6">
      <c r="C44" s="10" t="s">
        <v>637</v>
      </c>
      <c r="D44" s="32" t="s">
        <v>284</v>
      </c>
      <c r="E44" s="14" t="s">
        <v>16</v>
      </c>
      <c r="F44" s="13"/>
    </row>
    <row r="45" spans="3:6">
      <c r="C45" s="10" t="s">
        <v>638</v>
      </c>
      <c r="D45" s="32" t="s">
        <v>284</v>
      </c>
      <c r="E45" s="14" t="s">
        <v>16</v>
      </c>
      <c r="F45" s="13"/>
    </row>
    <row r="46" spans="3:6">
      <c r="C46" s="10" t="s">
        <v>639</v>
      </c>
      <c r="D46" s="32" t="s">
        <v>284</v>
      </c>
      <c r="E46" s="14" t="s">
        <v>16</v>
      </c>
      <c r="F46" s="13"/>
    </row>
    <row r="47" spans="3:6">
      <c r="C47" s="10" t="s">
        <v>640</v>
      </c>
      <c r="D47" s="32" t="s">
        <v>284</v>
      </c>
      <c r="E47" s="14" t="s">
        <v>16</v>
      </c>
      <c r="F47" s="13"/>
    </row>
    <row r="48" spans="3:6">
      <c r="C48" s="10" t="s">
        <v>641</v>
      </c>
      <c r="D48" s="32" t="s">
        <v>284</v>
      </c>
      <c r="E48" s="14" t="s">
        <v>16</v>
      </c>
      <c r="F48" s="13"/>
    </row>
    <row r="49" spans="3:6">
      <c r="C49" s="10" t="s">
        <v>642</v>
      </c>
      <c r="D49" s="32" t="s">
        <v>284</v>
      </c>
      <c r="E49" s="14" t="s">
        <v>16</v>
      </c>
      <c r="F49" s="13"/>
    </row>
    <row r="50" spans="3:6">
      <c r="C50" s="10" t="s">
        <v>643</v>
      </c>
      <c r="D50" s="32" t="s">
        <v>284</v>
      </c>
      <c r="E50" s="14" t="s">
        <v>16</v>
      </c>
      <c r="F50" s="13"/>
    </row>
    <row r="51" spans="3:6">
      <c r="C51" s="10" t="s">
        <v>644</v>
      </c>
      <c r="D51" s="32" t="s">
        <v>284</v>
      </c>
      <c r="E51" s="14" t="s">
        <v>16</v>
      </c>
      <c r="F51" s="13"/>
    </row>
    <row r="52" spans="3:6">
      <c r="C52" s="10" t="s">
        <v>645</v>
      </c>
      <c r="D52" s="32" t="s">
        <v>284</v>
      </c>
      <c r="E52" s="14" t="s">
        <v>16</v>
      </c>
      <c r="F52" s="13"/>
    </row>
    <row r="53" spans="3:6">
      <c r="C53" s="10" t="s">
        <v>646</v>
      </c>
      <c r="D53" s="32" t="s">
        <v>284</v>
      </c>
      <c r="E53" s="14" t="s">
        <v>16</v>
      </c>
      <c r="F53" s="13"/>
    </row>
    <row r="54" spans="3:6">
      <c r="C54" s="10" t="s">
        <v>647</v>
      </c>
      <c r="D54" s="32" t="s">
        <v>284</v>
      </c>
      <c r="E54" s="14" t="s">
        <v>16</v>
      </c>
      <c r="F54" s="13"/>
    </row>
    <row r="55" spans="3:6">
      <c r="C55" s="10" t="s">
        <v>648</v>
      </c>
      <c r="D55" s="32" t="s">
        <v>284</v>
      </c>
      <c r="E55" s="14" t="s">
        <v>16</v>
      </c>
      <c r="F55" s="13"/>
    </row>
    <row r="56" spans="3:6">
      <c r="C56" s="10" t="s">
        <v>649</v>
      </c>
      <c r="D56" s="32" t="s">
        <v>284</v>
      </c>
      <c r="E56" s="14" t="s">
        <v>16</v>
      </c>
      <c r="F56" s="13"/>
    </row>
    <row r="57" spans="3:6">
      <c r="C57" s="10" t="s">
        <v>650</v>
      </c>
      <c r="D57" s="32" t="s">
        <v>284</v>
      </c>
      <c r="E57" s="14" t="s">
        <v>16</v>
      </c>
      <c r="F57" s="13"/>
    </row>
    <row r="58" spans="3:6">
      <c r="C58" s="10" t="s">
        <v>651</v>
      </c>
      <c r="D58" s="32" t="s">
        <v>284</v>
      </c>
      <c r="E58" s="14" t="s">
        <v>16</v>
      </c>
      <c r="F58" s="13"/>
    </row>
    <row r="59" spans="3:6">
      <c r="C59" s="10" t="s">
        <v>652</v>
      </c>
      <c r="D59" s="32" t="s">
        <v>284</v>
      </c>
      <c r="E59" s="14" t="s">
        <v>16</v>
      </c>
      <c r="F59" s="13"/>
    </row>
    <row r="60" spans="3:6">
      <c r="C60" s="10" t="s">
        <v>653</v>
      </c>
      <c r="D60" s="32" t="s">
        <v>284</v>
      </c>
      <c r="E60" s="14" t="s">
        <v>16</v>
      </c>
      <c r="F60" s="13"/>
    </row>
    <row r="61" spans="3:6">
      <c r="C61" s="10" t="s">
        <v>654</v>
      </c>
      <c r="D61" s="32" t="s">
        <v>284</v>
      </c>
      <c r="E61" s="14" t="s">
        <v>16</v>
      </c>
      <c r="F61" s="13"/>
    </row>
    <row r="62" spans="3:6">
      <c r="C62" s="10" t="s">
        <v>655</v>
      </c>
      <c r="D62" s="32" t="s">
        <v>284</v>
      </c>
      <c r="E62" s="14" t="s">
        <v>16</v>
      </c>
      <c r="F62" s="13"/>
    </row>
    <row r="63" spans="3:6">
      <c r="C63" s="10" t="s">
        <v>656</v>
      </c>
      <c r="D63" s="32" t="s">
        <v>284</v>
      </c>
      <c r="E63" s="14" t="s">
        <v>16</v>
      </c>
      <c r="F63" s="13"/>
    </row>
    <row r="64" spans="3:6">
      <c r="C64" s="10" t="s">
        <v>657</v>
      </c>
      <c r="D64" s="32" t="s">
        <v>284</v>
      </c>
      <c r="E64" s="14" t="s">
        <v>16</v>
      </c>
      <c r="F64" s="13"/>
    </row>
    <row r="65" spans="3:6">
      <c r="C65" s="10" t="s">
        <v>658</v>
      </c>
      <c r="D65" s="32" t="s">
        <v>284</v>
      </c>
      <c r="E65" s="14" t="s">
        <v>16</v>
      </c>
      <c r="F65" s="13"/>
    </row>
    <row r="66" spans="3:6">
      <c r="C66" s="10" t="s">
        <v>659</v>
      </c>
      <c r="D66" s="32" t="s">
        <v>284</v>
      </c>
      <c r="E66" s="14" t="s">
        <v>16</v>
      </c>
      <c r="F66" s="13"/>
    </row>
    <row r="67" spans="3:6">
      <c r="C67" s="10" t="s">
        <v>660</v>
      </c>
      <c r="D67" s="32" t="s">
        <v>284</v>
      </c>
      <c r="E67" s="14" t="s">
        <v>16</v>
      </c>
      <c r="F67" s="13"/>
    </row>
    <row r="68" spans="3:6">
      <c r="C68" s="10" t="s">
        <v>661</v>
      </c>
      <c r="D68" s="32" t="s">
        <v>284</v>
      </c>
      <c r="E68" s="14" t="s">
        <v>16</v>
      </c>
      <c r="F68" s="13"/>
    </row>
    <row r="69" spans="3:6">
      <c r="C69" s="10" t="s">
        <v>662</v>
      </c>
      <c r="D69" s="32" t="s">
        <v>284</v>
      </c>
      <c r="E69" s="14" t="s">
        <v>16</v>
      </c>
      <c r="F69" s="13"/>
    </row>
    <row r="70" spans="3:6">
      <c r="C70" s="10" t="s">
        <v>663</v>
      </c>
      <c r="D70" s="32" t="s">
        <v>284</v>
      </c>
      <c r="E70" s="14" t="s">
        <v>16</v>
      </c>
      <c r="F70" s="13"/>
    </row>
    <row r="71" spans="3:6">
      <c r="C71" s="10" t="s">
        <v>664</v>
      </c>
      <c r="D71" s="32" t="s">
        <v>284</v>
      </c>
      <c r="E71" s="14" t="s">
        <v>16</v>
      </c>
      <c r="F71" s="13"/>
    </row>
    <row r="72" spans="3:6">
      <c r="C72" s="10" t="s">
        <v>665</v>
      </c>
      <c r="D72" s="32" t="s">
        <v>284</v>
      </c>
      <c r="E72" s="14" t="s">
        <v>16</v>
      </c>
      <c r="F72" s="13"/>
    </row>
    <row r="73" spans="3:6">
      <c r="C73" s="10" t="s">
        <v>666</v>
      </c>
      <c r="D73" s="32" t="s">
        <v>284</v>
      </c>
      <c r="E73" s="14" t="s">
        <v>16</v>
      </c>
      <c r="F73" s="13"/>
    </row>
    <row r="74" spans="3:6">
      <c r="C74" s="10" t="s">
        <v>667</v>
      </c>
      <c r="D74" s="32" t="s">
        <v>284</v>
      </c>
      <c r="E74" s="14" t="s">
        <v>16</v>
      </c>
      <c r="F74" s="13"/>
    </row>
    <row r="75" spans="3:6">
      <c r="C75" s="10" t="s">
        <v>668</v>
      </c>
      <c r="D75" s="32" t="s">
        <v>284</v>
      </c>
      <c r="E75" s="14" t="s">
        <v>16</v>
      </c>
      <c r="F75" s="13"/>
    </row>
    <row r="76" spans="3:6">
      <c r="C76" s="10" t="s">
        <v>669</v>
      </c>
      <c r="D76" s="32" t="s">
        <v>284</v>
      </c>
      <c r="E76" s="14" t="s">
        <v>16</v>
      </c>
      <c r="F76" s="13"/>
    </row>
    <row r="77" spans="3:6">
      <c r="C77" s="10" t="s">
        <v>670</v>
      </c>
      <c r="D77" s="32" t="s">
        <v>284</v>
      </c>
      <c r="E77" s="14" t="s">
        <v>16</v>
      </c>
      <c r="F77" s="13"/>
    </row>
    <row r="78" spans="3:6">
      <c r="C78" s="10" t="s">
        <v>671</v>
      </c>
      <c r="D78" s="32" t="s">
        <v>284</v>
      </c>
      <c r="E78" s="14" t="s">
        <v>16</v>
      </c>
      <c r="F78" s="13"/>
    </row>
    <row r="79" spans="3:6">
      <c r="C79" s="10" t="s">
        <v>672</v>
      </c>
      <c r="D79" s="32" t="s">
        <v>284</v>
      </c>
      <c r="E79" s="14" t="s">
        <v>16</v>
      </c>
      <c r="F79" s="13"/>
    </row>
    <row r="80" spans="3:6">
      <c r="C80" s="10" t="s">
        <v>673</v>
      </c>
      <c r="D80" s="32" t="s">
        <v>284</v>
      </c>
      <c r="E80" s="14" t="s">
        <v>16</v>
      </c>
      <c r="F80" s="13"/>
    </row>
    <row r="81" spans="3:6">
      <c r="C81" s="10" t="s">
        <v>674</v>
      </c>
      <c r="D81" s="32" t="s">
        <v>284</v>
      </c>
      <c r="E81" s="14" t="s">
        <v>16</v>
      </c>
      <c r="F81" s="13"/>
    </row>
    <row r="82" spans="3:6">
      <c r="C82" s="10" t="s">
        <v>675</v>
      </c>
      <c r="D82" s="32" t="s">
        <v>284</v>
      </c>
      <c r="E82" s="14" t="s">
        <v>16</v>
      </c>
      <c r="F82" s="13"/>
    </row>
    <row r="83" spans="3:6">
      <c r="C83" s="10" t="s">
        <v>676</v>
      </c>
      <c r="D83" s="32" t="s">
        <v>284</v>
      </c>
      <c r="E83" s="14" t="s">
        <v>16</v>
      </c>
      <c r="F83" s="13"/>
    </row>
    <row r="84" spans="3:6">
      <c r="C84" s="10" t="s">
        <v>677</v>
      </c>
      <c r="D84" s="32" t="s">
        <v>284</v>
      </c>
      <c r="E84" s="14" t="s">
        <v>16</v>
      </c>
      <c r="F84" s="13"/>
    </row>
    <row r="85" spans="3:6">
      <c r="C85" s="10" t="s">
        <v>678</v>
      </c>
      <c r="D85" s="32" t="s">
        <v>284</v>
      </c>
      <c r="E85" s="14" t="s">
        <v>16</v>
      </c>
      <c r="F85" s="13"/>
    </row>
    <row r="86" spans="3:6">
      <c r="C86" s="10" t="s">
        <v>679</v>
      </c>
      <c r="D86" s="32" t="s">
        <v>284</v>
      </c>
      <c r="E86" s="14" t="s">
        <v>16</v>
      </c>
      <c r="F86" s="13"/>
    </row>
    <row r="87" spans="3:6">
      <c r="C87" s="10" t="s">
        <v>680</v>
      </c>
      <c r="D87" s="32" t="s">
        <v>284</v>
      </c>
      <c r="E87" s="14" t="s">
        <v>16</v>
      </c>
      <c r="F87" s="13"/>
    </row>
    <row r="88" spans="3:6">
      <c r="C88" s="10" t="s">
        <v>681</v>
      </c>
      <c r="D88" s="32" t="s">
        <v>284</v>
      </c>
      <c r="E88" s="14" t="s">
        <v>16</v>
      </c>
      <c r="F88" s="13"/>
    </row>
    <row r="89" spans="3:6">
      <c r="C89" s="10" t="s">
        <v>682</v>
      </c>
      <c r="D89" s="32" t="s">
        <v>284</v>
      </c>
      <c r="E89" s="14" t="s">
        <v>16</v>
      </c>
      <c r="F89" s="13"/>
    </row>
    <row r="90" spans="3:6">
      <c r="C90" s="10" t="s">
        <v>683</v>
      </c>
      <c r="D90" s="32" t="s">
        <v>284</v>
      </c>
      <c r="E90" s="14" t="s">
        <v>16</v>
      </c>
      <c r="F90" s="13"/>
    </row>
    <row r="91" spans="3:6">
      <c r="C91" s="10" t="s">
        <v>684</v>
      </c>
      <c r="D91" s="32" t="s">
        <v>284</v>
      </c>
      <c r="E91" s="14" t="s">
        <v>16</v>
      </c>
      <c r="F91" s="13"/>
    </row>
    <row r="92" spans="3:6">
      <c r="C92" s="10" t="s">
        <v>685</v>
      </c>
      <c r="D92" s="32" t="s">
        <v>284</v>
      </c>
      <c r="E92" s="14" t="s">
        <v>16</v>
      </c>
      <c r="F92" s="13"/>
    </row>
    <row r="93" spans="3:6">
      <c r="C93" s="10" t="s">
        <v>686</v>
      </c>
      <c r="D93" s="32" t="s">
        <v>284</v>
      </c>
      <c r="E93" s="14" t="s">
        <v>16</v>
      </c>
      <c r="F93" s="13"/>
    </row>
    <row r="94" spans="3:6">
      <c r="C94" s="10" t="s">
        <v>687</v>
      </c>
      <c r="D94" s="32" t="s">
        <v>284</v>
      </c>
      <c r="E94" s="14" t="s">
        <v>16</v>
      </c>
      <c r="F94" s="13"/>
    </row>
    <row r="95" spans="3:6">
      <c r="C95" s="10" t="s">
        <v>688</v>
      </c>
      <c r="D95" s="32" t="s">
        <v>284</v>
      </c>
      <c r="E95" s="14" t="s">
        <v>16</v>
      </c>
      <c r="F95" s="13"/>
    </row>
    <row r="96" spans="3:6">
      <c r="C96" s="10" t="s">
        <v>689</v>
      </c>
      <c r="D96" s="32" t="s">
        <v>284</v>
      </c>
      <c r="E96" s="14" t="s">
        <v>16</v>
      </c>
      <c r="F96" s="13"/>
    </row>
    <row r="97" spans="3:6">
      <c r="C97" s="10" t="s">
        <v>690</v>
      </c>
      <c r="D97" s="32" t="s">
        <v>284</v>
      </c>
      <c r="E97" s="14" t="s">
        <v>16</v>
      </c>
      <c r="F97" s="13"/>
    </row>
    <row r="98" spans="3:6">
      <c r="C98" s="10" t="s">
        <v>691</v>
      </c>
      <c r="D98" s="32" t="s">
        <v>284</v>
      </c>
      <c r="E98" s="14" t="s">
        <v>16</v>
      </c>
      <c r="F98" s="13"/>
    </row>
    <row r="99" spans="3:6">
      <c r="C99" s="10" t="s">
        <v>692</v>
      </c>
      <c r="D99" s="32" t="s">
        <v>284</v>
      </c>
      <c r="E99" s="14" t="s">
        <v>16</v>
      </c>
      <c r="F99" s="13"/>
    </row>
    <row r="100" spans="3:6">
      <c r="C100" s="10" t="s">
        <v>693</v>
      </c>
      <c r="D100" s="32" t="s">
        <v>284</v>
      </c>
      <c r="E100" s="14" t="s">
        <v>16</v>
      </c>
    </row>
    <row r="101" spans="3:6">
      <c r="C101" s="10" t="s">
        <v>694</v>
      </c>
      <c r="D101" s="32" t="s">
        <v>284</v>
      </c>
      <c r="E101" s="14" t="s">
        <v>16</v>
      </c>
    </row>
    <row r="102" spans="3:6">
      <c r="C102" s="10" t="s">
        <v>695</v>
      </c>
      <c r="D102" s="32" t="s">
        <v>284</v>
      </c>
      <c r="E102" s="14" t="s">
        <v>16</v>
      </c>
    </row>
    <row r="103" spans="3:6">
      <c r="C103" s="10" t="s">
        <v>696</v>
      </c>
      <c r="D103" s="32" t="s">
        <v>284</v>
      </c>
      <c r="E103" s="14" t="s">
        <v>16</v>
      </c>
    </row>
    <row r="104" spans="3:6">
      <c r="C104" s="10" t="s">
        <v>697</v>
      </c>
      <c r="D104" s="32" t="s">
        <v>284</v>
      </c>
      <c r="E104" s="14" t="s">
        <v>16</v>
      </c>
    </row>
    <row r="105" spans="3:6">
      <c r="C105" s="10" t="s">
        <v>698</v>
      </c>
      <c r="D105" s="32" t="s">
        <v>284</v>
      </c>
      <c r="E105" s="14" t="s">
        <v>16</v>
      </c>
    </row>
    <row r="106" spans="3:6">
      <c r="C106" s="10" t="s">
        <v>699</v>
      </c>
      <c r="D106" s="32" t="s">
        <v>284</v>
      </c>
      <c r="E106" s="14" t="s">
        <v>16</v>
      </c>
    </row>
    <row r="107" spans="3:6">
      <c r="C107" s="10" t="s">
        <v>700</v>
      </c>
      <c r="D107" s="32" t="s">
        <v>284</v>
      </c>
      <c r="E107" s="14" t="s">
        <v>16</v>
      </c>
    </row>
    <row r="108" spans="3:6">
      <c r="C108" s="10" t="s">
        <v>701</v>
      </c>
      <c r="D108" s="32" t="s">
        <v>284</v>
      </c>
      <c r="E108" s="14" t="s">
        <v>16</v>
      </c>
    </row>
    <row r="109" spans="3:6">
      <c r="C109" s="10" t="s">
        <v>702</v>
      </c>
      <c r="D109" s="32" t="s">
        <v>284</v>
      </c>
      <c r="E109" s="14" t="s">
        <v>16</v>
      </c>
    </row>
    <row r="110" spans="3:6">
      <c r="C110" s="10" t="s">
        <v>703</v>
      </c>
      <c r="D110" s="32" t="s">
        <v>284</v>
      </c>
      <c r="E110" s="14" t="s">
        <v>16</v>
      </c>
    </row>
    <row r="111" spans="3:6">
      <c r="C111" s="10" t="s">
        <v>704</v>
      </c>
      <c r="D111" s="32" t="s">
        <v>284</v>
      </c>
      <c r="E111" s="14" t="s">
        <v>16</v>
      </c>
    </row>
    <row r="112" spans="3:6">
      <c r="C112" s="10" t="s">
        <v>705</v>
      </c>
      <c r="D112" s="32" t="s">
        <v>284</v>
      </c>
      <c r="E112" s="14" t="s">
        <v>16</v>
      </c>
    </row>
    <row r="113" spans="3:7">
      <c r="C113" s="10" t="s">
        <v>706</v>
      </c>
      <c r="D113" s="32" t="s">
        <v>284</v>
      </c>
      <c r="E113" s="14" t="s">
        <v>16</v>
      </c>
    </row>
    <row r="114" spans="3:7">
      <c r="C114" s="10" t="s">
        <v>707</v>
      </c>
      <c r="D114" s="32" t="s">
        <v>284</v>
      </c>
      <c r="E114" s="14" t="s">
        <v>16</v>
      </c>
    </row>
    <row r="115" spans="3:7">
      <c r="C115" s="10" t="s">
        <v>708</v>
      </c>
      <c r="D115" s="32" t="s">
        <v>284</v>
      </c>
      <c r="E115" s="14" t="s">
        <v>16</v>
      </c>
    </row>
    <row r="116" spans="3:7">
      <c r="C116" s="10" t="s">
        <v>709</v>
      </c>
      <c r="D116" s="32" t="s">
        <v>284</v>
      </c>
      <c r="E116" s="14" t="s">
        <v>16</v>
      </c>
    </row>
    <row r="117" spans="3:7">
      <c r="C117" s="10" t="s">
        <v>710</v>
      </c>
      <c r="D117" s="32" t="s">
        <v>284</v>
      </c>
      <c r="E117" s="14" t="s">
        <v>16</v>
      </c>
    </row>
    <row r="118" spans="3:7">
      <c r="C118" s="10" t="s">
        <v>711</v>
      </c>
      <c r="D118" s="32" t="s">
        <v>284</v>
      </c>
      <c r="E118" s="14" t="s">
        <v>16</v>
      </c>
    </row>
    <row r="119" spans="3:7">
      <c r="C119" s="10" t="s">
        <v>712</v>
      </c>
      <c r="D119" s="32" t="s">
        <v>284</v>
      </c>
      <c r="E119" s="14" t="s">
        <v>16</v>
      </c>
    </row>
    <row r="120" spans="3:7">
      <c r="C120" s="10" t="s">
        <v>713</v>
      </c>
      <c r="D120" s="32" t="s">
        <v>284</v>
      </c>
      <c r="E120" s="14" t="s">
        <v>16</v>
      </c>
    </row>
    <row r="121" spans="3:7">
      <c r="C121" s="10" t="s">
        <v>714</v>
      </c>
      <c r="D121" s="32" t="s">
        <v>284</v>
      </c>
      <c r="E121" s="14" t="s">
        <v>16</v>
      </c>
    </row>
    <row r="122" spans="3:7">
      <c r="C122" s="10" t="s">
        <v>715</v>
      </c>
      <c r="D122" s="32" t="s">
        <v>284</v>
      </c>
      <c r="E122" s="14" t="s">
        <v>16</v>
      </c>
    </row>
    <row r="123" spans="3:7">
      <c r="C123" s="10" t="s">
        <v>716</v>
      </c>
      <c r="D123" s="32" t="s">
        <v>284</v>
      </c>
      <c r="E123" s="14" t="s">
        <v>16</v>
      </c>
    </row>
    <row r="124" spans="3:7">
      <c r="C124" s="10" t="s">
        <v>717</v>
      </c>
      <c r="D124" s="32" t="s">
        <v>284</v>
      </c>
      <c r="E124" s="14" t="s">
        <v>16</v>
      </c>
    </row>
    <row r="125" spans="3:7">
      <c r="C125" s="10" t="s">
        <v>718</v>
      </c>
      <c r="D125" s="32" t="s">
        <v>284</v>
      </c>
      <c r="E125" s="14" t="s">
        <v>16</v>
      </c>
    </row>
    <row r="126" spans="3:7">
      <c r="C126" s="12" t="s">
        <v>94</v>
      </c>
      <c r="D126" s="12" t="s">
        <v>11</v>
      </c>
      <c r="E126" s="11" t="s">
        <v>16</v>
      </c>
      <c r="F126" s="13" t="s">
        <v>20</v>
      </c>
      <c r="G126" s="12" t="s">
        <v>30</v>
      </c>
    </row>
    <row r="127" spans="3:7">
      <c r="C127" s="12" t="s">
        <v>1</v>
      </c>
      <c r="D127" s="12" t="s">
        <v>37</v>
      </c>
      <c r="E127" s="11"/>
      <c r="F127" s="13"/>
      <c r="G127" s="12" t="s">
        <v>31</v>
      </c>
    </row>
    <row r="128" spans="3:7">
      <c r="C128" s="12" t="s">
        <v>19</v>
      </c>
      <c r="D128" s="12" t="s">
        <v>11</v>
      </c>
      <c r="E128" s="11" t="s">
        <v>16</v>
      </c>
      <c r="F128" s="13" t="s">
        <v>20</v>
      </c>
      <c r="G128" s="12" t="s">
        <v>32</v>
      </c>
    </row>
    <row r="129" spans="3:7">
      <c r="C129" s="12" t="s">
        <v>2</v>
      </c>
      <c r="D129" s="12" t="s">
        <v>37</v>
      </c>
      <c r="E129" s="11"/>
      <c r="F129" s="13"/>
      <c r="G129" s="12" t="s">
        <v>33</v>
      </c>
    </row>
  </sheetData>
  <phoneticPr fontId="3" type="noConversion"/>
  <hyperlinks>
    <hyperlink ref="A1" location="目錄!A1" display="回到目錄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0"/>
  <dimension ref="A1:S128"/>
  <sheetViews>
    <sheetView workbookViewId="0"/>
  </sheetViews>
  <sheetFormatPr defaultColWidth="11.1796875" defaultRowHeight="13.8"/>
  <cols>
    <col min="1" max="1" width="7.453125" style="10" bestFit="1" customWidth="1"/>
    <col min="2" max="2" width="4.36328125" style="10" bestFit="1" customWidth="1"/>
    <col min="3" max="3" width="11.90625" style="10" bestFit="1" customWidth="1"/>
    <col min="4" max="4" width="11" style="10" bestFit="1" customWidth="1"/>
    <col min="5" max="5" width="7.54296875" style="14" bestFit="1" customWidth="1"/>
    <col min="6" max="6" width="10" style="15" bestFit="1" customWidth="1"/>
    <col min="7" max="7" width="10.6328125" style="10" bestFit="1" customWidth="1"/>
    <col min="8" max="8" width="28.08984375" style="10" bestFit="1" customWidth="1"/>
    <col min="9" max="9" width="10.08984375" style="10" bestFit="1" customWidth="1"/>
    <col min="10" max="12" width="4.54296875" style="15" bestFit="1" customWidth="1"/>
    <col min="13" max="13" width="13.81640625" style="14" bestFit="1" customWidth="1"/>
    <col min="14" max="16" width="6.6328125" style="14" customWidth="1"/>
    <col min="17" max="28" width="6.6328125" style="10" customWidth="1"/>
    <col min="29" max="32" width="14.453125" style="10" customWidth="1"/>
    <col min="33" max="16384" width="11.1796875" style="10"/>
  </cols>
  <sheetData>
    <row r="1" spans="1:19">
      <c r="A1" s="23" t="s">
        <v>36</v>
      </c>
      <c r="B1" s="5" t="s">
        <v>5</v>
      </c>
      <c r="C1" s="6" t="s">
        <v>3</v>
      </c>
      <c r="D1" s="6" t="s">
        <v>4</v>
      </c>
      <c r="E1" s="7" t="s">
        <v>6</v>
      </c>
      <c r="F1" s="9" t="s">
        <v>13</v>
      </c>
      <c r="G1" s="9" t="s">
        <v>7</v>
      </c>
      <c r="H1" s="9" t="s">
        <v>8</v>
      </c>
      <c r="I1" s="9" t="s">
        <v>467</v>
      </c>
      <c r="L1" s="72" t="s">
        <v>240</v>
      </c>
      <c r="M1" s="72" t="s">
        <v>485</v>
      </c>
      <c r="N1" s="72" t="s">
        <v>470</v>
      </c>
      <c r="O1" s="72" t="s">
        <v>471</v>
      </c>
      <c r="P1" s="72" t="s">
        <v>472</v>
      </c>
      <c r="Q1" s="72" t="s">
        <v>473</v>
      </c>
      <c r="R1" s="72" t="s">
        <v>474</v>
      </c>
      <c r="S1" s="73" t="s">
        <v>475</v>
      </c>
    </row>
    <row r="2" spans="1:19">
      <c r="B2" s="11" t="s">
        <v>14</v>
      </c>
      <c r="C2" s="13" t="s">
        <v>80</v>
      </c>
      <c r="D2" s="18" t="s">
        <v>24</v>
      </c>
      <c r="E2" s="11"/>
      <c r="F2" s="12"/>
      <c r="G2" s="12" t="s">
        <v>81</v>
      </c>
      <c r="L2" s="36"/>
      <c r="M2" s="34"/>
      <c r="N2" s="36" t="str">
        <f>"EXEC sp_dropextendedproperty @name = N'MS_Description', @level0type=N'SCHEMA',@level0name=N'"&amp;$L$1&amp;"', @level1type=N'TABLE',@level1name=N'"&amp;$M$1&amp;"', @level2type=N'COLUMN',@level2name=N'"&amp;$C2&amp;"'"</f>
        <v>EXEC sp_dropextendedproperty @name = N'MS_Description', @level0type=N'SCHEMA',@level0name=N'dbo', @level1type=N'TABLE',@level1name=N'LifeInsActFactor', @level2type=N'COLUMN',@level2name=N'PlanCode'</v>
      </c>
      <c r="O2" s="36" t="str">
        <f>"EXEC sp_dropextendedproperty @name = N'Rule', @level0type=N'SCHEMA',@level0name=N'"&amp;$L$1&amp;"', @level1type=N'TABLE',@level1name=N'"&amp;$M$1&amp;"', @level2type=N'COLUMN',@level2name=N'"&amp;$C2&amp;"'"</f>
        <v>EXEC sp_dropextendedproperty @name = N'Rule', @level0type=N'SCHEMA',@level0name=N'dbo', @level1type=N'TABLE',@level1name=N'LifeInsActFactor', @level2type=N'COLUMN',@level2name=N'PlanCode'</v>
      </c>
      <c r="P2" s="36" t="str">
        <f>"EXEC sp_dropextendedproperty @name = N'Memo', @level0type=N'SCHEMA',@level0name=N'"&amp;$L$1&amp;"', @level1type=N'TABLE',@level1name=N'"&amp;$M$1&amp;"', @level2type=N'COLUMN',@level2name=N'"&amp;$C2&amp;"'"</f>
        <v>EXEC sp_dropextendedproperty @name = N'Memo', @level0type=N'SCHEMA',@level0name=N'dbo', @level1type=N'TABLE',@level1name=N'LifeInsActFactor', @level2type=N'COLUMN',@level2name=N'PlanCode'</v>
      </c>
      <c r="Q2" s="36" t="str">
        <f>"set @OldWording = N'"&amp;SUBSTITUTE($G2,CHAR(10),"")&amp;"'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@level2type=N'COLUMN',@level2name=N'"&amp;$C2&amp;"'"</f>
        <v>set @OldWording = N'險種代碼' set @NewWording = REPLACE(@OldWording,'***',char(13)+char(10)) EXEC sys.sp_addextendedproperty @name=N'MS_Description', @value=@NewWording , @level0type=N'SCHEMA',@level0name=N'dbo', @level1type=N'TABLE',@level1name=N'LifeInsActFactor', @level2type=N'COLUMN',@level2name=N'PlanCode'</v>
      </c>
      <c r="R2" s="32" t="str">
        <f>"set @OldWording = N'"&amp;SUBSTITUTE($H2,CHAR(10),"")&amp;"'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@name=N'Rule', @value=@NewWording , @level0type=N'SCHEMA',@level0name=N'dbo', @level1type=N'TABLE',@level1name=N'LifeInsActFactor', @level2type=N'COLUMN',@level2name=N'PlanCode'</v>
      </c>
      <c r="S2" s="36" t="str">
        <f>"set @OldWording = N'"&amp;SUBSTITUTE($I2,CHAR(10),"")&amp;"' set @NewWording = REPLACE(@OldWording,'***',char(13)+char(10)) "&amp;"EXEC sys.sp_addextendedproperty @name=N'Memo',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@name=N'Memo', @value=@NewWording , @level0type=N'SCHEMA',@level0name=N'dbo', @level1type=N'TABLE',@level1name=N'LifeInsActFactor', @level2type=N'COLUMN',@level2name=N'PlanCode'</v>
      </c>
    </row>
    <row r="3" spans="1:19" ht="27.6">
      <c r="B3" s="11" t="s">
        <v>14</v>
      </c>
      <c r="C3" s="15" t="s">
        <v>3728</v>
      </c>
      <c r="D3" s="15" t="s">
        <v>21</v>
      </c>
      <c r="F3" s="10"/>
      <c r="G3" s="10" t="s">
        <v>78</v>
      </c>
      <c r="H3" s="16" t="s">
        <v>3652</v>
      </c>
      <c r="I3" s="16"/>
    </row>
    <row r="4" spans="1:19">
      <c r="B4" s="11" t="s">
        <v>14</v>
      </c>
      <c r="C4" s="12" t="s">
        <v>86</v>
      </c>
      <c r="D4" s="12" t="s">
        <v>34</v>
      </c>
      <c r="F4" s="13"/>
      <c r="G4" s="12" t="s">
        <v>87</v>
      </c>
    </row>
    <row r="5" spans="1:19">
      <c r="B5" s="11" t="s">
        <v>14</v>
      </c>
      <c r="C5" s="12" t="s">
        <v>50</v>
      </c>
      <c r="D5" s="12" t="s">
        <v>21</v>
      </c>
      <c r="F5" s="13"/>
      <c r="G5" s="12" t="s">
        <v>52</v>
      </c>
      <c r="H5" s="16" t="s">
        <v>493</v>
      </c>
      <c r="I5" s="27" t="s">
        <v>267</v>
      </c>
    </row>
    <row r="6" spans="1:19">
      <c r="B6" s="11" t="s">
        <v>14</v>
      </c>
      <c r="C6" s="10" t="s">
        <v>75</v>
      </c>
      <c r="D6" s="12" t="s">
        <v>34</v>
      </c>
      <c r="F6" s="13"/>
      <c r="G6" s="10" t="s">
        <v>74</v>
      </c>
    </row>
    <row r="7" spans="1:19">
      <c r="B7" s="11" t="s">
        <v>14</v>
      </c>
      <c r="C7" s="10" t="s">
        <v>3593</v>
      </c>
      <c r="D7" s="12" t="s">
        <v>23</v>
      </c>
      <c r="F7" s="13"/>
      <c r="G7" s="10" t="s">
        <v>3594</v>
      </c>
    </row>
    <row r="8" spans="1:19">
      <c r="B8" s="11"/>
      <c r="C8" s="29" t="s">
        <v>3730</v>
      </c>
      <c r="D8" s="29" t="s">
        <v>126</v>
      </c>
      <c r="E8" s="28"/>
      <c r="F8" s="22"/>
      <c r="G8" s="22" t="s">
        <v>125</v>
      </c>
      <c r="H8" s="27" t="s">
        <v>3591</v>
      </c>
    </row>
    <row r="9" spans="1:19">
      <c r="B9" s="11"/>
      <c r="C9" s="29" t="s">
        <v>123</v>
      </c>
      <c r="D9" s="29" t="s">
        <v>126</v>
      </c>
      <c r="E9" s="28"/>
      <c r="F9" s="22"/>
      <c r="G9" s="22" t="s">
        <v>124</v>
      </c>
      <c r="H9" s="27" t="s">
        <v>3591</v>
      </c>
    </row>
    <row r="10" spans="1:19">
      <c r="C10" s="10" t="s">
        <v>604</v>
      </c>
      <c r="D10" s="32" t="s">
        <v>285</v>
      </c>
      <c r="E10" s="14" t="s">
        <v>16</v>
      </c>
      <c r="F10" s="13"/>
      <c r="H10" s="16"/>
      <c r="I10" s="16"/>
    </row>
    <row r="11" spans="1:19">
      <c r="C11" s="10" t="s">
        <v>605</v>
      </c>
      <c r="D11" s="32" t="s">
        <v>285</v>
      </c>
      <c r="E11" s="14" t="s">
        <v>16</v>
      </c>
      <c r="F11" s="13"/>
    </row>
    <row r="12" spans="1:19">
      <c r="C12" s="10" t="s">
        <v>606</v>
      </c>
      <c r="D12" s="32" t="s">
        <v>284</v>
      </c>
      <c r="E12" s="14" t="s">
        <v>16</v>
      </c>
      <c r="F12" s="13"/>
    </row>
    <row r="13" spans="1:19">
      <c r="C13" s="10" t="s">
        <v>607</v>
      </c>
      <c r="D13" s="32" t="s">
        <v>284</v>
      </c>
      <c r="E13" s="14" t="s">
        <v>16</v>
      </c>
      <c r="F13" s="13"/>
    </row>
    <row r="14" spans="1:19">
      <c r="C14" s="10" t="s">
        <v>608</v>
      </c>
      <c r="D14" s="32" t="s">
        <v>284</v>
      </c>
      <c r="E14" s="14" t="s">
        <v>16</v>
      </c>
      <c r="F14" s="13"/>
    </row>
    <row r="15" spans="1:19">
      <c r="C15" s="10" t="s">
        <v>609</v>
      </c>
      <c r="D15" s="32" t="s">
        <v>284</v>
      </c>
      <c r="E15" s="14" t="s">
        <v>16</v>
      </c>
      <c r="F15" s="13"/>
    </row>
    <row r="16" spans="1:19">
      <c r="C16" s="10" t="s">
        <v>610</v>
      </c>
      <c r="D16" s="32" t="s">
        <v>284</v>
      </c>
      <c r="E16" s="14" t="s">
        <v>16</v>
      </c>
      <c r="F16" s="13"/>
    </row>
    <row r="17" spans="3:6">
      <c r="C17" s="10" t="s">
        <v>611</v>
      </c>
      <c r="D17" s="32" t="s">
        <v>284</v>
      </c>
      <c r="E17" s="14" t="s">
        <v>16</v>
      </c>
      <c r="F17" s="13"/>
    </row>
    <row r="18" spans="3:6">
      <c r="C18" s="10" t="s">
        <v>612</v>
      </c>
      <c r="D18" s="32" t="s">
        <v>284</v>
      </c>
      <c r="E18" s="14" t="s">
        <v>16</v>
      </c>
      <c r="F18" s="13"/>
    </row>
    <row r="19" spans="3:6">
      <c r="C19" s="10" t="s">
        <v>613</v>
      </c>
      <c r="D19" s="32" t="s">
        <v>284</v>
      </c>
      <c r="E19" s="14" t="s">
        <v>16</v>
      </c>
      <c r="F19" s="13"/>
    </row>
    <row r="20" spans="3:6">
      <c r="C20" s="10" t="s">
        <v>614</v>
      </c>
      <c r="D20" s="32" t="s">
        <v>284</v>
      </c>
      <c r="E20" s="14" t="s">
        <v>16</v>
      </c>
      <c r="F20" s="13"/>
    </row>
    <row r="21" spans="3:6">
      <c r="C21" s="10" t="s">
        <v>615</v>
      </c>
      <c r="D21" s="32" t="s">
        <v>284</v>
      </c>
      <c r="E21" s="14" t="s">
        <v>16</v>
      </c>
      <c r="F21" s="13"/>
    </row>
    <row r="22" spans="3:6">
      <c r="C22" s="10" t="s">
        <v>616</v>
      </c>
      <c r="D22" s="32" t="s">
        <v>284</v>
      </c>
      <c r="E22" s="14" t="s">
        <v>16</v>
      </c>
      <c r="F22" s="13"/>
    </row>
    <row r="23" spans="3:6">
      <c r="C23" s="10" t="s">
        <v>617</v>
      </c>
      <c r="D23" s="32" t="s">
        <v>284</v>
      </c>
      <c r="E23" s="14" t="s">
        <v>16</v>
      </c>
      <c r="F23" s="13"/>
    </row>
    <row r="24" spans="3:6">
      <c r="C24" s="10" t="s">
        <v>618</v>
      </c>
      <c r="D24" s="32" t="s">
        <v>284</v>
      </c>
      <c r="E24" s="14" t="s">
        <v>16</v>
      </c>
      <c r="F24" s="13"/>
    </row>
    <row r="25" spans="3:6">
      <c r="C25" s="10" t="s">
        <v>619</v>
      </c>
      <c r="D25" s="32" t="s">
        <v>284</v>
      </c>
      <c r="E25" s="14" t="s">
        <v>16</v>
      </c>
      <c r="F25" s="13"/>
    </row>
    <row r="26" spans="3:6">
      <c r="C26" s="10" t="s">
        <v>620</v>
      </c>
      <c r="D26" s="32" t="s">
        <v>284</v>
      </c>
      <c r="E26" s="14" t="s">
        <v>16</v>
      </c>
      <c r="F26" s="13"/>
    </row>
    <row r="27" spans="3:6">
      <c r="C27" s="10" t="s">
        <v>621</v>
      </c>
      <c r="D27" s="32" t="s">
        <v>284</v>
      </c>
      <c r="E27" s="14" t="s">
        <v>16</v>
      </c>
      <c r="F27" s="13"/>
    </row>
    <row r="28" spans="3:6">
      <c r="C28" s="10" t="s">
        <v>622</v>
      </c>
      <c r="D28" s="32" t="s">
        <v>284</v>
      </c>
      <c r="E28" s="14" t="s">
        <v>16</v>
      </c>
      <c r="F28" s="13"/>
    </row>
    <row r="29" spans="3:6">
      <c r="C29" s="10" t="s">
        <v>623</v>
      </c>
      <c r="D29" s="32" t="s">
        <v>284</v>
      </c>
      <c r="E29" s="14" t="s">
        <v>16</v>
      </c>
      <c r="F29" s="13"/>
    </row>
    <row r="30" spans="3:6">
      <c r="C30" s="10" t="s">
        <v>624</v>
      </c>
      <c r="D30" s="32" t="s">
        <v>284</v>
      </c>
      <c r="E30" s="14" t="s">
        <v>16</v>
      </c>
      <c r="F30" s="13"/>
    </row>
    <row r="31" spans="3:6">
      <c r="C31" s="10" t="s">
        <v>625</v>
      </c>
      <c r="D31" s="32" t="s">
        <v>284</v>
      </c>
      <c r="E31" s="14" t="s">
        <v>16</v>
      </c>
      <c r="F31" s="13"/>
    </row>
    <row r="32" spans="3:6">
      <c r="C32" s="10" t="s">
        <v>626</v>
      </c>
      <c r="D32" s="32" t="s">
        <v>284</v>
      </c>
      <c r="E32" s="14" t="s">
        <v>16</v>
      </c>
      <c r="F32" s="13"/>
    </row>
    <row r="33" spans="3:6">
      <c r="C33" s="10" t="s">
        <v>627</v>
      </c>
      <c r="D33" s="32" t="s">
        <v>284</v>
      </c>
      <c r="E33" s="14" t="s">
        <v>16</v>
      </c>
      <c r="F33" s="13"/>
    </row>
    <row r="34" spans="3:6">
      <c r="C34" s="10" t="s">
        <v>628</v>
      </c>
      <c r="D34" s="32" t="s">
        <v>284</v>
      </c>
      <c r="E34" s="14" t="s">
        <v>16</v>
      </c>
      <c r="F34" s="13"/>
    </row>
    <row r="35" spans="3:6">
      <c r="C35" s="10" t="s">
        <v>629</v>
      </c>
      <c r="D35" s="32" t="s">
        <v>284</v>
      </c>
      <c r="E35" s="14" t="s">
        <v>16</v>
      </c>
      <c r="F35" s="13"/>
    </row>
    <row r="36" spans="3:6">
      <c r="C36" s="10" t="s">
        <v>630</v>
      </c>
      <c r="D36" s="32" t="s">
        <v>284</v>
      </c>
      <c r="E36" s="14" t="s">
        <v>16</v>
      </c>
      <c r="F36" s="13"/>
    </row>
    <row r="37" spans="3:6">
      <c r="C37" s="10" t="s">
        <v>631</v>
      </c>
      <c r="D37" s="32" t="s">
        <v>284</v>
      </c>
      <c r="E37" s="14" t="s">
        <v>16</v>
      </c>
      <c r="F37" s="13"/>
    </row>
    <row r="38" spans="3:6">
      <c r="C38" s="10" t="s">
        <v>632</v>
      </c>
      <c r="D38" s="32" t="s">
        <v>284</v>
      </c>
      <c r="E38" s="14" t="s">
        <v>16</v>
      </c>
      <c r="F38" s="13"/>
    </row>
    <row r="39" spans="3:6">
      <c r="C39" s="10" t="s">
        <v>633</v>
      </c>
      <c r="D39" s="32" t="s">
        <v>284</v>
      </c>
      <c r="E39" s="14" t="s">
        <v>16</v>
      </c>
      <c r="F39" s="13"/>
    </row>
    <row r="40" spans="3:6">
      <c r="C40" s="10" t="s">
        <v>634</v>
      </c>
      <c r="D40" s="32" t="s">
        <v>284</v>
      </c>
      <c r="E40" s="14" t="s">
        <v>16</v>
      </c>
      <c r="F40" s="13"/>
    </row>
    <row r="41" spans="3:6">
      <c r="C41" s="10" t="s">
        <v>635</v>
      </c>
      <c r="D41" s="32" t="s">
        <v>284</v>
      </c>
      <c r="E41" s="14" t="s">
        <v>16</v>
      </c>
      <c r="F41" s="13"/>
    </row>
    <row r="42" spans="3:6">
      <c r="C42" s="10" t="s">
        <v>636</v>
      </c>
      <c r="D42" s="32" t="s">
        <v>284</v>
      </c>
      <c r="E42" s="14" t="s">
        <v>16</v>
      </c>
      <c r="F42" s="13"/>
    </row>
    <row r="43" spans="3:6">
      <c r="C43" s="10" t="s">
        <v>637</v>
      </c>
      <c r="D43" s="32" t="s">
        <v>284</v>
      </c>
      <c r="E43" s="14" t="s">
        <v>16</v>
      </c>
      <c r="F43" s="13"/>
    </row>
    <row r="44" spans="3:6">
      <c r="C44" s="10" t="s">
        <v>638</v>
      </c>
      <c r="D44" s="32" t="s">
        <v>284</v>
      </c>
      <c r="E44" s="14" t="s">
        <v>16</v>
      </c>
      <c r="F44" s="13"/>
    </row>
    <row r="45" spans="3:6">
      <c r="C45" s="10" t="s">
        <v>639</v>
      </c>
      <c r="D45" s="32" t="s">
        <v>284</v>
      </c>
      <c r="E45" s="14" t="s">
        <v>16</v>
      </c>
      <c r="F45" s="13"/>
    </row>
    <row r="46" spans="3:6">
      <c r="C46" s="10" t="s">
        <v>640</v>
      </c>
      <c r="D46" s="32" t="s">
        <v>284</v>
      </c>
      <c r="E46" s="14" t="s">
        <v>16</v>
      </c>
      <c r="F46" s="13"/>
    </row>
    <row r="47" spans="3:6">
      <c r="C47" s="10" t="s">
        <v>641</v>
      </c>
      <c r="D47" s="32" t="s">
        <v>284</v>
      </c>
      <c r="E47" s="14" t="s">
        <v>16</v>
      </c>
      <c r="F47" s="13"/>
    </row>
    <row r="48" spans="3:6">
      <c r="C48" s="10" t="s">
        <v>642</v>
      </c>
      <c r="D48" s="32" t="s">
        <v>284</v>
      </c>
      <c r="E48" s="14" t="s">
        <v>16</v>
      </c>
      <c r="F48" s="13"/>
    </row>
    <row r="49" spans="3:6">
      <c r="C49" s="10" t="s">
        <v>643</v>
      </c>
      <c r="D49" s="32" t="s">
        <v>284</v>
      </c>
      <c r="E49" s="14" t="s">
        <v>16</v>
      </c>
      <c r="F49" s="13"/>
    </row>
    <row r="50" spans="3:6">
      <c r="C50" s="10" t="s">
        <v>644</v>
      </c>
      <c r="D50" s="32" t="s">
        <v>284</v>
      </c>
      <c r="E50" s="14" t="s">
        <v>16</v>
      </c>
      <c r="F50" s="13"/>
    </row>
    <row r="51" spans="3:6">
      <c r="C51" s="10" t="s">
        <v>645</v>
      </c>
      <c r="D51" s="32" t="s">
        <v>284</v>
      </c>
      <c r="E51" s="14" t="s">
        <v>16</v>
      </c>
      <c r="F51" s="13"/>
    </row>
    <row r="52" spans="3:6">
      <c r="C52" s="10" t="s">
        <v>646</v>
      </c>
      <c r="D52" s="32" t="s">
        <v>284</v>
      </c>
      <c r="E52" s="14" t="s">
        <v>16</v>
      </c>
      <c r="F52" s="13"/>
    </row>
    <row r="53" spans="3:6">
      <c r="C53" s="10" t="s">
        <v>647</v>
      </c>
      <c r="D53" s="32" t="s">
        <v>284</v>
      </c>
      <c r="E53" s="14" t="s">
        <v>16</v>
      </c>
      <c r="F53" s="13"/>
    </row>
    <row r="54" spans="3:6">
      <c r="C54" s="10" t="s">
        <v>648</v>
      </c>
      <c r="D54" s="32" t="s">
        <v>284</v>
      </c>
      <c r="E54" s="14" t="s">
        <v>16</v>
      </c>
      <c r="F54" s="13"/>
    </row>
    <row r="55" spans="3:6">
      <c r="C55" s="10" t="s">
        <v>649</v>
      </c>
      <c r="D55" s="32" t="s">
        <v>284</v>
      </c>
      <c r="E55" s="14" t="s">
        <v>16</v>
      </c>
      <c r="F55" s="13"/>
    </row>
    <row r="56" spans="3:6">
      <c r="C56" s="10" t="s">
        <v>650</v>
      </c>
      <c r="D56" s="32" t="s">
        <v>284</v>
      </c>
      <c r="E56" s="14" t="s">
        <v>16</v>
      </c>
      <c r="F56" s="13"/>
    </row>
    <row r="57" spans="3:6">
      <c r="C57" s="10" t="s">
        <v>651</v>
      </c>
      <c r="D57" s="32" t="s">
        <v>284</v>
      </c>
      <c r="E57" s="14" t="s">
        <v>16</v>
      </c>
      <c r="F57" s="13"/>
    </row>
    <row r="58" spans="3:6">
      <c r="C58" s="10" t="s">
        <v>652</v>
      </c>
      <c r="D58" s="32" t="s">
        <v>284</v>
      </c>
      <c r="E58" s="14" t="s">
        <v>16</v>
      </c>
      <c r="F58" s="13"/>
    </row>
    <row r="59" spans="3:6">
      <c r="C59" s="10" t="s">
        <v>653</v>
      </c>
      <c r="D59" s="32" t="s">
        <v>284</v>
      </c>
      <c r="E59" s="14" t="s">
        <v>16</v>
      </c>
      <c r="F59" s="13"/>
    </row>
    <row r="60" spans="3:6">
      <c r="C60" s="10" t="s">
        <v>654</v>
      </c>
      <c r="D60" s="32" t="s">
        <v>284</v>
      </c>
      <c r="E60" s="14" t="s">
        <v>16</v>
      </c>
      <c r="F60" s="13"/>
    </row>
    <row r="61" spans="3:6">
      <c r="C61" s="10" t="s">
        <v>655</v>
      </c>
      <c r="D61" s="32" t="s">
        <v>284</v>
      </c>
      <c r="E61" s="14" t="s">
        <v>16</v>
      </c>
      <c r="F61" s="13"/>
    </row>
    <row r="62" spans="3:6">
      <c r="C62" s="10" t="s">
        <v>656</v>
      </c>
      <c r="D62" s="32" t="s">
        <v>284</v>
      </c>
      <c r="E62" s="14" t="s">
        <v>16</v>
      </c>
      <c r="F62" s="13"/>
    </row>
    <row r="63" spans="3:6">
      <c r="C63" s="10" t="s">
        <v>657</v>
      </c>
      <c r="D63" s="32" t="s">
        <v>284</v>
      </c>
      <c r="E63" s="14" t="s">
        <v>16</v>
      </c>
      <c r="F63" s="13"/>
    </row>
    <row r="64" spans="3:6">
      <c r="C64" s="10" t="s">
        <v>658</v>
      </c>
      <c r="D64" s="32" t="s">
        <v>284</v>
      </c>
      <c r="E64" s="14" t="s">
        <v>16</v>
      </c>
      <c r="F64" s="13"/>
    </row>
    <row r="65" spans="3:6">
      <c r="C65" s="10" t="s">
        <v>659</v>
      </c>
      <c r="D65" s="32" t="s">
        <v>284</v>
      </c>
      <c r="E65" s="14" t="s">
        <v>16</v>
      </c>
      <c r="F65" s="13"/>
    </row>
    <row r="66" spans="3:6">
      <c r="C66" s="10" t="s">
        <v>660</v>
      </c>
      <c r="D66" s="32" t="s">
        <v>284</v>
      </c>
      <c r="E66" s="14" t="s">
        <v>16</v>
      </c>
      <c r="F66" s="13"/>
    </row>
    <row r="67" spans="3:6">
      <c r="C67" s="10" t="s">
        <v>661</v>
      </c>
      <c r="D67" s="32" t="s">
        <v>284</v>
      </c>
      <c r="E67" s="14" t="s">
        <v>16</v>
      </c>
      <c r="F67" s="13"/>
    </row>
    <row r="68" spans="3:6">
      <c r="C68" s="10" t="s">
        <v>662</v>
      </c>
      <c r="D68" s="32" t="s">
        <v>284</v>
      </c>
      <c r="E68" s="14" t="s">
        <v>16</v>
      </c>
      <c r="F68" s="13"/>
    </row>
    <row r="69" spans="3:6">
      <c r="C69" s="10" t="s">
        <v>663</v>
      </c>
      <c r="D69" s="32" t="s">
        <v>284</v>
      </c>
      <c r="E69" s="14" t="s">
        <v>16</v>
      </c>
      <c r="F69" s="13"/>
    </row>
    <row r="70" spans="3:6">
      <c r="C70" s="10" t="s">
        <v>664</v>
      </c>
      <c r="D70" s="32" t="s">
        <v>284</v>
      </c>
      <c r="E70" s="14" t="s">
        <v>16</v>
      </c>
      <c r="F70" s="13"/>
    </row>
    <row r="71" spans="3:6">
      <c r="C71" s="10" t="s">
        <v>665</v>
      </c>
      <c r="D71" s="32" t="s">
        <v>284</v>
      </c>
      <c r="E71" s="14" t="s">
        <v>16</v>
      </c>
      <c r="F71" s="13"/>
    </row>
    <row r="72" spans="3:6">
      <c r="C72" s="10" t="s">
        <v>666</v>
      </c>
      <c r="D72" s="32" t="s">
        <v>284</v>
      </c>
      <c r="E72" s="14" t="s">
        <v>16</v>
      </c>
      <c r="F72" s="13"/>
    </row>
    <row r="73" spans="3:6">
      <c r="C73" s="10" t="s">
        <v>667</v>
      </c>
      <c r="D73" s="32" t="s">
        <v>284</v>
      </c>
      <c r="E73" s="14" t="s">
        <v>16</v>
      </c>
      <c r="F73" s="13"/>
    </row>
    <row r="74" spans="3:6">
      <c r="C74" s="10" t="s">
        <v>668</v>
      </c>
      <c r="D74" s="32" t="s">
        <v>284</v>
      </c>
      <c r="E74" s="14" t="s">
        <v>16</v>
      </c>
      <c r="F74" s="13"/>
    </row>
    <row r="75" spans="3:6">
      <c r="C75" s="10" t="s">
        <v>669</v>
      </c>
      <c r="D75" s="32" t="s">
        <v>284</v>
      </c>
      <c r="E75" s="14" t="s">
        <v>16</v>
      </c>
      <c r="F75" s="13"/>
    </row>
    <row r="76" spans="3:6">
      <c r="C76" s="10" t="s">
        <v>670</v>
      </c>
      <c r="D76" s="32" t="s">
        <v>284</v>
      </c>
      <c r="E76" s="14" t="s">
        <v>16</v>
      </c>
      <c r="F76" s="13"/>
    </row>
    <row r="77" spans="3:6">
      <c r="C77" s="10" t="s">
        <v>671</v>
      </c>
      <c r="D77" s="32" t="s">
        <v>284</v>
      </c>
      <c r="E77" s="14" t="s">
        <v>16</v>
      </c>
      <c r="F77" s="13"/>
    </row>
    <row r="78" spans="3:6">
      <c r="C78" s="10" t="s">
        <v>672</v>
      </c>
      <c r="D78" s="32" t="s">
        <v>284</v>
      </c>
      <c r="E78" s="14" t="s">
        <v>16</v>
      </c>
      <c r="F78" s="13"/>
    </row>
    <row r="79" spans="3:6">
      <c r="C79" s="10" t="s">
        <v>673</v>
      </c>
      <c r="D79" s="32" t="s">
        <v>284</v>
      </c>
      <c r="E79" s="14" t="s">
        <v>16</v>
      </c>
      <c r="F79" s="13"/>
    </row>
    <row r="80" spans="3:6">
      <c r="C80" s="10" t="s">
        <v>674</v>
      </c>
      <c r="D80" s="32" t="s">
        <v>284</v>
      </c>
      <c r="E80" s="14" t="s">
        <v>16</v>
      </c>
      <c r="F80" s="13"/>
    </row>
    <row r="81" spans="3:6">
      <c r="C81" s="10" t="s">
        <v>675</v>
      </c>
      <c r="D81" s="32" t="s">
        <v>284</v>
      </c>
      <c r="E81" s="14" t="s">
        <v>16</v>
      </c>
      <c r="F81" s="13"/>
    </row>
    <row r="82" spans="3:6">
      <c r="C82" s="10" t="s">
        <v>676</v>
      </c>
      <c r="D82" s="32" t="s">
        <v>284</v>
      </c>
      <c r="E82" s="14" t="s">
        <v>16</v>
      </c>
      <c r="F82" s="13"/>
    </row>
    <row r="83" spans="3:6">
      <c r="C83" s="10" t="s">
        <v>677</v>
      </c>
      <c r="D83" s="32" t="s">
        <v>284</v>
      </c>
      <c r="E83" s="14" t="s">
        <v>16</v>
      </c>
      <c r="F83" s="13"/>
    </row>
    <row r="84" spans="3:6">
      <c r="C84" s="10" t="s">
        <v>678</v>
      </c>
      <c r="D84" s="32" t="s">
        <v>284</v>
      </c>
      <c r="E84" s="14" t="s">
        <v>16</v>
      </c>
      <c r="F84" s="13"/>
    </row>
    <row r="85" spans="3:6">
      <c r="C85" s="10" t="s">
        <v>679</v>
      </c>
      <c r="D85" s="32" t="s">
        <v>284</v>
      </c>
      <c r="E85" s="14" t="s">
        <v>16</v>
      </c>
      <c r="F85" s="13"/>
    </row>
    <row r="86" spans="3:6">
      <c r="C86" s="10" t="s">
        <v>680</v>
      </c>
      <c r="D86" s="32" t="s">
        <v>284</v>
      </c>
      <c r="E86" s="14" t="s">
        <v>16</v>
      </c>
      <c r="F86" s="13"/>
    </row>
    <row r="87" spans="3:6">
      <c r="C87" s="10" t="s">
        <v>681</v>
      </c>
      <c r="D87" s="32" t="s">
        <v>284</v>
      </c>
      <c r="E87" s="14" t="s">
        <v>16</v>
      </c>
      <c r="F87" s="13"/>
    </row>
    <row r="88" spans="3:6">
      <c r="C88" s="10" t="s">
        <v>682</v>
      </c>
      <c r="D88" s="32" t="s">
        <v>284</v>
      </c>
      <c r="E88" s="14" t="s">
        <v>16</v>
      </c>
      <c r="F88" s="13"/>
    </row>
    <row r="89" spans="3:6">
      <c r="C89" s="10" t="s">
        <v>683</v>
      </c>
      <c r="D89" s="32" t="s">
        <v>284</v>
      </c>
      <c r="E89" s="14" t="s">
        <v>16</v>
      </c>
      <c r="F89" s="13"/>
    </row>
    <row r="90" spans="3:6">
      <c r="C90" s="10" t="s">
        <v>684</v>
      </c>
      <c r="D90" s="32" t="s">
        <v>284</v>
      </c>
      <c r="E90" s="14" t="s">
        <v>16</v>
      </c>
      <c r="F90" s="13"/>
    </row>
    <row r="91" spans="3:6">
      <c r="C91" s="10" t="s">
        <v>685</v>
      </c>
      <c r="D91" s="32" t="s">
        <v>284</v>
      </c>
      <c r="E91" s="14" t="s">
        <v>16</v>
      </c>
      <c r="F91" s="13"/>
    </row>
    <row r="92" spans="3:6">
      <c r="C92" s="10" t="s">
        <v>686</v>
      </c>
      <c r="D92" s="32" t="s">
        <v>284</v>
      </c>
      <c r="E92" s="14" t="s">
        <v>16</v>
      </c>
      <c r="F92" s="13"/>
    </row>
    <row r="93" spans="3:6">
      <c r="C93" s="10" t="s">
        <v>687</v>
      </c>
      <c r="D93" s="32" t="s">
        <v>284</v>
      </c>
      <c r="E93" s="14" t="s">
        <v>16</v>
      </c>
      <c r="F93" s="13"/>
    </row>
    <row r="94" spans="3:6">
      <c r="C94" s="10" t="s">
        <v>688</v>
      </c>
      <c r="D94" s="32" t="s">
        <v>284</v>
      </c>
      <c r="E94" s="14" t="s">
        <v>16</v>
      </c>
      <c r="F94" s="13"/>
    </row>
    <row r="95" spans="3:6">
      <c r="C95" s="10" t="s">
        <v>689</v>
      </c>
      <c r="D95" s="32" t="s">
        <v>284</v>
      </c>
      <c r="E95" s="14" t="s">
        <v>16</v>
      </c>
      <c r="F95" s="13"/>
    </row>
    <row r="96" spans="3:6">
      <c r="C96" s="10" t="s">
        <v>690</v>
      </c>
      <c r="D96" s="32" t="s">
        <v>284</v>
      </c>
      <c r="E96" s="14" t="s">
        <v>16</v>
      </c>
      <c r="F96" s="13"/>
    </row>
    <row r="97" spans="3:6">
      <c r="C97" s="10" t="s">
        <v>691</v>
      </c>
      <c r="D97" s="32" t="s">
        <v>284</v>
      </c>
      <c r="E97" s="14" t="s">
        <v>16</v>
      </c>
      <c r="F97" s="13"/>
    </row>
    <row r="98" spans="3:6">
      <c r="C98" s="10" t="s">
        <v>692</v>
      </c>
      <c r="D98" s="32" t="s">
        <v>284</v>
      </c>
      <c r="E98" s="14" t="s">
        <v>16</v>
      </c>
      <c r="F98" s="13"/>
    </row>
    <row r="99" spans="3:6">
      <c r="C99" s="10" t="s">
        <v>693</v>
      </c>
      <c r="D99" s="32" t="s">
        <v>284</v>
      </c>
      <c r="E99" s="14" t="s">
        <v>16</v>
      </c>
    </row>
    <row r="100" spans="3:6">
      <c r="C100" s="10" t="s">
        <v>694</v>
      </c>
      <c r="D100" s="32" t="s">
        <v>284</v>
      </c>
      <c r="E100" s="14" t="s">
        <v>16</v>
      </c>
    </row>
    <row r="101" spans="3:6">
      <c r="C101" s="10" t="s">
        <v>695</v>
      </c>
      <c r="D101" s="32" t="s">
        <v>284</v>
      </c>
      <c r="E101" s="14" t="s">
        <v>16</v>
      </c>
    </row>
    <row r="102" spans="3:6">
      <c r="C102" s="10" t="s">
        <v>696</v>
      </c>
      <c r="D102" s="32" t="s">
        <v>284</v>
      </c>
      <c r="E102" s="14" t="s">
        <v>16</v>
      </c>
    </row>
    <row r="103" spans="3:6">
      <c r="C103" s="10" t="s">
        <v>697</v>
      </c>
      <c r="D103" s="32" t="s">
        <v>284</v>
      </c>
      <c r="E103" s="14" t="s">
        <v>16</v>
      </c>
    </row>
    <row r="104" spans="3:6">
      <c r="C104" s="10" t="s">
        <v>698</v>
      </c>
      <c r="D104" s="32" t="s">
        <v>284</v>
      </c>
      <c r="E104" s="14" t="s">
        <v>16</v>
      </c>
    </row>
    <row r="105" spans="3:6">
      <c r="C105" s="10" t="s">
        <v>699</v>
      </c>
      <c r="D105" s="32" t="s">
        <v>284</v>
      </c>
      <c r="E105" s="14" t="s">
        <v>16</v>
      </c>
    </row>
    <row r="106" spans="3:6">
      <c r="C106" s="10" t="s">
        <v>700</v>
      </c>
      <c r="D106" s="32" t="s">
        <v>284</v>
      </c>
      <c r="E106" s="14" t="s">
        <v>16</v>
      </c>
    </row>
    <row r="107" spans="3:6">
      <c r="C107" s="10" t="s">
        <v>701</v>
      </c>
      <c r="D107" s="32" t="s">
        <v>284</v>
      </c>
      <c r="E107" s="14" t="s">
        <v>16</v>
      </c>
    </row>
    <row r="108" spans="3:6">
      <c r="C108" s="10" t="s">
        <v>702</v>
      </c>
      <c r="D108" s="32" t="s">
        <v>284</v>
      </c>
      <c r="E108" s="14" t="s">
        <v>16</v>
      </c>
    </row>
    <row r="109" spans="3:6">
      <c r="C109" s="10" t="s">
        <v>703</v>
      </c>
      <c r="D109" s="32" t="s">
        <v>284</v>
      </c>
      <c r="E109" s="14" t="s">
        <v>16</v>
      </c>
    </row>
    <row r="110" spans="3:6">
      <c r="C110" s="10" t="s">
        <v>704</v>
      </c>
      <c r="D110" s="32" t="s">
        <v>284</v>
      </c>
      <c r="E110" s="14" t="s">
        <v>16</v>
      </c>
    </row>
    <row r="111" spans="3:6">
      <c r="C111" s="10" t="s">
        <v>705</v>
      </c>
      <c r="D111" s="32" t="s">
        <v>284</v>
      </c>
      <c r="E111" s="14" t="s">
        <v>16</v>
      </c>
    </row>
    <row r="112" spans="3:6">
      <c r="C112" s="10" t="s">
        <v>706</v>
      </c>
      <c r="D112" s="32" t="s">
        <v>284</v>
      </c>
      <c r="E112" s="14" t="s">
        <v>16</v>
      </c>
    </row>
    <row r="113" spans="3:7">
      <c r="C113" s="10" t="s">
        <v>707</v>
      </c>
      <c r="D113" s="32" t="s">
        <v>284</v>
      </c>
      <c r="E113" s="14" t="s">
        <v>16</v>
      </c>
    </row>
    <row r="114" spans="3:7">
      <c r="C114" s="10" t="s">
        <v>708</v>
      </c>
      <c r="D114" s="32" t="s">
        <v>284</v>
      </c>
      <c r="E114" s="14" t="s">
        <v>16</v>
      </c>
    </row>
    <row r="115" spans="3:7">
      <c r="C115" s="10" t="s">
        <v>709</v>
      </c>
      <c r="D115" s="32" t="s">
        <v>284</v>
      </c>
      <c r="E115" s="14" t="s">
        <v>16</v>
      </c>
    </row>
    <row r="116" spans="3:7">
      <c r="C116" s="10" t="s">
        <v>710</v>
      </c>
      <c r="D116" s="32" t="s">
        <v>284</v>
      </c>
      <c r="E116" s="14" t="s">
        <v>16</v>
      </c>
    </row>
    <row r="117" spans="3:7">
      <c r="C117" s="10" t="s">
        <v>711</v>
      </c>
      <c r="D117" s="32" t="s">
        <v>284</v>
      </c>
      <c r="E117" s="14" t="s">
        <v>16</v>
      </c>
    </row>
    <row r="118" spans="3:7">
      <c r="C118" s="10" t="s">
        <v>712</v>
      </c>
      <c r="D118" s="32" t="s">
        <v>284</v>
      </c>
      <c r="E118" s="14" t="s">
        <v>16</v>
      </c>
    </row>
    <row r="119" spans="3:7">
      <c r="C119" s="10" t="s">
        <v>713</v>
      </c>
      <c r="D119" s="32" t="s">
        <v>284</v>
      </c>
      <c r="E119" s="14" t="s">
        <v>16</v>
      </c>
    </row>
    <row r="120" spans="3:7">
      <c r="C120" s="10" t="s">
        <v>714</v>
      </c>
      <c r="D120" s="32" t="s">
        <v>284</v>
      </c>
      <c r="E120" s="14" t="s">
        <v>16</v>
      </c>
    </row>
    <row r="121" spans="3:7">
      <c r="C121" s="10" t="s">
        <v>715</v>
      </c>
      <c r="D121" s="32" t="s">
        <v>284</v>
      </c>
      <c r="E121" s="14" t="s">
        <v>16</v>
      </c>
    </row>
    <row r="122" spans="3:7">
      <c r="C122" s="10" t="s">
        <v>716</v>
      </c>
      <c r="D122" s="32" t="s">
        <v>284</v>
      </c>
      <c r="E122" s="14" t="s">
        <v>16</v>
      </c>
    </row>
    <row r="123" spans="3:7">
      <c r="C123" s="10" t="s">
        <v>717</v>
      </c>
      <c r="D123" s="32" t="s">
        <v>284</v>
      </c>
      <c r="E123" s="14" t="s">
        <v>16</v>
      </c>
    </row>
    <row r="124" spans="3:7">
      <c r="C124" s="10" t="s">
        <v>718</v>
      </c>
      <c r="D124" s="32" t="s">
        <v>284</v>
      </c>
      <c r="E124" s="14" t="s">
        <v>16</v>
      </c>
    </row>
    <row r="125" spans="3:7">
      <c r="C125" s="12" t="s">
        <v>94</v>
      </c>
      <c r="D125" s="12" t="s">
        <v>11</v>
      </c>
      <c r="E125" s="11" t="s">
        <v>16</v>
      </c>
      <c r="F125" s="13" t="s">
        <v>20</v>
      </c>
      <c r="G125" s="12" t="s">
        <v>30</v>
      </c>
    </row>
    <row r="126" spans="3:7">
      <c r="C126" s="12" t="s">
        <v>1</v>
      </c>
      <c r="D126" s="12" t="s">
        <v>37</v>
      </c>
      <c r="E126" s="11"/>
      <c r="F126" s="13"/>
      <c r="G126" s="12" t="s">
        <v>31</v>
      </c>
    </row>
    <row r="127" spans="3:7">
      <c r="C127" s="12" t="s">
        <v>19</v>
      </c>
      <c r="D127" s="12" t="s">
        <v>11</v>
      </c>
      <c r="E127" s="11" t="s">
        <v>16</v>
      </c>
      <c r="F127" s="13" t="s">
        <v>20</v>
      </c>
      <c r="G127" s="12" t="s">
        <v>32</v>
      </c>
    </row>
    <row r="128" spans="3:7">
      <c r="C128" s="12" t="s">
        <v>2</v>
      </c>
      <c r="D128" s="12" t="s">
        <v>37</v>
      </c>
      <c r="E128" s="11"/>
      <c r="F128" s="13"/>
      <c r="G128" s="12" t="s">
        <v>33</v>
      </c>
    </row>
  </sheetData>
  <phoneticPr fontId="3" type="noConversion"/>
  <hyperlinks>
    <hyperlink ref="A1" location="目錄!A1" display="回到目錄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1"/>
  <dimension ref="A1:S128"/>
  <sheetViews>
    <sheetView workbookViewId="0"/>
  </sheetViews>
  <sheetFormatPr defaultColWidth="11.1796875" defaultRowHeight="13.8"/>
  <cols>
    <col min="1" max="1" width="7.453125" style="10" bestFit="1" customWidth="1"/>
    <col min="2" max="2" width="4.36328125" style="10" bestFit="1" customWidth="1"/>
    <col min="3" max="3" width="11.90625" style="10" bestFit="1" customWidth="1"/>
    <col min="4" max="4" width="11" style="10" bestFit="1" customWidth="1"/>
    <col min="5" max="5" width="7.54296875" style="14" bestFit="1" customWidth="1"/>
    <col min="6" max="6" width="10" style="15" bestFit="1" customWidth="1"/>
    <col min="7" max="7" width="10.6328125" style="10" bestFit="1" customWidth="1"/>
    <col min="8" max="8" width="28.08984375" style="10" bestFit="1" customWidth="1"/>
    <col min="9" max="9" width="10.08984375" style="10" bestFit="1" customWidth="1"/>
    <col min="10" max="12" width="4.54296875" style="15" bestFit="1" customWidth="1"/>
    <col min="13" max="13" width="13.81640625" style="14" bestFit="1" customWidth="1"/>
    <col min="14" max="16" width="6.6328125" style="14" customWidth="1"/>
    <col min="17" max="28" width="6.6328125" style="10" customWidth="1"/>
    <col min="29" max="32" width="14.453125" style="10" customWidth="1"/>
    <col min="33" max="16384" width="11.1796875" style="10"/>
  </cols>
  <sheetData>
    <row r="1" spans="1:19">
      <c r="A1" s="23" t="s">
        <v>36</v>
      </c>
      <c r="B1" s="5" t="s">
        <v>5</v>
      </c>
      <c r="C1" s="6" t="s">
        <v>3</v>
      </c>
      <c r="D1" s="6" t="s">
        <v>4</v>
      </c>
      <c r="E1" s="7" t="s">
        <v>6</v>
      </c>
      <c r="F1" s="9" t="s">
        <v>13</v>
      </c>
      <c r="G1" s="9" t="s">
        <v>7</v>
      </c>
      <c r="H1" s="9" t="s">
        <v>8</v>
      </c>
      <c r="I1" s="9" t="s">
        <v>467</v>
      </c>
      <c r="L1" s="72" t="s">
        <v>240</v>
      </c>
      <c r="M1" s="72" t="s">
        <v>485</v>
      </c>
      <c r="N1" s="72" t="s">
        <v>470</v>
      </c>
      <c r="O1" s="72" t="s">
        <v>471</v>
      </c>
      <c r="P1" s="72" t="s">
        <v>472</v>
      </c>
      <c r="Q1" s="72" t="s">
        <v>473</v>
      </c>
      <c r="R1" s="72" t="s">
        <v>474</v>
      </c>
      <c r="S1" s="73" t="s">
        <v>475</v>
      </c>
    </row>
    <row r="2" spans="1:19">
      <c r="B2" s="11" t="s">
        <v>14</v>
      </c>
      <c r="C2" s="13" t="s">
        <v>80</v>
      </c>
      <c r="D2" s="18" t="s">
        <v>24</v>
      </c>
      <c r="E2" s="11"/>
      <c r="F2" s="12"/>
      <c r="G2" s="12" t="s">
        <v>81</v>
      </c>
      <c r="L2" s="36"/>
      <c r="M2" s="34"/>
      <c r="N2" s="36" t="str">
        <f>"EXEC sp_dropextendedproperty @name = N'MS_Description', @level0type=N'SCHEMA',@level0name=N'"&amp;$L$1&amp;"', @level1type=N'TABLE',@level1name=N'"&amp;$M$1&amp;"', @level2type=N'COLUMN',@level2name=N'"&amp;$C2&amp;"'"</f>
        <v>EXEC sp_dropextendedproperty @name = N'MS_Description', @level0type=N'SCHEMA',@level0name=N'dbo', @level1type=N'TABLE',@level1name=N'LifeInsActFactor', @level2type=N'COLUMN',@level2name=N'PlanCode'</v>
      </c>
      <c r="O2" s="36" t="str">
        <f>"EXEC sp_dropextendedproperty @name = N'Rule', @level0type=N'SCHEMA',@level0name=N'"&amp;$L$1&amp;"', @level1type=N'TABLE',@level1name=N'"&amp;$M$1&amp;"', @level2type=N'COLUMN',@level2name=N'"&amp;$C2&amp;"'"</f>
        <v>EXEC sp_dropextendedproperty @name = N'Rule', @level0type=N'SCHEMA',@level0name=N'dbo', @level1type=N'TABLE',@level1name=N'LifeInsActFactor', @level2type=N'COLUMN',@level2name=N'PlanCode'</v>
      </c>
      <c r="P2" s="36" t="str">
        <f>"EXEC sp_dropextendedproperty @name = N'Memo', @level0type=N'SCHEMA',@level0name=N'"&amp;$L$1&amp;"', @level1type=N'TABLE',@level1name=N'"&amp;$M$1&amp;"', @level2type=N'COLUMN',@level2name=N'"&amp;$C2&amp;"'"</f>
        <v>EXEC sp_dropextendedproperty @name = N'Memo', @level0type=N'SCHEMA',@level0name=N'dbo', @level1type=N'TABLE',@level1name=N'LifeInsActFactor', @level2type=N'COLUMN',@level2name=N'PlanCode'</v>
      </c>
      <c r="Q2" s="36" t="str">
        <f>"set @OldWording = N'"&amp;SUBSTITUTE($G2,CHAR(10),"")&amp;"'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@level2type=N'COLUMN',@level2name=N'"&amp;$C2&amp;"'"</f>
        <v>set @OldWording = N'險種代碼' set @NewWording = REPLACE(@OldWording,'***',char(13)+char(10)) EXEC sys.sp_addextendedproperty @name=N'MS_Description', @value=@NewWording , @level0type=N'SCHEMA',@level0name=N'dbo', @level1type=N'TABLE',@level1name=N'LifeInsActFactor', @level2type=N'COLUMN',@level2name=N'PlanCode'</v>
      </c>
      <c r="R2" s="32" t="str">
        <f>"set @OldWording = N'"&amp;SUBSTITUTE($H2,CHAR(10),"")&amp;"'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@name=N'Rule', @value=@NewWording , @level0type=N'SCHEMA',@level0name=N'dbo', @level1type=N'TABLE',@level1name=N'LifeInsActFactor', @level2type=N'COLUMN',@level2name=N'PlanCode'</v>
      </c>
      <c r="S2" s="36" t="str">
        <f>"set @OldWording = N'"&amp;SUBSTITUTE($I2,CHAR(10),"")&amp;"' set @NewWording = REPLACE(@OldWording,'***',char(13)+char(10)) "&amp;"EXEC sys.sp_addextendedproperty @name=N'Memo',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@name=N'Memo', @value=@NewWording , @level0type=N'SCHEMA',@level0name=N'dbo', @level1type=N'TABLE',@level1name=N'LifeInsActFactor', @level2type=N'COLUMN',@level2name=N'PlanCode'</v>
      </c>
    </row>
    <row r="3" spans="1:19" ht="27.6">
      <c r="B3" s="11" t="s">
        <v>14</v>
      </c>
      <c r="C3" s="15" t="s">
        <v>3728</v>
      </c>
      <c r="D3" s="15" t="s">
        <v>21</v>
      </c>
      <c r="F3" s="10"/>
      <c r="G3" s="10" t="s">
        <v>78</v>
      </c>
      <c r="H3" s="16" t="s">
        <v>3652</v>
      </c>
      <c r="I3" s="16"/>
    </row>
    <row r="4" spans="1:19">
      <c r="B4" s="11" t="s">
        <v>14</v>
      </c>
      <c r="C4" s="12" t="s">
        <v>86</v>
      </c>
      <c r="D4" s="12" t="s">
        <v>34</v>
      </c>
      <c r="F4" s="13"/>
      <c r="G4" s="12" t="s">
        <v>87</v>
      </c>
    </row>
    <row r="5" spans="1:19">
      <c r="B5" s="11" t="s">
        <v>14</v>
      </c>
      <c r="C5" s="12" t="s">
        <v>50</v>
      </c>
      <c r="D5" s="12" t="s">
        <v>21</v>
      </c>
      <c r="F5" s="13"/>
      <c r="G5" s="12" t="s">
        <v>52</v>
      </c>
      <c r="H5" s="16" t="s">
        <v>493</v>
      </c>
      <c r="I5" s="27" t="s">
        <v>267</v>
      </c>
    </row>
    <row r="6" spans="1:19">
      <c r="B6" s="11" t="s">
        <v>14</v>
      </c>
      <c r="C6" s="10" t="s">
        <v>75</v>
      </c>
      <c r="D6" s="12" t="s">
        <v>34</v>
      </c>
      <c r="F6" s="13"/>
      <c r="G6" s="10" t="s">
        <v>74</v>
      </c>
    </row>
    <row r="7" spans="1:19">
      <c r="B7" s="11" t="s">
        <v>14</v>
      </c>
      <c r="C7" s="10" t="s">
        <v>3593</v>
      </c>
      <c r="D7" s="12" t="s">
        <v>23</v>
      </c>
      <c r="F7" s="13"/>
      <c r="G7" s="10" t="s">
        <v>3594</v>
      </c>
    </row>
    <row r="8" spans="1:19">
      <c r="B8" s="11"/>
      <c r="C8" s="29" t="s">
        <v>3730</v>
      </c>
      <c r="D8" s="29" t="s">
        <v>126</v>
      </c>
      <c r="E8" s="28"/>
      <c r="F8" s="22"/>
      <c r="G8" s="22" t="s">
        <v>125</v>
      </c>
      <c r="H8" s="27" t="s">
        <v>3591</v>
      </c>
    </row>
    <row r="9" spans="1:19">
      <c r="B9" s="11"/>
      <c r="C9" s="29" t="s">
        <v>123</v>
      </c>
      <c r="D9" s="29" t="s">
        <v>126</v>
      </c>
      <c r="E9" s="28"/>
      <c r="F9" s="22"/>
      <c r="G9" s="22" t="s">
        <v>124</v>
      </c>
      <c r="H9" s="27" t="s">
        <v>3591</v>
      </c>
    </row>
    <row r="10" spans="1:19">
      <c r="C10" s="10" t="s">
        <v>604</v>
      </c>
      <c r="D10" s="32" t="s">
        <v>3644</v>
      </c>
      <c r="E10" s="14" t="s">
        <v>16</v>
      </c>
      <c r="F10" s="13"/>
      <c r="H10" s="16" t="s">
        <v>3768</v>
      </c>
      <c r="I10" s="16"/>
    </row>
    <row r="11" spans="1:19">
      <c r="C11" s="10" t="s">
        <v>605</v>
      </c>
      <c r="D11" s="32" t="s">
        <v>3644</v>
      </c>
      <c r="E11" s="14" t="s">
        <v>16</v>
      </c>
      <c r="F11" s="13"/>
    </row>
    <row r="12" spans="1:19">
      <c r="C12" s="10" t="s">
        <v>606</v>
      </c>
      <c r="D12" s="32" t="s">
        <v>3644</v>
      </c>
      <c r="E12" s="14" t="s">
        <v>16</v>
      </c>
      <c r="F12" s="13"/>
    </row>
    <row r="13" spans="1:19">
      <c r="C13" s="10" t="s">
        <v>607</v>
      </c>
      <c r="D13" s="32" t="s">
        <v>3644</v>
      </c>
      <c r="E13" s="14" t="s">
        <v>16</v>
      </c>
      <c r="F13" s="13"/>
    </row>
    <row r="14" spans="1:19">
      <c r="C14" s="10" t="s">
        <v>608</v>
      </c>
      <c r="D14" s="32" t="s">
        <v>3644</v>
      </c>
      <c r="E14" s="14" t="s">
        <v>16</v>
      </c>
      <c r="F14" s="13"/>
    </row>
    <row r="15" spans="1:19">
      <c r="C15" s="10" t="s">
        <v>609</v>
      </c>
      <c r="D15" s="32" t="s">
        <v>3644</v>
      </c>
      <c r="E15" s="14" t="s">
        <v>16</v>
      </c>
      <c r="F15" s="13"/>
    </row>
    <row r="16" spans="1:19">
      <c r="C16" s="10" t="s">
        <v>610</v>
      </c>
      <c r="D16" s="32" t="s">
        <v>3644</v>
      </c>
      <c r="E16" s="14" t="s">
        <v>16</v>
      </c>
      <c r="F16" s="13"/>
    </row>
    <row r="17" spans="3:6">
      <c r="C17" s="10" t="s">
        <v>611</v>
      </c>
      <c r="D17" s="32" t="s">
        <v>3644</v>
      </c>
      <c r="E17" s="14" t="s">
        <v>16</v>
      </c>
      <c r="F17" s="13"/>
    </row>
    <row r="18" spans="3:6">
      <c r="C18" s="10" t="s">
        <v>612</v>
      </c>
      <c r="D18" s="32" t="s">
        <v>3644</v>
      </c>
      <c r="E18" s="14" t="s">
        <v>16</v>
      </c>
      <c r="F18" s="13"/>
    </row>
    <row r="19" spans="3:6">
      <c r="C19" s="10" t="s">
        <v>613</v>
      </c>
      <c r="D19" s="32" t="s">
        <v>3644</v>
      </c>
      <c r="E19" s="14" t="s">
        <v>16</v>
      </c>
      <c r="F19" s="13"/>
    </row>
    <row r="20" spans="3:6">
      <c r="C20" s="10" t="s">
        <v>614</v>
      </c>
      <c r="D20" s="32" t="s">
        <v>3644</v>
      </c>
      <c r="E20" s="14" t="s">
        <v>16</v>
      </c>
      <c r="F20" s="13"/>
    </row>
    <row r="21" spans="3:6">
      <c r="C21" s="10" t="s">
        <v>615</v>
      </c>
      <c r="D21" s="32" t="s">
        <v>3644</v>
      </c>
      <c r="E21" s="14" t="s">
        <v>16</v>
      </c>
      <c r="F21" s="13"/>
    </row>
    <row r="22" spans="3:6">
      <c r="C22" s="10" t="s">
        <v>616</v>
      </c>
      <c r="D22" s="32" t="s">
        <v>3644</v>
      </c>
      <c r="E22" s="14" t="s">
        <v>16</v>
      </c>
      <c r="F22" s="13"/>
    </row>
    <row r="23" spans="3:6">
      <c r="C23" s="10" t="s">
        <v>617</v>
      </c>
      <c r="D23" s="32" t="s">
        <v>3644</v>
      </c>
      <c r="E23" s="14" t="s">
        <v>16</v>
      </c>
      <c r="F23" s="13"/>
    </row>
    <row r="24" spans="3:6">
      <c r="C24" s="10" t="s">
        <v>618</v>
      </c>
      <c r="D24" s="32" t="s">
        <v>3644</v>
      </c>
      <c r="E24" s="14" t="s">
        <v>16</v>
      </c>
      <c r="F24" s="13"/>
    </row>
    <row r="25" spans="3:6">
      <c r="C25" s="10" t="s">
        <v>619</v>
      </c>
      <c r="D25" s="32" t="s">
        <v>3644</v>
      </c>
      <c r="E25" s="14" t="s">
        <v>16</v>
      </c>
      <c r="F25" s="13"/>
    </row>
    <row r="26" spans="3:6">
      <c r="C26" s="10" t="s">
        <v>620</v>
      </c>
      <c r="D26" s="32" t="s">
        <v>3644</v>
      </c>
      <c r="E26" s="14" t="s">
        <v>16</v>
      </c>
      <c r="F26" s="13"/>
    </row>
    <row r="27" spans="3:6">
      <c r="C27" s="10" t="s">
        <v>621</v>
      </c>
      <c r="D27" s="32" t="s">
        <v>3644</v>
      </c>
      <c r="E27" s="14" t="s">
        <v>16</v>
      </c>
      <c r="F27" s="13"/>
    </row>
    <row r="28" spans="3:6">
      <c r="C28" s="10" t="s">
        <v>622</v>
      </c>
      <c r="D28" s="32" t="s">
        <v>3644</v>
      </c>
      <c r="E28" s="14" t="s">
        <v>16</v>
      </c>
      <c r="F28" s="13"/>
    </row>
    <row r="29" spans="3:6">
      <c r="C29" s="10" t="s">
        <v>623</v>
      </c>
      <c r="D29" s="32" t="s">
        <v>3644</v>
      </c>
      <c r="E29" s="14" t="s">
        <v>16</v>
      </c>
      <c r="F29" s="13"/>
    </row>
    <row r="30" spans="3:6">
      <c r="C30" s="10" t="s">
        <v>624</v>
      </c>
      <c r="D30" s="32" t="s">
        <v>3644</v>
      </c>
      <c r="E30" s="14" t="s">
        <v>16</v>
      </c>
      <c r="F30" s="13"/>
    </row>
    <row r="31" spans="3:6">
      <c r="C31" s="10" t="s">
        <v>625</v>
      </c>
      <c r="D31" s="32" t="s">
        <v>3644</v>
      </c>
      <c r="E31" s="14" t="s">
        <v>16</v>
      </c>
      <c r="F31" s="13"/>
    </row>
    <row r="32" spans="3:6">
      <c r="C32" s="10" t="s">
        <v>626</v>
      </c>
      <c r="D32" s="32" t="s">
        <v>3644</v>
      </c>
      <c r="E32" s="14" t="s">
        <v>16</v>
      </c>
      <c r="F32" s="13"/>
    </row>
    <row r="33" spans="3:6">
      <c r="C33" s="10" t="s">
        <v>627</v>
      </c>
      <c r="D33" s="32" t="s">
        <v>3644</v>
      </c>
      <c r="E33" s="14" t="s">
        <v>16</v>
      </c>
      <c r="F33" s="13"/>
    </row>
    <row r="34" spans="3:6">
      <c r="C34" s="10" t="s">
        <v>628</v>
      </c>
      <c r="D34" s="32" t="s">
        <v>3644</v>
      </c>
      <c r="E34" s="14" t="s">
        <v>16</v>
      </c>
      <c r="F34" s="13"/>
    </row>
    <row r="35" spans="3:6">
      <c r="C35" s="10" t="s">
        <v>629</v>
      </c>
      <c r="D35" s="32" t="s">
        <v>3644</v>
      </c>
      <c r="E35" s="14" t="s">
        <v>16</v>
      </c>
      <c r="F35" s="13"/>
    </row>
    <row r="36" spans="3:6">
      <c r="C36" s="10" t="s">
        <v>630</v>
      </c>
      <c r="D36" s="32" t="s">
        <v>3644</v>
      </c>
      <c r="E36" s="14" t="s">
        <v>16</v>
      </c>
      <c r="F36" s="13"/>
    </row>
    <row r="37" spans="3:6">
      <c r="C37" s="10" t="s">
        <v>631</v>
      </c>
      <c r="D37" s="32" t="s">
        <v>3644</v>
      </c>
      <c r="E37" s="14" t="s">
        <v>16</v>
      </c>
      <c r="F37" s="13"/>
    </row>
    <row r="38" spans="3:6">
      <c r="C38" s="10" t="s">
        <v>632</v>
      </c>
      <c r="D38" s="32" t="s">
        <v>3644</v>
      </c>
      <c r="E38" s="14" t="s">
        <v>16</v>
      </c>
      <c r="F38" s="13"/>
    </row>
    <row r="39" spans="3:6">
      <c r="C39" s="10" t="s">
        <v>633</v>
      </c>
      <c r="D39" s="32" t="s">
        <v>3644</v>
      </c>
      <c r="E39" s="14" t="s">
        <v>16</v>
      </c>
      <c r="F39" s="13"/>
    </row>
    <row r="40" spans="3:6">
      <c r="C40" s="10" t="s">
        <v>634</v>
      </c>
      <c r="D40" s="32" t="s">
        <v>3644</v>
      </c>
      <c r="E40" s="14" t="s">
        <v>16</v>
      </c>
      <c r="F40" s="13"/>
    </row>
    <row r="41" spans="3:6">
      <c r="C41" s="10" t="s">
        <v>635</v>
      </c>
      <c r="D41" s="32" t="s">
        <v>3644</v>
      </c>
      <c r="E41" s="14" t="s">
        <v>16</v>
      </c>
      <c r="F41" s="13"/>
    </row>
    <row r="42" spans="3:6">
      <c r="C42" s="10" t="s">
        <v>636</v>
      </c>
      <c r="D42" s="32" t="s">
        <v>3644</v>
      </c>
      <c r="E42" s="14" t="s">
        <v>16</v>
      </c>
      <c r="F42" s="13"/>
    </row>
    <row r="43" spans="3:6">
      <c r="C43" s="10" t="s">
        <v>637</v>
      </c>
      <c r="D43" s="32" t="s">
        <v>3644</v>
      </c>
      <c r="E43" s="14" t="s">
        <v>16</v>
      </c>
      <c r="F43" s="13"/>
    </row>
    <row r="44" spans="3:6">
      <c r="C44" s="10" t="s">
        <v>638</v>
      </c>
      <c r="D44" s="32" t="s">
        <v>3644</v>
      </c>
      <c r="E44" s="14" t="s">
        <v>16</v>
      </c>
      <c r="F44" s="13"/>
    </row>
    <row r="45" spans="3:6">
      <c r="C45" s="10" t="s">
        <v>639</v>
      </c>
      <c r="D45" s="32" t="s">
        <v>3644</v>
      </c>
      <c r="E45" s="14" t="s">
        <v>16</v>
      </c>
      <c r="F45" s="13"/>
    </row>
    <row r="46" spans="3:6">
      <c r="C46" s="10" t="s">
        <v>640</v>
      </c>
      <c r="D46" s="32" t="s">
        <v>3644</v>
      </c>
      <c r="E46" s="14" t="s">
        <v>16</v>
      </c>
      <c r="F46" s="13"/>
    </row>
    <row r="47" spans="3:6">
      <c r="C47" s="10" t="s">
        <v>641</v>
      </c>
      <c r="D47" s="32" t="s">
        <v>3644</v>
      </c>
      <c r="E47" s="14" t="s">
        <v>16</v>
      </c>
      <c r="F47" s="13"/>
    </row>
    <row r="48" spans="3:6">
      <c r="C48" s="10" t="s">
        <v>642</v>
      </c>
      <c r="D48" s="32" t="s">
        <v>3644</v>
      </c>
      <c r="E48" s="14" t="s">
        <v>16</v>
      </c>
      <c r="F48" s="13"/>
    </row>
    <row r="49" spans="3:6">
      <c r="C49" s="10" t="s">
        <v>643</v>
      </c>
      <c r="D49" s="32" t="s">
        <v>3644</v>
      </c>
      <c r="E49" s="14" t="s">
        <v>16</v>
      </c>
      <c r="F49" s="13"/>
    </row>
    <row r="50" spans="3:6">
      <c r="C50" s="10" t="s">
        <v>644</v>
      </c>
      <c r="D50" s="32" t="s">
        <v>3644</v>
      </c>
      <c r="E50" s="14" t="s">
        <v>16</v>
      </c>
      <c r="F50" s="13"/>
    </row>
    <row r="51" spans="3:6">
      <c r="C51" s="10" t="s">
        <v>645</v>
      </c>
      <c r="D51" s="32" t="s">
        <v>3644</v>
      </c>
      <c r="E51" s="14" t="s">
        <v>16</v>
      </c>
      <c r="F51" s="13"/>
    </row>
    <row r="52" spans="3:6">
      <c r="C52" s="10" t="s">
        <v>646</v>
      </c>
      <c r="D52" s="32" t="s">
        <v>3644</v>
      </c>
      <c r="E52" s="14" t="s">
        <v>16</v>
      </c>
      <c r="F52" s="13"/>
    </row>
    <row r="53" spans="3:6">
      <c r="C53" s="10" t="s">
        <v>647</v>
      </c>
      <c r="D53" s="32" t="s">
        <v>3644</v>
      </c>
      <c r="E53" s="14" t="s">
        <v>16</v>
      </c>
      <c r="F53" s="13"/>
    </row>
    <row r="54" spans="3:6">
      <c r="C54" s="10" t="s">
        <v>648</v>
      </c>
      <c r="D54" s="32" t="s">
        <v>3644</v>
      </c>
      <c r="E54" s="14" t="s">
        <v>16</v>
      </c>
      <c r="F54" s="13"/>
    </row>
    <row r="55" spans="3:6">
      <c r="C55" s="10" t="s">
        <v>649</v>
      </c>
      <c r="D55" s="32" t="s">
        <v>3644</v>
      </c>
      <c r="E55" s="14" t="s">
        <v>16</v>
      </c>
      <c r="F55" s="13"/>
    </row>
    <row r="56" spans="3:6">
      <c r="C56" s="10" t="s">
        <v>650</v>
      </c>
      <c r="D56" s="32" t="s">
        <v>3644</v>
      </c>
      <c r="E56" s="14" t="s">
        <v>16</v>
      </c>
      <c r="F56" s="13"/>
    </row>
    <row r="57" spans="3:6">
      <c r="C57" s="10" t="s">
        <v>651</v>
      </c>
      <c r="D57" s="32" t="s">
        <v>3644</v>
      </c>
      <c r="E57" s="14" t="s">
        <v>16</v>
      </c>
      <c r="F57" s="13"/>
    </row>
    <row r="58" spans="3:6">
      <c r="C58" s="10" t="s">
        <v>652</v>
      </c>
      <c r="D58" s="32" t="s">
        <v>3644</v>
      </c>
      <c r="E58" s="14" t="s">
        <v>16</v>
      </c>
      <c r="F58" s="13"/>
    </row>
    <row r="59" spans="3:6">
      <c r="C59" s="10" t="s">
        <v>653</v>
      </c>
      <c r="D59" s="32" t="s">
        <v>3644</v>
      </c>
      <c r="E59" s="14" t="s">
        <v>16</v>
      </c>
      <c r="F59" s="13"/>
    </row>
    <row r="60" spans="3:6">
      <c r="C60" s="10" t="s">
        <v>654</v>
      </c>
      <c r="D60" s="32" t="s">
        <v>3644</v>
      </c>
      <c r="E60" s="14" t="s">
        <v>16</v>
      </c>
      <c r="F60" s="13"/>
    </row>
    <row r="61" spans="3:6">
      <c r="C61" s="10" t="s">
        <v>655</v>
      </c>
      <c r="D61" s="32" t="s">
        <v>3644</v>
      </c>
      <c r="E61" s="14" t="s">
        <v>16</v>
      </c>
      <c r="F61" s="13"/>
    </row>
    <row r="62" spans="3:6">
      <c r="C62" s="10" t="s">
        <v>656</v>
      </c>
      <c r="D62" s="32" t="s">
        <v>3644</v>
      </c>
      <c r="E62" s="14" t="s">
        <v>16</v>
      </c>
      <c r="F62" s="13"/>
    </row>
    <row r="63" spans="3:6">
      <c r="C63" s="10" t="s">
        <v>657</v>
      </c>
      <c r="D63" s="32" t="s">
        <v>3644</v>
      </c>
      <c r="E63" s="14" t="s">
        <v>16</v>
      </c>
      <c r="F63" s="13"/>
    </row>
    <row r="64" spans="3:6">
      <c r="C64" s="10" t="s">
        <v>658</v>
      </c>
      <c r="D64" s="32" t="s">
        <v>3644</v>
      </c>
      <c r="E64" s="14" t="s">
        <v>16</v>
      </c>
      <c r="F64" s="13"/>
    </row>
    <row r="65" spans="3:6">
      <c r="C65" s="10" t="s">
        <v>659</v>
      </c>
      <c r="D65" s="32" t="s">
        <v>3644</v>
      </c>
      <c r="E65" s="14" t="s">
        <v>16</v>
      </c>
      <c r="F65" s="13"/>
    </row>
    <row r="66" spans="3:6">
      <c r="C66" s="10" t="s">
        <v>660</v>
      </c>
      <c r="D66" s="32" t="s">
        <v>3644</v>
      </c>
      <c r="E66" s="14" t="s">
        <v>16</v>
      </c>
      <c r="F66" s="13"/>
    </row>
    <row r="67" spans="3:6">
      <c r="C67" s="10" t="s">
        <v>661</v>
      </c>
      <c r="D67" s="32" t="s">
        <v>3644</v>
      </c>
      <c r="E67" s="14" t="s">
        <v>16</v>
      </c>
      <c r="F67" s="13"/>
    </row>
    <row r="68" spans="3:6">
      <c r="C68" s="10" t="s">
        <v>662</v>
      </c>
      <c r="D68" s="32" t="s">
        <v>3644</v>
      </c>
      <c r="E68" s="14" t="s">
        <v>16</v>
      </c>
      <c r="F68" s="13"/>
    </row>
    <row r="69" spans="3:6">
      <c r="C69" s="10" t="s">
        <v>663</v>
      </c>
      <c r="D69" s="32" t="s">
        <v>3644</v>
      </c>
      <c r="E69" s="14" t="s">
        <v>16</v>
      </c>
      <c r="F69" s="13"/>
    </row>
    <row r="70" spans="3:6">
      <c r="C70" s="10" t="s">
        <v>664</v>
      </c>
      <c r="D70" s="32" t="s">
        <v>3644</v>
      </c>
      <c r="E70" s="14" t="s">
        <v>16</v>
      </c>
      <c r="F70" s="13"/>
    </row>
    <row r="71" spans="3:6">
      <c r="C71" s="10" t="s">
        <v>665</v>
      </c>
      <c r="D71" s="32" t="s">
        <v>3644</v>
      </c>
      <c r="E71" s="14" t="s">
        <v>16</v>
      </c>
      <c r="F71" s="13"/>
    </row>
    <row r="72" spans="3:6">
      <c r="C72" s="10" t="s">
        <v>666</v>
      </c>
      <c r="D72" s="32" t="s">
        <v>3644</v>
      </c>
      <c r="E72" s="14" t="s">
        <v>16</v>
      </c>
      <c r="F72" s="13"/>
    </row>
    <row r="73" spans="3:6">
      <c r="C73" s="10" t="s">
        <v>667</v>
      </c>
      <c r="D73" s="32" t="s">
        <v>3644</v>
      </c>
      <c r="E73" s="14" t="s">
        <v>16</v>
      </c>
      <c r="F73" s="13"/>
    </row>
    <row r="74" spans="3:6">
      <c r="C74" s="10" t="s">
        <v>668</v>
      </c>
      <c r="D74" s="32" t="s">
        <v>3644</v>
      </c>
      <c r="E74" s="14" t="s">
        <v>16</v>
      </c>
      <c r="F74" s="13"/>
    </row>
    <row r="75" spans="3:6">
      <c r="C75" s="10" t="s">
        <v>669</v>
      </c>
      <c r="D75" s="32" t="s">
        <v>3644</v>
      </c>
      <c r="E75" s="14" t="s">
        <v>16</v>
      </c>
      <c r="F75" s="13"/>
    </row>
    <row r="76" spans="3:6">
      <c r="C76" s="10" t="s">
        <v>670</v>
      </c>
      <c r="D76" s="32" t="s">
        <v>3644</v>
      </c>
      <c r="E76" s="14" t="s">
        <v>16</v>
      </c>
      <c r="F76" s="13"/>
    </row>
    <row r="77" spans="3:6">
      <c r="C77" s="10" t="s">
        <v>671</v>
      </c>
      <c r="D77" s="32" t="s">
        <v>3644</v>
      </c>
      <c r="E77" s="14" t="s">
        <v>16</v>
      </c>
      <c r="F77" s="13"/>
    </row>
    <row r="78" spans="3:6">
      <c r="C78" s="10" t="s">
        <v>672</v>
      </c>
      <c r="D78" s="32" t="s">
        <v>3644</v>
      </c>
      <c r="E78" s="14" t="s">
        <v>16</v>
      </c>
      <c r="F78" s="13"/>
    </row>
    <row r="79" spans="3:6">
      <c r="C79" s="10" t="s">
        <v>673</v>
      </c>
      <c r="D79" s="32" t="s">
        <v>3644</v>
      </c>
      <c r="E79" s="14" t="s">
        <v>16</v>
      </c>
      <c r="F79" s="13"/>
    </row>
    <row r="80" spans="3:6">
      <c r="C80" s="10" t="s">
        <v>674</v>
      </c>
      <c r="D80" s="32" t="s">
        <v>3644</v>
      </c>
      <c r="E80" s="14" t="s">
        <v>16</v>
      </c>
      <c r="F80" s="13"/>
    </row>
    <row r="81" spans="3:6">
      <c r="C81" s="10" t="s">
        <v>675</v>
      </c>
      <c r="D81" s="32" t="s">
        <v>3644</v>
      </c>
      <c r="E81" s="14" t="s">
        <v>16</v>
      </c>
      <c r="F81" s="13"/>
    </row>
    <row r="82" spans="3:6">
      <c r="C82" s="10" t="s">
        <v>676</v>
      </c>
      <c r="D82" s="32" t="s">
        <v>3644</v>
      </c>
      <c r="E82" s="14" t="s">
        <v>16</v>
      </c>
      <c r="F82" s="13"/>
    </row>
    <row r="83" spans="3:6">
      <c r="C83" s="10" t="s">
        <v>677</v>
      </c>
      <c r="D83" s="32" t="s">
        <v>3644</v>
      </c>
      <c r="E83" s="14" t="s">
        <v>16</v>
      </c>
      <c r="F83" s="13"/>
    </row>
    <row r="84" spans="3:6">
      <c r="C84" s="10" t="s">
        <v>678</v>
      </c>
      <c r="D84" s="32" t="s">
        <v>3644</v>
      </c>
      <c r="E84" s="14" t="s">
        <v>16</v>
      </c>
      <c r="F84" s="13"/>
    </row>
    <row r="85" spans="3:6">
      <c r="C85" s="10" t="s">
        <v>679</v>
      </c>
      <c r="D85" s="32" t="s">
        <v>3644</v>
      </c>
      <c r="E85" s="14" t="s">
        <v>16</v>
      </c>
      <c r="F85" s="13"/>
    </row>
    <row r="86" spans="3:6">
      <c r="C86" s="10" t="s">
        <v>680</v>
      </c>
      <c r="D86" s="32" t="s">
        <v>3644</v>
      </c>
      <c r="E86" s="14" t="s">
        <v>16</v>
      </c>
      <c r="F86" s="13"/>
    </row>
    <row r="87" spans="3:6">
      <c r="C87" s="10" t="s">
        <v>681</v>
      </c>
      <c r="D87" s="32" t="s">
        <v>3644</v>
      </c>
      <c r="E87" s="14" t="s">
        <v>16</v>
      </c>
      <c r="F87" s="13"/>
    </row>
    <row r="88" spans="3:6">
      <c r="C88" s="10" t="s">
        <v>682</v>
      </c>
      <c r="D88" s="32" t="s">
        <v>3644</v>
      </c>
      <c r="E88" s="14" t="s">
        <v>16</v>
      </c>
      <c r="F88" s="13"/>
    </row>
    <row r="89" spans="3:6">
      <c r="C89" s="10" t="s">
        <v>683</v>
      </c>
      <c r="D89" s="32" t="s">
        <v>3644</v>
      </c>
      <c r="E89" s="14" t="s">
        <v>16</v>
      </c>
      <c r="F89" s="13"/>
    </row>
    <row r="90" spans="3:6">
      <c r="C90" s="10" t="s">
        <v>684</v>
      </c>
      <c r="D90" s="32" t="s">
        <v>3644</v>
      </c>
      <c r="E90" s="14" t="s">
        <v>16</v>
      </c>
      <c r="F90" s="13"/>
    </row>
    <row r="91" spans="3:6">
      <c r="C91" s="10" t="s">
        <v>685</v>
      </c>
      <c r="D91" s="32" t="s">
        <v>3644</v>
      </c>
      <c r="E91" s="14" t="s">
        <v>16</v>
      </c>
      <c r="F91" s="13"/>
    </row>
    <row r="92" spans="3:6">
      <c r="C92" s="10" t="s">
        <v>686</v>
      </c>
      <c r="D92" s="32" t="s">
        <v>3644</v>
      </c>
      <c r="E92" s="14" t="s">
        <v>16</v>
      </c>
      <c r="F92" s="13"/>
    </row>
    <row r="93" spans="3:6">
      <c r="C93" s="10" t="s">
        <v>687</v>
      </c>
      <c r="D93" s="32" t="s">
        <v>3644</v>
      </c>
      <c r="E93" s="14" t="s">
        <v>16</v>
      </c>
      <c r="F93" s="13"/>
    </row>
    <row r="94" spans="3:6">
      <c r="C94" s="10" t="s">
        <v>688</v>
      </c>
      <c r="D94" s="32" t="s">
        <v>3644</v>
      </c>
      <c r="E94" s="14" t="s">
        <v>16</v>
      </c>
      <c r="F94" s="13"/>
    </row>
    <row r="95" spans="3:6">
      <c r="C95" s="10" t="s">
        <v>689</v>
      </c>
      <c r="D95" s="32" t="s">
        <v>3644</v>
      </c>
      <c r="E95" s="14" t="s">
        <v>16</v>
      </c>
      <c r="F95" s="13"/>
    </row>
    <row r="96" spans="3:6">
      <c r="C96" s="10" t="s">
        <v>690</v>
      </c>
      <c r="D96" s="32" t="s">
        <v>3644</v>
      </c>
      <c r="E96" s="14" t="s">
        <v>16</v>
      </c>
      <c r="F96" s="13"/>
    </row>
    <row r="97" spans="3:6">
      <c r="C97" s="10" t="s">
        <v>691</v>
      </c>
      <c r="D97" s="32" t="s">
        <v>3644</v>
      </c>
      <c r="E97" s="14" t="s">
        <v>16</v>
      </c>
      <c r="F97" s="13"/>
    </row>
    <row r="98" spans="3:6">
      <c r="C98" s="10" t="s">
        <v>692</v>
      </c>
      <c r="D98" s="32" t="s">
        <v>3644</v>
      </c>
      <c r="E98" s="14" t="s">
        <v>16</v>
      </c>
      <c r="F98" s="13"/>
    </row>
    <row r="99" spans="3:6">
      <c r="C99" s="10" t="s">
        <v>693</v>
      </c>
      <c r="D99" s="32" t="s">
        <v>3644</v>
      </c>
      <c r="E99" s="14" t="s">
        <v>16</v>
      </c>
    </row>
    <row r="100" spans="3:6">
      <c r="C100" s="10" t="s">
        <v>694</v>
      </c>
      <c r="D100" s="32" t="s">
        <v>3644</v>
      </c>
      <c r="E100" s="14" t="s">
        <v>16</v>
      </c>
    </row>
    <row r="101" spans="3:6">
      <c r="C101" s="10" t="s">
        <v>695</v>
      </c>
      <c r="D101" s="32" t="s">
        <v>3644</v>
      </c>
      <c r="E101" s="14" t="s">
        <v>16</v>
      </c>
    </row>
    <row r="102" spans="3:6">
      <c r="C102" s="10" t="s">
        <v>696</v>
      </c>
      <c r="D102" s="32" t="s">
        <v>3644</v>
      </c>
      <c r="E102" s="14" t="s">
        <v>16</v>
      </c>
    </row>
    <row r="103" spans="3:6">
      <c r="C103" s="10" t="s">
        <v>697</v>
      </c>
      <c r="D103" s="32" t="s">
        <v>3644</v>
      </c>
      <c r="E103" s="14" t="s">
        <v>16</v>
      </c>
    </row>
    <row r="104" spans="3:6">
      <c r="C104" s="10" t="s">
        <v>698</v>
      </c>
      <c r="D104" s="32" t="s">
        <v>3644</v>
      </c>
      <c r="E104" s="14" t="s">
        <v>16</v>
      </c>
    </row>
    <row r="105" spans="3:6">
      <c r="C105" s="10" t="s">
        <v>699</v>
      </c>
      <c r="D105" s="32" t="s">
        <v>3644</v>
      </c>
      <c r="E105" s="14" t="s">
        <v>16</v>
      </c>
    </row>
    <row r="106" spans="3:6">
      <c r="C106" s="10" t="s">
        <v>700</v>
      </c>
      <c r="D106" s="32" t="s">
        <v>3644</v>
      </c>
      <c r="E106" s="14" t="s">
        <v>16</v>
      </c>
    </row>
    <row r="107" spans="3:6">
      <c r="C107" s="10" t="s">
        <v>701</v>
      </c>
      <c r="D107" s="32" t="s">
        <v>3644</v>
      </c>
      <c r="E107" s="14" t="s">
        <v>16</v>
      </c>
    </row>
    <row r="108" spans="3:6">
      <c r="C108" s="10" t="s">
        <v>702</v>
      </c>
      <c r="D108" s="32" t="s">
        <v>3644</v>
      </c>
      <c r="E108" s="14" t="s">
        <v>16</v>
      </c>
    </row>
    <row r="109" spans="3:6">
      <c r="C109" s="10" t="s">
        <v>703</v>
      </c>
      <c r="D109" s="32" t="s">
        <v>3644</v>
      </c>
      <c r="E109" s="14" t="s">
        <v>16</v>
      </c>
    </row>
    <row r="110" spans="3:6">
      <c r="C110" s="10" t="s">
        <v>704</v>
      </c>
      <c r="D110" s="32" t="s">
        <v>3644</v>
      </c>
      <c r="E110" s="14" t="s">
        <v>16</v>
      </c>
    </row>
    <row r="111" spans="3:6">
      <c r="C111" s="10" t="s">
        <v>705</v>
      </c>
      <c r="D111" s="32" t="s">
        <v>3644</v>
      </c>
      <c r="E111" s="14" t="s">
        <v>16</v>
      </c>
    </row>
    <row r="112" spans="3:6">
      <c r="C112" s="10" t="s">
        <v>706</v>
      </c>
      <c r="D112" s="32" t="s">
        <v>3644</v>
      </c>
      <c r="E112" s="14" t="s">
        <v>16</v>
      </c>
    </row>
    <row r="113" spans="3:7">
      <c r="C113" s="10" t="s">
        <v>707</v>
      </c>
      <c r="D113" s="32" t="s">
        <v>3644</v>
      </c>
      <c r="E113" s="14" t="s">
        <v>16</v>
      </c>
    </row>
    <row r="114" spans="3:7">
      <c r="C114" s="10" t="s">
        <v>708</v>
      </c>
      <c r="D114" s="32" t="s">
        <v>3644</v>
      </c>
      <c r="E114" s="14" t="s">
        <v>16</v>
      </c>
    </row>
    <row r="115" spans="3:7">
      <c r="C115" s="10" t="s">
        <v>709</v>
      </c>
      <c r="D115" s="32" t="s">
        <v>3644</v>
      </c>
      <c r="E115" s="14" t="s">
        <v>16</v>
      </c>
    </row>
    <row r="116" spans="3:7">
      <c r="C116" s="10" t="s">
        <v>710</v>
      </c>
      <c r="D116" s="32" t="s">
        <v>3644</v>
      </c>
      <c r="E116" s="14" t="s">
        <v>16</v>
      </c>
    </row>
    <row r="117" spans="3:7">
      <c r="C117" s="10" t="s">
        <v>711</v>
      </c>
      <c r="D117" s="32" t="s">
        <v>3644</v>
      </c>
      <c r="E117" s="14" t="s">
        <v>16</v>
      </c>
    </row>
    <row r="118" spans="3:7">
      <c r="C118" s="10" t="s">
        <v>712</v>
      </c>
      <c r="D118" s="32" t="s">
        <v>3644</v>
      </c>
      <c r="E118" s="14" t="s">
        <v>16</v>
      </c>
    </row>
    <row r="119" spans="3:7">
      <c r="C119" s="10" t="s">
        <v>713</v>
      </c>
      <c r="D119" s="32" t="s">
        <v>3644</v>
      </c>
      <c r="E119" s="14" t="s">
        <v>16</v>
      </c>
    </row>
    <row r="120" spans="3:7">
      <c r="C120" s="10" t="s">
        <v>714</v>
      </c>
      <c r="D120" s="32" t="s">
        <v>3644</v>
      </c>
      <c r="E120" s="14" t="s">
        <v>16</v>
      </c>
    </row>
    <row r="121" spans="3:7">
      <c r="C121" s="10" t="s">
        <v>715</v>
      </c>
      <c r="D121" s="32" t="s">
        <v>3644</v>
      </c>
      <c r="E121" s="14" t="s">
        <v>16</v>
      </c>
    </row>
    <row r="122" spans="3:7">
      <c r="C122" s="10" t="s">
        <v>716</v>
      </c>
      <c r="D122" s="32" t="s">
        <v>3644</v>
      </c>
      <c r="E122" s="14" t="s">
        <v>16</v>
      </c>
    </row>
    <row r="123" spans="3:7">
      <c r="C123" s="10" t="s">
        <v>717</v>
      </c>
      <c r="D123" s="32" t="s">
        <v>3644</v>
      </c>
      <c r="E123" s="14" t="s">
        <v>16</v>
      </c>
    </row>
    <row r="124" spans="3:7">
      <c r="C124" s="10" t="s">
        <v>718</v>
      </c>
      <c r="D124" s="32" t="s">
        <v>3644</v>
      </c>
      <c r="E124" s="14" t="s">
        <v>16</v>
      </c>
    </row>
    <row r="125" spans="3:7">
      <c r="C125" s="12" t="s">
        <v>94</v>
      </c>
      <c r="D125" s="12" t="s">
        <v>11</v>
      </c>
      <c r="E125" s="11" t="s">
        <v>16</v>
      </c>
      <c r="F125" s="13" t="s">
        <v>20</v>
      </c>
      <c r="G125" s="12" t="s">
        <v>30</v>
      </c>
    </row>
    <row r="126" spans="3:7">
      <c r="C126" s="12" t="s">
        <v>1</v>
      </c>
      <c r="D126" s="12" t="s">
        <v>37</v>
      </c>
      <c r="E126" s="11"/>
      <c r="F126" s="13"/>
      <c r="G126" s="12" t="s">
        <v>31</v>
      </c>
    </row>
    <row r="127" spans="3:7">
      <c r="C127" s="12" t="s">
        <v>19</v>
      </c>
      <c r="D127" s="12" t="s">
        <v>11</v>
      </c>
      <c r="E127" s="11" t="s">
        <v>16</v>
      </c>
      <c r="F127" s="13" t="s">
        <v>20</v>
      </c>
      <c r="G127" s="12" t="s">
        <v>32</v>
      </c>
    </row>
    <row r="128" spans="3:7">
      <c r="C128" s="12" t="s">
        <v>2</v>
      </c>
      <c r="D128" s="12" t="s">
        <v>37</v>
      </c>
      <c r="E128" s="11"/>
      <c r="F128" s="13"/>
      <c r="G128" s="12" t="s">
        <v>33</v>
      </c>
    </row>
  </sheetData>
  <phoneticPr fontId="3" type="noConversion"/>
  <hyperlinks>
    <hyperlink ref="A1" location="目錄!A1" display="回到目錄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7"/>
  <dimension ref="A1:S128"/>
  <sheetViews>
    <sheetView workbookViewId="0"/>
  </sheetViews>
  <sheetFormatPr defaultColWidth="11.1796875" defaultRowHeight="13.8"/>
  <cols>
    <col min="1" max="1" width="7.453125" style="10" bestFit="1" customWidth="1"/>
    <col min="2" max="2" width="4.36328125" style="10" bestFit="1" customWidth="1"/>
    <col min="3" max="3" width="11.90625" style="10" bestFit="1" customWidth="1"/>
    <col min="4" max="4" width="11" style="10" bestFit="1" customWidth="1"/>
    <col min="5" max="5" width="7.54296875" style="14" bestFit="1" customWidth="1"/>
    <col min="6" max="6" width="10" style="15" bestFit="1" customWidth="1"/>
    <col min="7" max="7" width="10.6328125" style="10" bestFit="1" customWidth="1"/>
    <col min="8" max="8" width="28.08984375" style="10" bestFit="1" customWidth="1"/>
    <col min="9" max="9" width="10.08984375" style="10" bestFit="1" customWidth="1"/>
    <col min="10" max="12" width="4.54296875" style="15" bestFit="1" customWidth="1"/>
    <col min="13" max="13" width="13.81640625" style="14" bestFit="1" customWidth="1"/>
    <col min="14" max="16" width="6.6328125" style="14" customWidth="1"/>
    <col min="17" max="28" width="6.6328125" style="10" customWidth="1"/>
    <col min="29" max="32" width="14.453125" style="10" customWidth="1"/>
    <col min="33" max="16384" width="11.1796875" style="10"/>
  </cols>
  <sheetData>
    <row r="1" spans="1:19">
      <c r="A1" s="23" t="s">
        <v>36</v>
      </c>
      <c r="B1" s="5" t="s">
        <v>5</v>
      </c>
      <c r="C1" s="6" t="s">
        <v>3</v>
      </c>
      <c r="D1" s="6" t="s">
        <v>4</v>
      </c>
      <c r="E1" s="7" t="s">
        <v>6</v>
      </c>
      <c r="F1" s="9" t="s">
        <v>13</v>
      </c>
      <c r="G1" s="9" t="s">
        <v>7</v>
      </c>
      <c r="H1" s="9" t="s">
        <v>8</v>
      </c>
      <c r="I1" s="9" t="s">
        <v>467</v>
      </c>
      <c r="L1" s="72" t="s">
        <v>240</v>
      </c>
      <c r="M1" s="72" t="s">
        <v>485</v>
      </c>
      <c r="N1" s="72" t="s">
        <v>470</v>
      </c>
      <c r="O1" s="72" t="s">
        <v>471</v>
      </c>
      <c r="P1" s="72" t="s">
        <v>472</v>
      </c>
      <c r="Q1" s="72" t="s">
        <v>473</v>
      </c>
      <c r="R1" s="72" t="s">
        <v>474</v>
      </c>
      <c r="S1" s="73" t="s">
        <v>475</v>
      </c>
    </row>
    <row r="2" spans="1:19">
      <c r="B2" s="11" t="s">
        <v>14</v>
      </c>
      <c r="C2" s="13" t="s">
        <v>80</v>
      </c>
      <c r="D2" s="18" t="s">
        <v>24</v>
      </c>
      <c r="E2" s="11"/>
      <c r="F2" s="12"/>
      <c r="G2" s="12" t="s">
        <v>81</v>
      </c>
      <c r="L2" s="36"/>
      <c r="M2" s="34"/>
      <c r="N2" s="36" t="str">
        <f>"EXEC sp_dropextendedproperty @name = N'MS_Description', @level0type=N'SCHEMA',@level0name=N'"&amp;$L$1&amp;"', @level1type=N'TABLE',@level1name=N'"&amp;$M$1&amp;"', @level2type=N'COLUMN',@level2name=N'"&amp;$C2&amp;"'"</f>
        <v>EXEC sp_dropextendedproperty @name = N'MS_Description', @level0type=N'SCHEMA',@level0name=N'dbo', @level1type=N'TABLE',@level1name=N'LifeInsActFactor', @level2type=N'COLUMN',@level2name=N'PlanCode'</v>
      </c>
      <c r="O2" s="36" t="str">
        <f>"EXEC sp_dropextendedproperty @name = N'Rule', @level0type=N'SCHEMA',@level0name=N'"&amp;$L$1&amp;"', @level1type=N'TABLE',@level1name=N'"&amp;$M$1&amp;"', @level2type=N'COLUMN',@level2name=N'"&amp;$C2&amp;"'"</f>
        <v>EXEC sp_dropextendedproperty @name = N'Rule', @level0type=N'SCHEMA',@level0name=N'dbo', @level1type=N'TABLE',@level1name=N'LifeInsActFactor', @level2type=N'COLUMN',@level2name=N'PlanCode'</v>
      </c>
      <c r="P2" s="36" t="str">
        <f>"EXEC sp_dropextendedproperty @name = N'Memo', @level0type=N'SCHEMA',@level0name=N'"&amp;$L$1&amp;"', @level1type=N'TABLE',@level1name=N'"&amp;$M$1&amp;"', @level2type=N'COLUMN',@level2name=N'"&amp;$C2&amp;"'"</f>
        <v>EXEC sp_dropextendedproperty @name = N'Memo', @level0type=N'SCHEMA',@level0name=N'dbo', @level1type=N'TABLE',@level1name=N'LifeInsActFactor', @level2type=N'COLUMN',@level2name=N'PlanCode'</v>
      </c>
      <c r="Q2" s="36" t="str">
        <f>"set @OldWording = N'"&amp;SUBSTITUTE($G2,CHAR(10),"")&amp;"'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@level2type=N'COLUMN',@level2name=N'"&amp;$C2&amp;"'"</f>
        <v>set @OldWording = N'險種代碼' set @NewWording = REPLACE(@OldWording,'***',char(13)+char(10)) EXEC sys.sp_addextendedproperty @name=N'MS_Description', @value=@NewWording , @level0type=N'SCHEMA',@level0name=N'dbo', @level1type=N'TABLE',@level1name=N'LifeInsActFactor', @level2type=N'COLUMN',@level2name=N'PlanCode'</v>
      </c>
      <c r="R2" s="32" t="str">
        <f>"set @OldWording = N'"&amp;SUBSTITUTE($H2,CHAR(10),"")&amp;"'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@name=N'Rule', @value=@NewWording , @level0type=N'SCHEMA',@level0name=N'dbo', @level1type=N'TABLE',@level1name=N'LifeInsActFactor', @level2type=N'COLUMN',@level2name=N'PlanCode'</v>
      </c>
      <c r="S2" s="36" t="str">
        <f>"set @OldWording = N'"&amp;SUBSTITUTE($I2,CHAR(10),"")&amp;"' set @NewWording = REPLACE(@OldWording,'***',char(13)+char(10)) "&amp;"EXEC sys.sp_addextendedproperty @name=N'Memo',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@name=N'Memo', @value=@NewWording , @level0type=N'SCHEMA',@level0name=N'dbo', @level1type=N'TABLE',@level1name=N'LifeInsActFactor', @level2type=N'COLUMN',@level2name=N'PlanCode'</v>
      </c>
    </row>
    <row r="3" spans="1:19" ht="27.6">
      <c r="B3" s="11" t="s">
        <v>14</v>
      </c>
      <c r="C3" s="15" t="s">
        <v>3728</v>
      </c>
      <c r="D3" s="15" t="s">
        <v>21</v>
      </c>
      <c r="F3" s="10"/>
      <c r="G3" s="10" t="s">
        <v>78</v>
      </c>
      <c r="H3" s="16" t="s">
        <v>3652</v>
      </c>
      <c r="I3" s="16"/>
    </row>
    <row r="4" spans="1:19">
      <c r="B4" s="11" t="s">
        <v>14</v>
      </c>
      <c r="C4" s="12" t="s">
        <v>86</v>
      </c>
      <c r="D4" s="12" t="s">
        <v>34</v>
      </c>
      <c r="F4" s="13"/>
      <c r="G4" s="12" t="s">
        <v>87</v>
      </c>
    </row>
    <row r="5" spans="1:19">
      <c r="B5" s="11" t="s">
        <v>14</v>
      </c>
      <c r="C5" s="12" t="s">
        <v>50</v>
      </c>
      <c r="D5" s="12" t="s">
        <v>21</v>
      </c>
      <c r="F5" s="13"/>
      <c r="G5" s="12" t="s">
        <v>52</v>
      </c>
      <c r="H5" s="16" t="s">
        <v>493</v>
      </c>
      <c r="I5" s="27" t="s">
        <v>267</v>
      </c>
    </row>
    <row r="6" spans="1:19">
      <c r="B6" s="11" t="s">
        <v>14</v>
      </c>
      <c r="C6" s="10" t="s">
        <v>75</v>
      </c>
      <c r="D6" s="12" t="s">
        <v>34</v>
      </c>
      <c r="F6" s="13"/>
      <c r="G6" s="10" t="s">
        <v>74</v>
      </c>
    </row>
    <row r="7" spans="1:19">
      <c r="B7" s="11" t="s">
        <v>14</v>
      </c>
      <c r="C7" s="10" t="s">
        <v>3593</v>
      </c>
      <c r="D7" s="12" t="s">
        <v>23</v>
      </c>
      <c r="F7" s="13"/>
      <c r="G7" s="10" t="s">
        <v>3594</v>
      </c>
    </row>
    <row r="8" spans="1:19">
      <c r="B8" s="11"/>
      <c r="C8" s="29" t="s">
        <v>3730</v>
      </c>
      <c r="D8" s="29" t="s">
        <v>126</v>
      </c>
      <c r="E8" s="28"/>
      <c r="F8" s="22"/>
      <c r="G8" s="22" t="s">
        <v>125</v>
      </c>
      <c r="H8" s="27" t="s">
        <v>3591</v>
      </c>
    </row>
    <row r="9" spans="1:19">
      <c r="B9" s="11"/>
      <c r="C9" s="29" t="s">
        <v>123</v>
      </c>
      <c r="D9" s="29" t="s">
        <v>126</v>
      </c>
      <c r="E9" s="28"/>
      <c r="F9" s="22"/>
      <c r="G9" s="22" t="s">
        <v>124</v>
      </c>
      <c r="H9" s="27" t="s">
        <v>3591</v>
      </c>
    </row>
    <row r="10" spans="1:19">
      <c r="C10" s="10" t="s">
        <v>604</v>
      </c>
      <c r="D10" s="32" t="s">
        <v>285</v>
      </c>
      <c r="E10" s="14" t="s">
        <v>16</v>
      </c>
      <c r="F10" s="13"/>
      <c r="H10" s="16"/>
      <c r="I10" s="16"/>
    </row>
    <row r="11" spans="1:19">
      <c r="C11" s="10" t="s">
        <v>605</v>
      </c>
      <c r="D11" s="32" t="s">
        <v>285</v>
      </c>
      <c r="E11" s="14" t="s">
        <v>16</v>
      </c>
      <c r="F11" s="13"/>
    </row>
    <row r="12" spans="1:19">
      <c r="C12" s="10" t="s">
        <v>606</v>
      </c>
      <c r="D12" s="32" t="s">
        <v>284</v>
      </c>
      <c r="E12" s="14" t="s">
        <v>16</v>
      </c>
      <c r="F12" s="13"/>
    </row>
    <row r="13" spans="1:19">
      <c r="C13" s="10" t="s">
        <v>607</v>
      </c>
      <c r="D13" s="32" t="s">
        <v>284</v>
      </c>
      <c r="E13" s="14" t="s">
        <v>16</v>
      </c>
      <c r="F13" s="13"/>
    </row>
    <row r="14" spans="1:19">
      <c r="C14" s="10" t="s">
        <v>608</v>
      </c>
      <c r="D14" s="32" t="s">
        <v>284</v>
      </c>
      <c r="E14" s="14" t="s">
        <v>16</v>
      </c>
      <c r="F14" s="13"/>
    </row>
    <row r="15" spans="1:19">
      <c r="C15" s="10" t="s">
        <v>609</v>
      </c>
      <c r="D15" s="32" t="s">
        <v>284</v>
      </c>
      <c r="E15" s="14" t="s">
        <v>16</v>
      </c>
      <c r="F15" s="13"/>
    </row>
    <row r="16" spans="1:19">
      <c r="C16" s="10" t="s">
        <v>610</v>
      </c>
      <c r="D16" s="32" t="s">
        <v>284</v>
      </c>
      <c r="E16" s="14" t="s">
        <v>16</v>
      </c>
      <c r="F16" s="13"/>
    </row>
    <row r="17" spans="3:6">
      <c r="C17" s="10" t="s">
        <v>611</v>
      </c>
      <c r="D17" s="32" t="s">
        <v>284</v>
      </c>
      <c r="E17" s="14" t="s">
        <v>16</v>
      </c>
      <c r="F17" s="13"/>
    </row>
    <row r="18" spans="3:6">
      <c r="C18" s="10" t="s">
        <v>612</v>
      </c>
      <c r="D18" s="32" t="s">
        <v>284</v>
      </c>
      <c r="E18" s="14" t="s">
        <v>16</v>
      </c>
      <c r="F18" s="13"/>
    </row>
    <row r="19" spans="3:6">
      <c r="C19" s="10" t="s">
        <v>613</v>
      </c>
      <c r="D19" s="32" t="s">
        <v>284</v>
      </c>
      <c r="E19" s="14" t="s">
        <v>16</v>
      </c>
      <c r="F19" s="13"/>
    </row>
    <row r="20" spans="3:6">
      <c r="C20" s="10" t="s">
        <v>614</v>
      </c>
      <c r="D20" s="32" t="s">
        <v>284</v>
      </c>
      <c r="E20" s="14" t="s">
        <v>16</v>
      </c>
      <c r="F20" s="13"/>
    </row>
    <row r="21" spans="3:6">
      <c r="C21" s="10" t="s">
        <v>615</v>
      </c>
      <c r="D21" s="32" t="s">
        <v>284</v>
      </c>
      <c r="E21" s="14" t="s">
        <v>16</v>
      </c>
      <c r="F21" s="13"/>
    </row>
    <row r="22" spans="3:6">
      <c r="C22" s="10" t="s">
        <v>616</v>
      </c>
      <c r="D22" s="32" t="s">
        <v>284</v>
      </c>
      <c r="E22" s="14" t="s">
        <v>16</v>
      </c>
      <c r="F22" s="13"/>
    </row>
    <row r="23" spans="3:6">
      <c r="C23" s="10" t="s">
        <v>617</v>
      </c>
      <c r="D23" s="32" t="s">
        <v>284</v>
      </c>
      <c r="E23" s="14" t="s">
        <v>16</v>
      </c>
      <c r="F23" s="13"/>
    </row>
    <row r="24" spans="3:6">
      <c r="C24" s="10" t="s">
        <v>618</v>
      </c>
      <c r="D24" s="32" t="s">
        <v>284</v>
      </c>
      <c r="E24" s="14" t="s">
        <v>16</v>
      </c>
      <c r="F24" s="13"/>
    </row>
    <row r="25" spans="3:6">
      <c r="C25" s="10" t="s">
        <v>619</v>
      </c>
      <c r="D25" s="32" t="s">
        <v>284</v>
      </c>
      <c r="E25" s="14" t="s">
        <v>16</v>
      </c>
      <c r="F25" s="13"/>
    </row>
    <row r="26" spans="3:6">
      <c r="C26" s="10" t="s">
        <v>620</v>
      </c>
      <c r="D26" s="32" t="s">
        <v>284</v>
      </c>
      <c r="E26" s="14" t="s">
        <v>16</v>
      </c>
      <c r="F26" s="13"/>
    </row>
    <row r="27" spans="3:6">
      <c r="C27" s="10" t="s">
        <v>621</v>
      </c>
      <c r="D27" s="32" t="s">
        <v>284</v>
      </c>
      <c r="E27" s="14" t="s">
        <v>16</v>
      </c>
      <c r="F27" s="13"/>
    </row>
    <row r="28" spans="3:6">
      <c r="C28" s="10" t="s">
        <v>622</v>
      </c>
      <c r="D28" s="32" t="s">
        <v>284</v>
      </c>
      <c r="E28" s="14" t="s">
        <v>16</v>
      </c>
      <c r="F28" s="13"/>
    </row>
    <row r="29" spans="3:6">
      <c r="C29" s="10" t="s">
        <v>623</v>
      </c>
      <c r="D29" s="32" t="s">
        <v>284</v>
      </c>
      <c r="E29" s="14" t="s">
        <v>16</v>
      </c>
      <c r="F29" s="13"/>
    </row>
    <row r="30" spans="3:6">
      <c r="C30" s="10" t="s">
        <v>624</v>
      </c>
      <c r="D30" s="32" t="s">
        <v>284</v>
      </c>
      <c r="E30" s="14" t="s">
        <v>16</v>
      </c>
      <c r="F30" s="13"/>
    </row>
    <row r="31" spans="3:6">
      <c r="C31" s="10" t="s">
        <v>625</v>
      </c>
      <c r="D31" s="32" t="s">
        <v>284</v>
      </c>
      <c r="E31" s="14" t="s">
        <v>16</v>
      </c>
      <c r="F31" s="13"/>
    </row>
    <row r="32" spans="3:6">
      <c r="C32" s="10" t="s">
        <v>626</v>
      </c>
      <c r="D32" s="32" t="s">
        <v>284</v>
      </c>
      <c r="E32" s="14" t="s">
        <v>16</v>
      </c>
      <c r="F32" s="13"/>
    </row>
    <row r="33" spans="3:6">
      <c r="C33" s="10" t="s">
        <v>627</v>
      </c>
      <c r="D33" s="32" t="s">
        <v>284</v>
      </c>
      <c r="E33" s="14" t="s">
        <v>16</v>
      </c>
      <c r="F33" s="13"/>
    </row>
    <row r="34" spans="3:6">
      <c r="C34" s="10" t="s">
        <v>628</v>
      </c>
      <c r="D34" s="32" t="s">
        <v>284</v>
      </c>
      <c r="E34" s="14" t="s">
        <v>16</v>
      </c>
      <c r="F34" s="13"/>
    </row>
    <row r="35" spans="3:6">
      <c r="C35" s="10" t="s">
        <v>629</v>
      </c>
      <c r="D35" s="32" t="s">
        <v>284</v>
      </c>
      <c r="E35" s="14" t="s">
        <v>16</v>
      </c>
      <c r="F35" s="13"/>
    </row>
    <row r="36" spans="3:6">
      <c r="C36" s="10" t="s">
        <v>630</v>
      </c>
      <c r="D36" s="32" t="s">
        <v>284</v>
      </c>
      <c r="E36" s="14" t="s">
        <v>16</v>
      </c>
      <c r="F36" s="13"/>
    </row>
    <row r="37" spans="3:6">
      <c r="C37" s="10" t="s">
        <v>631</v>
      </c>
      <c r="D37" s="32" t="s">
        <v>284</v>
      </c>
      <c r="E37" s="14" t="s">
        <v>16</v>
      </c>
      <c r="F37" s="13"/>
    </row>
    <row r="38" spans="3:6">
      <c r="C38" s="10" t="s">
        <v>632</v>
      </c>
      <c r="D38" s="32" t="s">
        <v>284</v>
      </c>
      <c r="E38" s="14" t="s">
        <v>16</v>
      </c>
      <c r="F38" s="13"/>
    </row>
    <row r="39" spans="3:6">
      <c r="C39" s="10" t="s">
        <v>633</v>
      </c>
      <c r="D39" s="32" t="s">
        <v>284</v>
      </c>
      <c r="E39" s="14" t="s">
        <v>16</v>
      </c>
      <c r="F39" s="13"/>
    </row>
    <row r="40" spans="3:6">
      <c r="C40" s="10" t="s">
        <v>634</v>
      </c>
      <c r="D40" s="32" t="s">
        <v>284</v>
      </c>
      <c r="E40" s="14" t="s">
        <v>16</v>
      </c>
      <c r="F40" s="13"/>
    </row>
    <row r="41" spans="3:6">
      <c r="C41" s="10" t="s">
        <v>635</v>
      </c>
      <c r="D41" s="32" t="s">
        <v>284</v>
      </c>
      <c r="E41" s="14" t="s">
        <v>16</v>
      </c>
      <c r="F41" s="13"/>
    </row>
    <row r="42" spans="3:6">
      <c r="C42" s="10" t="s">
        <v>636</v>
      </c>
      <c r="D42" s="32" t="s">
        <v>284</v>
      </c>
      <c r="E42" s="14" t="s">
        <v>16</v>
      </c>
      <c r="F42" s="13"/>
    </row>
    <row r="43" spans="3:6">
      <c r="C43" s="10" t="s">
        <v>637</v>
      </c>
      <c r="D43" s="32" t="s">
        <v>284</v>
      </c>
      <c r="E43" s="14" t="s">
        <v>16</v>
      </c>
      <c r="F43" s="13"/>
    </row>
    <row r="44" spans="3:6">
      <c r="C44" s="10" t="s">
        <v>638</v>
      </c>
      <c r="D44" s="32" t="s">
        <v>284</v>
      </c>
      <c r="E44" s="14" t="s">
        <v>16</v>
      </c>
      <c r="F44" s="13"/>
    </row>
    <row r="45" spans="3:6">
      <c r="C45" s="10" t="s">
        <v>639</v>
      </c>
      <c r="D45" s="32" t="s">
        <v>284</v>
      </c>
      <c r="E45" s="14" t="s">
        <v>16</v>
      </c>
      <c r="F45" s="13"/>
    </row>
    <row r="46" spans="3:6">
      <c r="C46" s="10" t="s">
        <v>640</v>
      </c>
      <c r="D46" s="32" t="s">
        <v>284</v>
      </c>
      <c r="E46" s="14" t="s">
        <v>16</v>
      </c>
      <c r="F46" s="13"/>
    </row>
    <row r="47" spans="3:6">
      <c r="C47" s="10" t="s">
        <v>641</v>
      </c>
      <c r="D47" s="32" t="s">
        <v>284</v>
      </c>
      <c r="E47" s="14" t="s">
        <v>16</v>
      </c>
      <c r="F47" s="13"/>
    </row>
    <row r="48" spans="3:6">
      <c r="C48" s="10" t="s">
        <v>642</v>
      </c>
      <c r="D48" s="32" t="s">
        <v>284</v>
      </c>
      <c r="E48" s="14" t="s">
        <v>16</v>
      </c>
      <c r="F48" s="13"/>
    </row>
    <row r="49" spans="3:6">
      <c r="C49" s="10" t="s">
        <v>643</v>
      </c>
      <c r="D49" s="32" t="s">
        <v>284</v>
      </c>
      <c r="E49" s="14" t="s">
        <v>16</v>
      </c>
      <c r="F49" s="13"/>
    </row>
    <row r="50" spans="3:6">
      <c r="C50" s="10" t="s">
        <v>644</v>
      </c>
      <c r="D50" s="32" t="s">
        <v>284</v>
      </c>
      <c r="E50" s="14" t="s">
        <v>16</v>
      </c>
      <c r="F50" s="13"/>
    </row>
    <row r="51" spans="3:6">
      <c r="C51" s="10" t="s">
        <v>645</v>
      </c>
      <c r="D51" s="32" t="s">
        <v>284</v>
      </c>
      <c r="E51" s="14" t="s">
        <v>16</v>
      </c>
      <c r="F51" s="13"/>
    </row>
    <row r="52" spans="3:6">
      <c r="C52" s="10" t="s">
        <v>646</v>
      </c>
      <c r="D52" s="32" t="s">
        <v>284</v>
      </c>
      <c r="E52" s="14" t="s">
        <v>16</v>
      </c>
      <c r="F52" s="13"/>
    </row>
    <row r="53" spans="3:6">
      <c r="C53" s="10" t="s">
        <v>647</v>
      </c>
      <c r="D53" s="32" t="s">
        <v>284</v>
      </c>
      <c r="E53" s="14" t="s">
        <v>16</v>
      </c>
      <c r="F53" s="13"/>
    </row>
    <row r="54" spans="3:6">
      <c r="C54" s="10" t="s">
        <v>648</v>
      </c>
      <c r="D54" s="32" t="s">
        <v>284</v>
      </c>
      <c r="E54" s="14" t="s">
        <v>16</v>
      </c>
      <c r="F54" s="13"/>
    </row>
    <row r="55" spans="3:6">
      <c r="C55" s="10" t="s">
        <v>649</v>
      </c>
      <c r="D55" s="32" t="s">
        <v>284</v>
      </c>
      <c r="E55" s="14" t="s">
        <v>16</v>
      </c>
      <c r="F55" s="13"/>
    </row>
    <row r="56" spans="3:6">
      <c r="C56" s="10" t="s">
        <v>650</v>
      </c>
      <c r="D56" s="32" t="s">
        <v>284</v>
      </c>
      <c r="E56" s="14" t="s">
        <v>16</v>
      </c>
      <c r="F56" s="13"/>
    </row>
    <row r="57" spans="3:6">
      <c r="C57" s="10" t="s">
        <v>651</v>
      </c>
      <c r="D57" s="32" t="s">
        <v>284</v>
      </c>
      <c r="E57" s="14" t="s">
        <v>16</v>
      </c>
      <c r="F57" s="13"/>
    </row>
    <row r="58" spans="3:6">
      <c r="C58" s="10" t="s">
        <v>652</v>
      </c>
      <c r="D58" s="32" t="s">
        <v>284</v>
      </c>
      <c r="E58" s="14" t="s">
        <v>16</v>
      </c>
      <c r="F58" s="13"/>
    </row>
    <row r="59" spans="3:6">
      <c r="C59" s="10" t="s">
        <v>653</v>
      </c>
      <c r="D59" s="32" t="s">
        <v>284</v>
      </c>
      <c r="E59" s="14" t="s">
        <v>16</v>
      </c>
      <c r="F59" s="13"/>
    </row>
    <row r="60" spans="3:6">
      <c r="C60" s="10" t="s">
        <v>654</v>
      </c>
      <c r="D60" s="32" t="s">
        <v>284</v>
      </c>
      <c r="E60" s="14" t="s">
        <v>16</v>
      </c>
      <c r="F60" s="13"/>
    </row>
    <row r="61" spans="3:6">
      <c r="C61" s="10" t="s">
        <v>655</v>
      </c>
      <c r="D61" s="32" t="s">
        <v>284</v>
      </c>
      <c r="E61" s="14" t="s">
        <v>16</v>
      </c>
      <c r="F61" s="13"/>
    </row>
    <row r="62" spans="3:6">
      <c r="C62" s="10" t="s">
        <v>656</v>
      </c>
      <c r="D62" s="32" t="s">
        <v>284</v>
      </c>
      <c r="E62" s="14" t="s">
        <v>16</v>
      </c>
      <c r="F62" s="13"/>
    </row>
    <row r="63" spans="3:6">
      <c r="C63" s="10" t="s">
        <v>657</v>
      </c>
      <c r="D63" s="32" t="s">
        <v>284</v>
      </c>
      <c r="E63" s="14" t="s">
        <v>16</v>
      </c>
      <c r="F63" s="13"/>
    </row>
    <row r="64" spans="3:6">
      <c r="C64" s="10" t="s">
        <v>658</v>
      </c>
      <c r="D64" s="32" t="s">
        <v>284</v>
      </c>
      <c r="E64" s="14" t="s">
        <v>16</v>
      </c>
      <c r="F64" s="13"/>
    </row>
    <row r="65" spans="3:6">
      <c r="C65" s="10" t="s">
        <v>659</v>
      </c>
      <c r="D65" s="32" t="s">
        <v>284</v>
      </c>
      <c r="E65" s="14" t="s">
        <v>16</v>
      </c>
      <c r="F65" s="13"/>
    </row>
    <row r="66" spans="3:6">
      <c r="C66" s="10" t="s">
        <v>660</v>
      </c>
      <c r="D66" s="32" t="s">
        <v>284</v>
      </c>
      <c r="E66" s="14" t="s">
        <v>16</v>
      </c>
      <c r="F66" s="13"/>
    </row>
    <row r="67" spans="3:6">
      <c r="C67" s="10" t="s">
        <v>661</v>
      </c>
      <c r="D67" s="32" t="s">
        <v>284</v>
      </c>
      <c r="E67" s="14" t="s">
        <v>16</v>
      </c>
      <c r="F67" s="13"/>
    </row>
    <row r="68" spans="3:6">
      <c r="C68" s="10" t="s">
        <v>662</v>
      </c>
      <c r="D68" s="32" t="s">
        <v>284</v>
      </c>
      <c r="E68" s="14" t="s">
        <v>16</v>
      </c>
      <c r="F68" s="13"/>
    </row>
    <row r="69" spans="3:6">
      <c r="C69" s="10" t="s">
        <v>663</v>
      </c>
      <c r="D69" s="32" t="s">
        <v>284</v>
      </c>
      <c r="E69" s="14" t="s">
        <v>16</v>
      </c>
      <c r="F69" s="13"/>
    </row>
    <row r="70" spans="3:6">
      <c r="C70" s="10" t="s">
        <v>664</v>
      </c>
      <c r="D70" s="32" t="s">
        <v>284</v>
      </c>
      <c r="E70" s="14" t="s">
        <v>16</v>
      </c>
      <c r="F70" s="13"/>
    </row>
    <row r="71" spans="3:6">
      <c r="C71" s="10" t="s">
        <v>665</v>
      </c>
      <c r="D71" s="32" t="s">
        <v>284</v>
      </c>
      <c r="E71" s="14" t="s">
        <v>16</v>
      </c>
      <c r="F71" s="13"/>
    </row>
    <row r="72" spans="3:6">
      <c r="C72" s="10" t="s">
        <v>666</v>
      </c>
      <c r="D72" s="32" t="s">
        <v>284</v>
      </c>
      <c r="E72" s="14" t="s">
        <v>16</v>
      </c>
      <c r="F72" s="13"/>
    </row>
    <row r="73" spans="3:6">
      <c r="C73" s="10" t="s">
        <v>667</v>
      </c>
      <c r="D73" s="32" t="s">
        <v>284</v>
      </c>
      <c r="E73" s="14" t="s">
        <v>16</v>
      </c>
      <c r="F73" s="13"/>
    </row>
    <row r="74" spans="3:6">
      <c r="C74" s="10" t="s">
        <v>668</v>
      </c>
      <c r="D74" s="32" t="s">
        <v>284</v>
      </c>
      <c r="E74" s="14" t="s">
        <v>16</v>
      </c>
      <c r="F74" s="13"/>
    </row>
    <row r="75" spans="3:6">
      <c r="C75" s="10" t="s">
        <v>669</v>
      </c>
      <c r="D75" s="32" t="s">
        <v>284</v>
      </c>
      <c r="E75" s="14" t="s">
        <v>16</v>
      </c>
      <c r="F75" s="13"/>
    </row>
    <row r="76" spans="3:6">
      <c r="C76" s="10" t="s">
        <v>670</v>
      </c>
      <c r="D76" s="32" t="s">
        <v>284</v>
      </c>
      <c r="E76" s="14" t="s">
        <v>16</v>
      </c>
      <c r="F76" s="13"/>
    </row>
    <row r="77" spans="3:6">
      <c r="C77" s="10" t="s">
        <v>671</v>
      </c>
      <c r="D77" s="32" t="s">
        <v>284</v>
      </c>
      <c r="E77" s="14" t="s">
        <v>16</v>
      </c>
      <c r="F77" s="13"/>
    </row>
    <row r="78" spans="3:6">
      <c r="C78" s="10" t="s">
        <v>672</v>
      </c>
      <c r="D78" s="32" t="s">
        <v>284</v>
      </c>
      <c r="E78" s="14" t="s">
        <v>16</v>
      </c>
      <c r="F78" s="13"/>
    </row>
    <row r="79" spans="3:6">
      <c r="C79" s="10" t="s">
        <v>673</v>
      </c>
      <c r="D79" s="32" t="s">
        <v>284</v>
      </c>
      <c r="E79" s="14" t="s">
        <v>16</v>
      </c>
      <c r="F79" s="13"/>
    </row>
    <row r="80" spans="3:6">
      <c r="C80" s="10" t="s">
        <v>674</v>
      </c>
      <c r="D80" s="32" t="s">
        <v>284</v>
      </c>
      <c r="E80" s="14" t="s">
        <v>16</v>
      </c>
      <c r="F80" s="13"/>
    </row>
    <row r="81" spans="3:6">
      <c r="C81" s="10" t="s">
        <v>675</v>
      </c>
      <c r="D81" s="32" t="s">
        <v>284</v>
      </c>
      <c r="E81" s="14" t="s">
        <v>16</v>
      </c>
      <c r="F81" s="13"/>
    </row>
    <row r="82" spans="3:6">
      <c r="C82" s="10" t="s">
        <v>676</v>
      </c>
      <c r="D82" s="32" t="s">
        <v>284</v>
      </c>
      <c r="E82" s="14" t="s">
        <v>16</v>
      </c>
      <c r="F82" s="13"/>
    </row>
    <row r="83" spans="3:6">
      <c r="C83" s="10" t="s">
        <v>677</v>
      </c>
      <c r="D83" s="32" t="s">
        <v>284</v>
      </c>
      <c r="E83" s="14" t="s">
        <v>16</v>
      </c>
      <c r="F83" s="13"/>
    </row>
    <row r="84" spans="3:6">
      <c r="C84" s="10" t="s">
        <v>678</v>
      </c>
      <c r="D84" s="32" t="s">
        <v>284</v>
      </c>
      <c r="E84" s="14" t="s">
        <v>16</v>
      </c>
      <c r="F84" s="13"/>
    </row>
    <row r="85" spans="3:6">
      <c r="C85" s="10" t="s">
        <v>679</v>
      </c>
      <c r="D85" s="32" t="s">
        <v>284</v>
      </c>
      <c r="E85" s="14" t="s">
        <v>16</v>
      </c>
      <c r="F85" s="13"/>
    </row>
    <row r="86" spans="3:6">
      <c r="C86" s="10" t="s">
        <v>680</v>
      </c>
      <c r="D86" s="32" t="s">
        <v>284</v>
      </c>
      <c r="E86" s="14" t="s">
        <v>16</v>
      </c>
      <c r="F86" s="13"/>
    </row>
    <row r="87" spans="3:6">
      <c r="C87" s="10" t="s">
        <v>681</v>
      </c>
      <c r="D87" s="32" t="s">
        <v>284</v>
      </c>
      <c r="E87" s="14" t="s">
        <v>16</v>
      </c>
      <c r="F87" s="13"/>
    </row>
    <row r="88" spans="3:6">
      <c r="C88" s="10" t="s">
        <v>682</v>
      </c>
      <c r="D88" s="32" t="s">
        <v>284</v>
      </c>
      <c r="E88" s="14" t="s">
        <v>16</v>
      </c>
      <c r="F88" s="13"/>
    </row>
    <row r="89" spans="3:6">
      <c r="C89" s="10" t="s">
        <v>683</v>
      </c>
      <c r="D89" s="32" t="s">
        <v>284</v>
      </c>
      <c r="E89" s="14" t="s">
        <v>16</v>
      </c>
      <c r="F89" s="13"/>
    </row>
    <row r="90" spans="3:6">
      <c r="C90" s="10" t="s">
        <v>684</v>
      </c>
      <c r="D90" s="32" t="s">
        <v>284</v>
      </c>
      <c r="E90" s="14" t="s">
        <v>16</v>
      </c>
      <c r="F90" s="13"/>
    </row>
    <row r="91" spans="3:6">
      <c r="C91" s="10" t="s">
        <v>685</v>
      </c>
      <c r="D91" s="32" t="s">
        <v>284</v>
      </c>
      <c r="E91" s="14" t="s">
        <v>16</v>
      </c>
      <c r="F91" s="13"/>
    </row>
    <row r="92" spans="3:6">
      <c r="C92" s="10" t="s">
        <v>686</v>
      </c>
      <c r="D92" s="32" t="s">
        <v>284</v>
      </c>
      <c r="E92" s="14" t="s">
        <v>16</v>
      </c>
      <c r="F92" s="13"/>
    </row>
    <row r="93" spans="3:6">
      <c r="C93" s="10" t="s">
        <v>687</v>
      </c>
      <c r="D93" s="32" t="s">
        <v>284</v>
      </c>
      <c r="E93" s="14" t="s">
        <v>16</v>
      </c>
      <c r="F93" s="13"/>
    </row>
    <row r="94" spans="3:6">
      <c r="C94" s="10" t="s">
        <v>688</v>
      </c>
      <c r="D94" s="32" t="s">
        <v>284</v>
      </c>
      <c r="E94" s="14" t="s">
        <v>16</v>
      </c>
      <c r="F94" s="13"/>
    </row>
    <row r="95" spans="3:6">
      <c r="C95" s="10" t="s">
        <v>689</v>
      </c>
      <c r="D95" s="32" t="s">
        <v>284</v>
      </c>
      <c r="E95" s="14" t="s">
        <v>16</v>
      </c>
      <c r="F95" s="13"/>
    </row>
    <row r="96" spans="3:6">
      <c r="C96" s="10" t="s">
        <v>690</v>
      </c>
      <c r="D96" s="32" t="s">
        <v>284</v>
      </c>
      <c r="E96" s="14" t="s">
        <v>16</v>
      </c>
      <c r="F96" s="13"/>
    </row>
    <row r="97" spans="3:6">
      <c r="C97" s="10" t="s">
        <v>691</v>
      </c>
      <c r="D97" s="32" t="s">
        <v>284</v>
      </c>
      <c r="E97" s="14" t="s">
        <v>16</v>
      </c>
      <c r="F97" s="13"/>
    </row>
    <row r="98" spans="3:6">
      <c r="C98" s="10" t="s">
        <v>692</v>
      </c>
      <c r="D98" s="32" t="s">
        <v>284</v>
      </c>
      <c r="E98" s="14" t="s">
        <v>16</v>
      </c>
      <c r="F98" s="13"/>
    </row>
    <row r="99" spans="3:6">
      <c r="C99" s="10" t="s">
        <v>693</v>
      </c>
      <c r="D99" s="32" t="s">
        <v>284</v>
      </c>
      <c r="E99" s="14" t="s">
        <v>16</v>
      </c>
    </row>
    <row r="100" spans="3:6">
      <c r="C100" s="10" t="s">
        <v>694</v>
      </c>
      <c r="D100" s="32" t="s">
        <v>284</v>
      </c>
      <c r="E100" s="14" t="s">
        <v>16</v>
      </c>
    </row>
    <row r="101" spans="3:6">
      <c r="C101" s="10" t="s">
        <v>695</v>
      </c>
      <c r="D101" s="32" t="s">
        <v>284</v>
      </c>
      <c r="E101" s="14" t="s">
        <v>16</v>
      </c>
    </row>
    <row r="102" spans="3:6">
      <c r="C102" s="10" t="s">
        <v>696</v>
      </c>
      <c r="D102" s="32" t="s">
        <v>284</v>
      </c>
      <c r="E102" s="14" t="s">
        <v>16</v>
      </c>
    </row>
    <row r="103" spans="3:6">
      <c r="C103" s="10" t="s">
        <v>697</v>
      </c>
      <c r="D103" s="32" t="s">
        <v>284</v>
      </c>
      <c r="E103" s="14" t="s">
        <v>16</v>
      </c>
    </row>
    <row r="104" spans="3:6">
      <c r="C104" s="10" t="s">
        <v>698</v>
      </c>
      <c r="D104" s="32" t="s">
        <v>284</v>
      </c>
      <c r="E104" s="14" t="s">
        <v>16</v>
      </c>
    </row>
    <row r="105" spans="3:6">
      <c r="C105" s="10" t="s">
        <v>699</v>
      </c>
      <c r="D105" s="32" t="s">
        <v>284</v>
      </c>
      <c r="E105" s="14" t="s">
        <v>16</v>
      </c>
    </row>
    <row r="106" spans="3:6">
      <c r="C106" s="10" t="s">
        <v>700</v>
      </c>
      <c r="D106" s="32" t="s">
        <v>284</v>
      </c>
      <c r="E106" s="14" t="s">
        <v>16</v>
      </c>
    </row>
    <row r="107" spans="3:6">
      <c r="C107" s="10" t="s">
        <v>701</v>
      </c>
      <c r="D107" s="32" t="s">
        <v>284</v>
      </c>
      <c r="E107" s="14" t="s">
        <v>16</v>
      </c>
    </row>
    <row r="108" spans="3:6">
      <c r="C108" s="10" t="s">
        <v>702</v>
      </c>
      <c r="D108" s="32" t="s">
        <v>284</v>
      </c>
      <c r="E108" s="14" t="s">
        <v>16</v>
      </c>
    </row>
    <row r="109" spans="3:6">
      <c r="C109" s="10" t="s">
        <v>703</v>
      </c>
      <c r="D109" s="32" t="s">
        <v>284</v>
      </c>
      <c r="E109" s="14" t="s">
        <v>16</v>
      </c>
    </row>
    <row r="110" spans="3:6">
      <c r="C110" s="10" t="s">
        <v>704</v>
      </c>
      <c r="D110" s="32" t="s">
        <v>284</v>
      </c>
      <c r="E110" s="14" t="s">
        <v>16</v>
      </c>
    </row>
    <row r="111" spans="3:6">
      <c r="C111" s="10" t="s">
        <v>705</v>
      </c>
      <c r="D111" s="32" t="s">
        <v>284</v>
      </c>
      <c r="E111" s="14" t="s">
        <v>16</v>
      </c>
    </row>
    <row r="112" spans="3:6">
      <c r="C112" s="10" t="s">
        <v>706</v>
      </c>
      <c r="D112" s="32" t="s">
        <v>284</v>
      </c>
      <c r="E112" s="14" t="s">
        <v>16</v>
      </c>
    </row>
    <row r="113" spans="3:7">
      <c r="C113" s="10" t="s">
        <v>707</v>
      </c>
      <c r="D113" s="32" t="s">
        <v>284</v>
      </c>
      <c r="E113" s="14" t="s">
        <v>16</v>
      </c>
    </row>
    <row r="114" spans="3:7">
      <c r="C114" s="10" t="s">
        <v>708</v>
      </c>
      <c r="D114" s="32" t="s">
        <v>284</v>
      </c>
      <c r="E114" s="14" t="s">
        <v>16</v>
      </c>
    </row>
    <row r="115" spans="3:7">
      <c r="C115" s="10" t="s">
        <v>709</v>
      </c>
      <c r="D115" s="32" t="s">
        <v>284</v>
      </c>
      <c r="E115" s="14" t="s">
        <v>16</v>
      </c>
    </row>
    <row r="116" spans="3:7">
      <c r="C116" s="10" t="s">
        <v>710</v>
      </c>
      <c r="D116" s="32" t="s">
        <v>284</v>
      </c>
      <c r="E116" s="14" t="s">
        <v>16</v>
      </c>
    </row>
    <row r="117" spans="3:7">
      <c r="C117" s="10" t="s">
        <v>711</v>
      </c>
      <c r="D117" s="32" t="s">
        <v>284</v>
      </c>
      <c r="E117" s="14" t="s">
        <v>16</v>
      </c>
    </row>
    <row r="118" spans="3:7">
      <c r="C118" s="10" t="s">
        <v>712</v>
      </c>
      <c r="D118" s="32" t="s">
        <v>284</v>
      </c>
      <c r="E118" s="14" t="s">
        <v>16</v>
      </c>
    </row>
    <row r="119" spans="3:7">
      <c r="C119" s="10" t="s">
        <v>713</v>
      </c>
      <c r="D119" s="32" t="s">
        <v>284</v>
      </c>
      <c r="E119" s="14" t="s">
        <v>16</v>
      </c>
    </row>
    <row r="120" spans="3:7">
      <c r="C120" s="10" t="s">
        <v>714</v>
      </c>
      <c r="D120" s="32" t="s">
        <v>284</v>
      </c>
      <c r="E120" s="14" t="s">
        <v>16</v>
      </c>
    </row>
    <row r="121" spans="3:7">
      <c r="C121" s="10" t="s">
        <v>715</v>
      </c>
      <c r="D121" s="32" t="s">
        <v>284</v>
      </c>
      <c r="E121" s="14" t="s">
        <v>16</v>
      </c>
    </row>
    <row r="122" spans="3:7">
      <c r="C122" s="10" t="s">
        <v>716</v>
      </c>
      <c r="D122" s="32" t="s">
        <v>284</v>
      </c>
      <c r="E122" s="14" t="s">
        <v>16</v>
      </c>
    </row>
    <row r="123" spans="3:7">
      <c r="C123" s="10" t="s">
        <v>717</v>
      </c>
      <c r="D123" s="32" t="s">
        <v>284</v>
      </c>
      <c r="E123" s="14" t="s">
        <v>16</v>
      </c>
    </row>
    <row r="124" spans="3:7">
      <c r="C124" s="10" t="s">
        <v>718</v>
      </c>
      <c r="D124" s="32" t="s">
        <v>284</v>
      </c>
      <c r="E124" s="14" t="s">
        <v>16</v>
      </c>
    </row>
    <row r="125" spans="3:7">
      <c r="C125" s="12" t="s">
        <v>94</v>
      </c>
      <c r="D125" s="12" t="s">
        <v>11</v>
      </c>
      <c r="E125" s="11" t="s">
        <v>16</v>
      </c>
      <c r="F125" s="13" t="s">
        <v>20</v>
      </c>
      <c r="G125" s="12" t="s">
        <v>30</v>
      </c>
    </row>
    <row r="126" spans="3:7">
      <c r="C126" s="12" t="s">
        <v>1</v>
      </c>
      <c r="D126" s="12" t="s">
        <v>37</v>
      </c>
      <c r="E126" s="11"/>
      <c r="F126" s="13"/>
      <c r="G126" s="12" t="s">
        <v>31</v>
      </c>
    </row>
    <row r="127" spans="3:7">
      <c r="C127" s="12" t="s">
        <v>19</v>
      </c>
      <c r="D127" s="12" t="s">
        <v>11</v>
      </c>
      <c r="E127" s="11" t="s">
        <v>16</v>
      </c>
      <c r="F127" s="13" t="s">
        <v>20</v>
      </c>
      <c r="G127" s="12" t="s">
        <v>32</v>
      </c>
    </row>
    <row r="128" spans="3:7">
      <c r="C128" s="12" t="s">
        <v>2</v>
      </c>
      <c r="D128" s="12" t="s">
        <v>37</v>
      </c>
      <c r="E128" s="11"/>
      <c r="F128" s="13"/>
      <c r="G128" s="12" t="s">
        <v>33</v>
      </c>
    </row>
  </sheetData>
  <phoneticPr fontId="3" type="noConversion"/>
  <hyperlinks>
    <hyperlink ref="A1" location="目錄!A1" display="回到目錄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9"/>
  <dimension ref="A1:S128"/>
  <sheetViews>
    <sheetView workbookViewId="0">
      <selection activeCell="C7" sqref="C7"/>
    </sheetView>
  </sheetViews>
  <sheetFormatPr defaultColWidth="11.1796875" defaultRowHeight="13.8"/>
  <cols>
    <col min="1" max="1" width="7.453125" style="10" bestFit="1" customWidth="1"/>
    <col min="2" max="2" width="4.36328125" style="10" bestFit="1" customWidth="1"/>
    <col min="3" max="3" width="11.90625" style="10" bestFit="1" customWidth="1"/>
    <col min="4" max="4" width="11" style="10" bestFit="1" customWidth="1"/>
    <col min="5" max="5" width="7.54296875" style="14" bestFit="1" customWidth="1"/>
    <col min="6" max="6" width="10" style="15" bestFit="1" customWidth="1"/>
    <col min="7" max="7" width="10.6328125" style="10" bestFit="1" customWidth="1"/>
    <col min="8" max="8" width="28.08984375" style="10" bestFit="1" customWidth="1"/>
    <col min="9" max="9" width="10.08984375" style="10" bestFit="1" customWidth="1"/>
    <col min="10" max="12" width="4.54296875" style="15" bestFit="1" customWidth="1"/>
    <col min="13" max="13" width="13.81640625" style="14" bestFit="1" customWidth="1"/>
    <col min="14" max="16" width="6.6328125" style="14" customWidth="1"/>
    <col min="17" max="28" width="6.6328125" style="10" customWidth="1"/>
    <col min="29" max="32" width="14.453125" style="10" customWidth="1"/>
    <col min="33" max="16384" width="11.1796875" style="10"/>
  </cols>
  <sheetData>
    <row r="1" spans="1:19">
      <c r="A1" s="23" t="s">
        <v>36</v>
      </c>
      <c r="B1" s="5" t="s">
        <v>5</v>
      </c>
      <c r="C1" s="6" t="s">
        <v>3</v>
      </c>
      <c r="D1" s="6" t="s">
        <v>4</v>
      </c>
      <c r="E1" s="7" t="s">
        <v>6</v>
      </c>
      <c r="F1" s="9" t="s">
        <v>13</v>
      </c>
      <c r="G1" s="9" t="s">
        <v>7</v>
      </c>
      <c r="H1" s="9" t="s">
        <v>8</v>
      </c>
      <c r="I1" s="9" t="s">
        <v>467</v>
      </c>
      <c r="L1" s="72" t="s">
        <v>240</v>
      </c>
      <c r="M1" s="72" t="s">
        <v>485</v>
      </c>
      <c r="N1" s="72" t="s">
        <v>470</v>
      </c>
      <c r="O1" s="72" t="s">
        <v>471</v>
      </c>
      <c r="P1" s="72" t="s">
        <v>472</v>
      </c>
      <c r="Q1" s="72" t="s">
        <v>473</v>
      </c>
      <c r="R1" s="72" t="s">
        <v>474</v>
      </c>
      <c r="S1" s="73" t="s">
        <v>475</v>
      </c>
    </row>
    <row r="2" spans="1:19">
      <c r="B2" s="11" t="s">
        <v>14</v>
      </c>
      <c r="C2" s="13" t="s">
        <v>80</v>
      </c>
      <c r="D2" s="18" t="s">
        <v>24</v>
      </c>
      <c r="E2" s="11"/>
      <c r="F2" s="12"/>
      <c r="G2" s="12" t="s">
        <v>81</v>
      </c>
      <c r="L2" s="36"/>
      <c r="M2" s="34"/>
      <c r="N2" s="36" t="str">
        <f>"EXEC sp_dropextendedproperty @name = N'MS_Description', @level0type=N'SCHEMA',@level0name=N'"&amp;$L$1&amp;"', @level1type=N'TABLE',@level1name=N'"&amp;$M$1&amp;"', @level2type=N'COLUMN',@level2name=N'"&amp;$C2&amp;"'"</f>
        <v>EXEC sp_dropextendedproperty @name = N'MS_Description', @level0type=N'SCHEMA',@level0name=N'dbo', @level1type=N'TABLE',@level1name=N'LifeInsActFactor', @level2type=N'COLUMN',@level2name=N'PlanCode'</v>
      </c>
      <c r="O2" s="36" t="str">
        <f>"EXEC sp_dropextendedproperty @name = N'Rule', @level0type=N'SCHEMA',@level0name=N'"&amp;$L$1&amp;"', @level1type=N'TABLE',@level1name=N'"&amp;$M$1&amp;"', @level2type=N'COLUMN',@level2name=N'"&amp;$C2&amp;"'"</f>
        <v>EXEC sp_dropextendedproperty @name = N'Rule', @level0type=N'SCHEMA',@level0name=N'dbo', @level1type=N'TABLE',@level1name=N'LifeInsActFactor', @level2type=N'COLUMN',@level2name=N'PlanCode'</v>
      </c>
      <c r="P2" s="36" t="str">
        <f>"EXEC sp_dropextendedproperty @name = N'Memo', @level0type=N'SCHEMA',@level0name=N'"&amp;$L$1&amp;"', @level1type=N'TABLE',@level1name=N'"&amp;$M$1&amp;"', @level2type=N'COLUMN',@level2name=N'"&amp;$C2&amp;"'"</f>
        <v>EXEC sp_dropextendedproperty @name = N'Memo', @level0type=N'SCHEMA',@level0name=N'dbo', @level1type=N'TABLE',@level1name=N'LifeInsActFactor', @level2type=N'COLUMN',@level2name=N'PlanCode'</v>
      </c>
      <c r="Q2" s="36" t="str">
        <f>"set @OldWording = N'"&amp;SUBSTITUTE($G2,CHAR(10),"")&amp;"'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@level2type=N'COLUMN',@level2name=N'"&amp;$C2&amp;"'"</f>
        <v>set @OldWording = N'險種代碼' set @NewWording = REPLACE(@OldWording,'***',char(13)+char(10)) EXEC sys.sp_addextendedproperty @name=N'MS_Description', @value=@NewWording , @level0type=N'SCHEMA',@level0name=N'dbo', @level1type=N'TABLE',@level1name=N'LifeInsActFactor', @level2type=N'COLUMN',@level2name=N'PlanCode'</v>
      </c>
      <c r="R2" s="32" t="str">
        <f>"set @OldWording = N'"&amp;SUBSTITUTE($H2,CHAR(10),"")&amp;"'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@name=N'Rule', @value=@NewWording , @level0type=N'SCHEMA',@level0name=N'dbo', @level1type=N'TABLE',@level1name=N'LifeInsActFactor', @level2type=N'COLUMN',@level2name=N'PlanCode'</v>
      </c>
      <c r="S2" s="36" t="str">
        <f>"set @OldWording = N'"&amp;SUBSTITUTE($I2,CHAR(10),"")&amp;"' set @NewWording = REPLACE(@OldWording,'***',char(13)+char(10)) "&amp;"EXEC sys.sp_addextendedproperty @name=N'Memo',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@name=N'Memo', @value=@NewWording , @level0type=N'SCHEMA',@level0name=N'dbo', @level1type=N'TABLE',@level1name=N'LifeInsActFactor', @level2type=N'COLUMN',@level2name=N'PlanCode'</v>
      </c>
    </row>
    <row r="3" spans="1:19" ht="27.6">
      <c r="B3" s="11" t="s">
        <v>14</v>
      </c>
      <c r="C3" s="15" t="s">
        <v>3728</v>
      </c>
      <c r="D3" s="15" t="s">
        <v>21</v>
      </c>
      <c r="F3" s="10"/>
      <c r="G3" s="10" t="s">
        <v>78</v>
      </c>
      <c r="H3" s="16" t="s">
        <v>3652</v>
      </c>
      <c r="I3" s="16"/>
    </row>
    <row r="4" spans="1:19">
      <c r="B4" s="11" t="s">
        <v>14</v>
      </c>
      <c r="C4" s="12" t="s">
        <v>86</v>
      </c>
      <c r="D4" s="12" t="s">
        <v>34</v>
      </c>
      <c r="F4" s="13"/>
      <c r="G4" s="12" t="s">
        <v>87</v>
      </c>
    </row>
    <row r="5" spans="1:19">
      <c r="B5" s="11" t="s">
        <v>14</v>
      </c>
      <c r="C5" s="12" t="s">
        <v>50</v>
      </c>
      <c r="D5" s="12" t="s">
        <v>21</v>
      </c>
      <c r="F5" s="13"/>
      <c r="G5" s="12" t="s">
        <v>52</v>
      </c>
      <c r="H5" s="16" t="s">
        <v>493</v>
      </c>
      <c r="I5" s="27" t="s">
        <v>267</v>
      </c>
    </row>
    <row r="6" spans="1:19">
      <c r="B6" s="11" t="s">
        <v>14</v>
      </c>
      <c r="C6" s="10" t="s">
        <v>75</v>
      </c>
      <c r="D6" s="12" t="s">
        <v>34</v>
      </c>
      <c r="F6" s="13"/>
      <c r="G6" s="10" t="s">
        <v>74</v>
      </c>
    </row>
    <row r="7" spans="1:19">
      <c r="B7" s="11" t="s">
        <v>14</v>
      </c>
      <c r="C7" s="10" t="s">
        <v>3593</v>
      </c>
      <c r="D7" s="12" t="s">
        <v>23</v>
      </c>
      <c r="F7" s="13"/>
      <c r="G7" s="10" t="s">
        <v>3594</v>
      </c>
    </row>
    <row r="8" spans="1:19">
      <c r="B8" s="11"/>
      <c r="C8" s="29" t="s">
        <v>3730</v>
      </c>
      <c r="D8" s="29" t="s">
        <v>126</v>
      </c>
      <c r="E8" s="28"/>
      <c r="F8" s="22"/>
      <c r="G8" s="22" t="s">
        <v>125</v>
      </c>
      <c r="H8" s="27" t="s">
        <v>3591</v>
      </c>
    </row>
    <row r="9" spans="1:19">
      <c r="B9" s="11"/>
      <c r="C9" s="29" t="s">
        <v>123</v>
      </c>
      <c r="D9" s="29" t="s">
        <v>126</v>
      </c>
      <c r="E9" s="28"/>
      <c r="F9" s="22"/>
      <c r="G9" s="22" t="s">
        <v>124</v>
      </c>
      <c r="H9" s="27" t="s">
        <v>3591</v>
      </c>
    </row>
    <row r="10" spans="1:19">
      <c r="C10" s="10" t="s">
        <v>604</v>
      </c>
      <c r="D10" s="32" t="s">
        <v>285</v>
      </c>
      <c r="E10" s="14" t="s">
        <v>16</v>
      </c>
      <c r="F10" s="13"/>
      <c r="H10" s="16"/>
      <c r="I10" s="16"/>
    </row>
    <row r="11" spans="1:19">
      <c r="C11" s="10" t="s">
        <v>605</v>
      </c>
      <c r="D11" s="32" t="s">
        <v>285</v>
      </c>
      <c r="E11" s="14" t="s">
        <v>16</v>
      </c>
      <c r="F11" s="13"/>
    </row>
    <row r="12" spans="1:19">
      <c r="C12" s="10" t="s">
        <v>606</v>
      </c>
      <c r="D12" s="32" t="s">
        <v>284</v>
      </c>
      <c r="E12" s="14" t="s">
        <v>16</v>
      </c>
      <c r="F12" s="13"/>
    </row>
    <row r="13" spans="1:19">
      <c r="C13" s="10" t="s">
        <v>607</v>
      </c>
      <c r="D13" s="32" t="s">
        <v>284</v>
      </c>
      <c r="E13" s="14" t="s">
        <v>16</v>
      </c>
      <c r="F13" s="13"/>
    </row>
    <row r="14" spans="1:19">
      <c r="C14" s="10" t="s">
        <v>608</v>
      </c>
      <c r="D14" s="32" t="s">
        <v>284</v>
      </c>
      <c r="E14" s="14" t="s">
        <v>16</v>
      </c>
      <c r="F14" s="13"/>
    </row>
    <row r="15" spans="1:19">
      <c r="C15" s="10" t="s">
        <v>609</v>
      </c>
      <c r="D15" s="32" t="s">
        <v>284</v>
      </c>
      <c r="E15" s="14" t="s">
        <v>16</v>
      </c>
      <c r="F15" s="13"/>
    </row>
    <row r="16" spans="1:19">
      <c r="C16" s="10" t="s">
        <v>610</v>
      </c>
      <c r="D16" s="32" t="s">
        <v>284</v>
      </c>
      <c r="E16" s="14" t="s">
        <v>16</v>
      </c>
      <c r="F16" s="13"/>
    </row>
    <row r="17" spans="3:6">
      <c r="C17" s="10" t="s">
        <v>611</v>
      </c>
      <c r="D17" s="32" t="s">
        <v>284</v>
      </c>
      <c r="E17" s="14" t="s">
        <v>16</v>
      </c>
      <c r="F17" s="13"/>
    </row>
    <row r="18" spans="3:6">
      <c r="C18" s="10" t="s">
        <v>612</v>
      </c>
      <c r="D18" s="32" t="s">
        <v>284</v>
      </c>
      <c r="E18" s="14" t="s">
        <v>16</v>
      </c>
      <c r="F18" s="13"/>
    </row>
    <row r="19" spans="3:6">
      <c r="C19" s="10" t="s">
        <v>613</v>
      </c>
      <c r="D19" s="32" t="s">
        <v>284</v>
      </c>
      <c r="E19" s="14" t="s">
        <v>16</v>
      </c>
      <c r="F19" s="13"/>
    </row>
    <row r="20" spans="3:6">
      <c r="C20" s="10" t="s">
        <v>614</v>
      </c>
      <c r="D20" s="32" t="s">
        <v>284</v>
      </c>
      <c r="E20" s="14" t="s">
        <v>16</v>
      </c>
      <c r="F20" s="13"/>
    </row>
    <row r="21" spans="3:6">
      <c r="C21" s="10" t="s">
        <v>615</v>
      </c>
      <c r="D21" s="32" t="s">
        <v>284</v>
      </c>
      <c r="E21" s="14" t="s">
        <v>16</v>
      </c>
      <c r="F21" s="13"/>
    </row>
    <row r="22" spans="3:6">
      <c r="C22" s="10" t="s">
        <v>616</v>
      </c>
      <c r="D22" s="32" t="s">
        <v>284</v>
      </c>
      <c r="E22" s="14" t="s">
        <v>16</v>
      </c>
      <c r="F22" s="13"/>
    </row>
    <row r="23" spans="3:6">
      <c r="C23" s="10" t="s">
        <v>617</v>
      </c>
      <c r="D23" s="32" t="s">
        <v>284</v>
      </c>
      <c r="E23" s="14" t="s">
        <v>16</v>
      </c>
      <c r="F23" s="13"/>
    </row>
    <row r="24" spans="3:6">
      <c r="C24" s="10" t="s">
        <v>618</v>
      </c>
      <c r="D24" s="32" t="s">
        <v>284</v>
      </c>
      <c r="E24" s="14" t="s">
        <v>16</v>
      </c>
      <c r="F24" s="13"/>
    </row>
    <row r="25" spans="3:6">
      <c r="C25" s="10" t="s">
        <v>619</v>
      </c>
      <c r="D25" s="32" t="s">
        <v>284</v>
      </c>
      <c r="E25" s="14" t="s">
        <v>16</v>
      </c>
      <c r="F25" s="13"/>
    </row>
    <row r="26" spans="3:6">
      <c r="C26" s="10" t="s">
        <v>620</v>
      </c>
      <c r="D26" s="32" t="s">
        <v>284</v>
      </c>
      <c r="E26" s="14" t="s">
        <v>16</v>
      </c>
      <c r="F26" s="13"/>
    </row>
    <row r="27" spans="3:6">
      <c r="C27" s="10" t="s">
        <v>621</v>
      </c>
      <c r="D27" s="32" t="s">
        <v>284</v>
      </c>
      <c r="E27" s="14" t="s">
        <v>16</v>
      </c>
      <c r="F27" s="13"/>
    </row>
    <row r="28" spans="3:6">
      <c r="C28" s="10" t="s">
        <v>622</v>
      </c>
      <c r="D28" s="32" t="s">
        <v>284</v>
      </c>
      <c r="E28" s="14" t="s">
        <v>16</v>
      </c>
      <c r="F28" s="13"/>
    </row>
    <row r="29" spans="3:6">
      <c r="C29" s="10" t="s">
        <v>623</v>
      </c>
      <c r="D29" s="32" t="s">
        <v>284</v>
      </c>
      <c r="E29" s="14" t="s">
        <v>16</v>
      </c>
      <c r="F29" s="13"/>
    </row>
    <row r="30" spans="3:6">
      <c r="C30" s="10" t="s">
        <v>624</v>
      </c>
      <c r="D30" s="32" t="s">
        <v>284</v>
      </c>
      <c r="E30" s="14" t="s">
        <v>16</v>
      </c>
      <c r="F30" s="13"/>
    </row>
    <row r="31" spans="3:6">
      <c r="C31" s="10" t="s">
        <v>625</v>
      </c>
      <c r="D31" s="32" t="s">
        <v>284</v>
      </c>
      <c r="E31" s="14" t="s">
        <v>16</v>
      </c>
      <c r="F31" s="13"/>
    </row>
    <row r="32" spans="3:6">
      <c r="C32" s="10" t="s">
        <v>626</v>
      </c>
      <c r="D32" s="32" t="s">
        <v>284</v>
      </c>
      <c r="E32" s="14" t="s">
        <v>16</v>
      </c>
      <c r="F32" s="13"/>
    </row>
    <row r="33" spans="3:6">
      <c r="C33" s="10" t="s">
        <v>627</v>
      </c>
      <c r="D33" s="32" t="s">
        <v>284</v>
      </c>
      <c r="E33" s="14" t="s">
        <v>16</v>
      </c>
      <c r="F33" s="13"/>
    </row>
    <row r="34" spans="3:6">
      <c r="C34" s="10" t="s">
        <v>628</v>
      </c>
      <c r="D34" s="32" t="s">
        <v>284</v>
      </c>
      <c r="E34" s="14" t="s">
        <v>16</v>
      </c>
      <c r="F34" s="13"/>
    </row>
    <row r="35" spans="3:6">
      <c r="C35" s="10" t="s">
        <v>629</v>
      </c>
      <c r="D35" s="32" t="s">
        <v>284</v>
      </c>
      <c r="E35" s="14" t="s">
        <v>16</v>
      </c>
      <c r="F35" s="13"/>
    </row>
    <row r="36" spans="3:6">
      <c r="C36" s="10" t="s">
        <v>630</v>
      </c>
      <c r="D36" s="32" t="s">
        <v>284</v>
      </c>
      <c r="E36" s="14" t="s">
        <v>16</v>
      </c>
      <c r="F36" s="13"/>
    </row>
    <row r="37" spans="3:6">
      <c r="C37" s="10" t="s">
        <v>631</v>
      </c>
      <c r="D37" s="32" t="s">
        <v>284</v>
      </c>
      <c r="E37" s="14" t="s">
        <v>16</v>
      </c>
      <c r="F37" s="13"/>
    </row>
    <row r="38" spans="3:6">
      <c r="C38" s="10" t="s">
        <v>632</v>
      </c>
      <c r="D38" s="32" t="s">
        <v>284</v>
      </c>
      <c r="E38" s="14" t="s">
        <v>16</v>
      </c>
      <c r="F38" s="13"/>
    </row>
    <row r="39" spans="3:6">
      <c r="C39" s="10" t="s">
        <v>633</v>
      </c>
      <c r="D39" s="32" t="s">
        <v>284</v>
      </c>
      <c r="E39" s="14" t="s">
        <v>16</v>
      </c>
      <c r="F39" s="13"/>
    </row>
    <row r="40" spans="3:6">
      <c r="C40" s="10" t="s">
        <v>634</v>
      </c>
      <c r="D40" s="32" t="s">
        <v>284</v>
      </c>
      <c r="E40" s="14" t="s">
        <v>16</v>
      </c>
      <c r="F40" s="13"/>
    </row>
    <row r="41" spans="3:6">
      <c r="C41" s="10" t="s">
        <v>635</v>
      </c>
      <c r="D41" s="32" t="s">
        <v>284</v>
      </c>
      <c r="E41" s="14" t="s">
        <v>16</v>
      </c>
      <c r="F41" s="13"/>
    </row>
    <row r="42" spans="3:6">
      <c r="C42" s="10" t="s">
        <v>636</v>
      </c>
      <c r="D42" s="32" t="s">
        <v>284</v>
      </c>
      <c r="E42" s="14" t="s">
        <v>16</v>
      </c>
      <c r="F42" s="13"/>
    </row>
    <row r="43" spans="3:6">
      <c r="C43" s="10" t="s">
        <v>637</v>
      </c>
      <c r="D43" s="32" t="s">
        <v>284</v>
      </c>
      <c r="E43" s="14" t="s">
        <v>16</v>
      </c>
      <c r="F43" s="13"/>
    </row>
    <row r="44" spans="3:6">
      <c r="C44" s="10" t="s">
        <v>638</v>
      </c>
      <c r="D44" s="32" t="s">
        <v>284</v>
      </c>
      <c r="E44" s="14" t="s">
        <v>16</v>
      </c>
      <c r="F44" s="13"/>
    </row>
    <row r="45" spans="3:6">
      <c r="C45" s="10" t="s">
        <v>639</v>
      </c>
      <c r="D45" s="32" t="s">
        <v>284</v>
      </c>
      <c r="E45" s="14" t="s">
        <v>16</v>
      </c>
      <c r="F45" s="13"/>
    </row>
    <row r="46" spans="3:6">
      <c r="C46" s="10" t="s">
        <v>640</v>
      </c>
      <c r="D46" s="32" t="s">
        <v>284</v>
      </c>
      <c r="E46" s="14" t="s">
        <v>16</v>
      </c>
      <c r="F46" s="13"/>
    </row>
    <row r="47" spans="3:6">
      <c r="C47" s="10" t="s">
        <v>641</v>
      </c>
      <c r="D47" s="32" t="s">
        <v>284</v>
      </c>
      <c r="E47" s="14" t="s">
        <v>16</v>
      </c>
      <c r="F47" s="13"/>
    </row>
    <row r="48" spans="3:6">
      <c r="C48" s="10" t="s">
        <v>642</v>
      </c>
      <c r="D48" s="32" t="s">
        <v>284</v>
      </c>
      <c r="E48" s="14" t="s">
        <v>16</v>
      </c>
      <c r="F48" s="13"/>
    </row>
    <row r="49" spans="3:6">
      <c r="C49" s="10" t="s">
        <v>643</v>
      </c>
      <c r="D49" s="32" t="s">
        <v>284</v>
      </c>
      <c r="E49" s="14" t="s">
        <v>16</v>
      </c>
      <c r="F49" s="13"/>
    </row>
    <row r="50" spans="3:6">
      <c r="C50" s="10" t="s">
        <v>644</v>
      </c>
      <c r="D50" s="32" t="s">
        <v>284</v>
      </c>
      <c r="E50" s="14" t="s">
        <v>16</v>
      </c>
      <c r="F50" s="13"/>
    </row>
    <row r="51" spans="3:6">
      <c r="C51" s="10" t="s">
        <v>645</v>
      </c>
      <c r="D51" s="32" t="s">
        <v>284</v>
      </c>
      <c r="E51" s="14" t="s">
        <v>16</v>
      </c>
      <c r="F51" s="13"/>
    </row>
    <row r="52" spans="3:6">
      <c r="C52" s="10" t="s">
        <v>646</v>
      </c>
      <c r="D52" s="32" t="s">
        <v>284</v>
      </c>
      <c r="E52" s="14" t="s">
        <v>16</v>
      </c>
      <c r="F52" s="13"/>
    </row>
    <row r="53" spans="3:6">
      <c r="C53" s="10" t="s">
        <v>647</v>
      </c>
      <c r="D53" s="32" t="s">
        <v>284</v>
      </c>
      <c r="E53" s="14" t="s">
        <v>16</v>
      </c>
      <c r="F53" s="13"/>
    </row>
    <row r="54" spans="3:6">
      <c r="C54" s="10" t="s">
        <v>648</v>
      </c>
      <c r="D54" s="32" t="s">
        <v>284</v>
      </c>
      <c r="E54" s="14" t="s">
        <v>16</v>
      </c>
      <c r="F54" s="13"/>
    </row>
    <row r="55" spans="3:6">
      <c r="C55" s="10" t="s">
        <v>649</v>
      </c>
      <c r="D55" s="32" t="s">
        <v>284</v>
      </c>
      <c r="E55" s="14" t="s">
        <v>16</v>
      </c>
      <c r="F55" s="13"/>
    </row>
    <row r="56" spans="3:6">
      <c r="C56" s="10" t="s">
        <v>650</v>
      </c>
      <c r="D56" s="32" t="s">
        <v>284</v>
      </c>
      <c r="E56" s="14" t="s">
        <v>16</v>
      </c>
      <c r="F56" s="13"/>
    </row>
    <row r="57" spans="3:6">
      <c r="C57" s="10" t="s">
        <v>651</v>
      </c>
      <c r="D57" s="32" t="s">
        <v>284</v>
      </c>
      <c r="E57" s="14" t="s">
        <v>16</v>
      </c>
      <c r="F57" s="13"/>
    </row>
    <row r="58" spans="3:6">
      <c r="C58" s="10" t="s">
        <v>652</v>
      </c>
      <c r="D58" s="32" t="s">
        <v>284</v>
      </c>
      <c r="E58" s="14" t="s">
        <v>16</v>
      </c>
      <c r="F58" s="13"/>
    </row>
    <row r="59" spans="3:6">
      <c r="C59" s="10" t="s">
        <v>653</v>
      </c>
      <c r="D59" s="32" t="s">
        <v>284</v>
      </c>
      <c r="E59" s="14" t="s">
        <v>16</v>
      </c>
      <c r="F59" s="13"/>
    </row>
    <row r="60" spans="3:6">
      <c r="C60" s="10" t="s">
        <v>654</v>
      </c>
      <c r="D60" s="32" t="s">
        <v>284</v>
      </c>
      <c r="E60" s="14" t="s">
        <v>16</v>
      </c>
      <c r="F60" s="13"/>
    </row>
    <row r="61" spans="3:6">
      <c r="C61" s="10" t="s">
        <v>655</v>
      </c>
      <c r="D61" s="32" t="s">
        <v>284</v>
      </c>
      <c r="E61" s="14" t="s">
        <v>16</v>
      </c>
      <c r="F61" s="13"/>
    </row>
    <row r="62" spans="3:6">
      <c r="C62" s="10" t="s">
        <v>656</v>
      </c>
      <c r="D62" s="32" t="s">
        <v>284</v>
      </c>
      <c r="E62" s="14" t="s">
        <v>16</v>
      </c>
      <c r="F62" s="13"/>
    </row>
    <row r="63" spans="3:6">
      <c r="C63" s="10" t="s">
        <v>657</v>
      </c>
      <c r="D63" s="32" t="s">
        <v>284</v>
      </c>
      <c r="E63" s="14" t="s">
        <v>16</v>
      </c>
      <c r="F63" s="13"/>
    </row>
    <row r="64" spans="3:6">
      <c r="C64" s="10" t="s">
        <v>658</v>
      </c>
      <c r="D64" s="32" t="s">
        <v>284</v>
      </c>
      <c r="E64" s="14" t="s">
        <v>16</v>
      </c>
      <c r="F64" s="13"/>
    </row>
    <row r="65" spans="3:6">
      <c r="C65" s="10" t="s">
        <v>659</v>
      </c>
      <c r="D65" s="32" t="s">
        <v>284</v>
      </c>
      <c r="E65" s="14" t="s">
        <v>16</v>
      </c>
      <c r="F65" s="13"/>
    </row>
    <row r="66" spans="3:6">
      <c r="C66" s="10" t="s">
        <v>660</v>
      </c>
      <c r="D66" s="32" t="s">
        <v>284</v>
      </c>
      <c r="E66" s="14" t="s">
        <v>16</v>
      </c>
      <c r="F66" s="13"/>
    </row>
    <row r="67" spans="3:6">
      <c r="C67" s="10" t="s">
        <v>661</v>
      </c>
      <c r="D67" s="32" t="s">
        <v>284</v>
      </c>
      <c r="E67" s="14" t="s">
        <v>16</v>
      </c>
      <c r="F67" s="13"/>
    </row>
    <row r="68" spans="3:6">
      <c r="C68" s="10" t="s">
        <v>662</v>
      </c>
      <c r="D68" s="32" t="s">
        <v>284</v>
      </c>
      <c r="E68" s="14" t="s">
        <v>16</v>
      </c>
      <c r="F68" s="13"/>
    </row>
    <row r="69" spans="3:6">
      <c r="C69" s="10" t="s">
        <v>663</v>
      </c>
      <c r="D69" s="32" t="s">
        <v>284</v>
      </c>
      <c r="E69" s="14" t="s">
        <v>16</v>
      </c>
      <c r="F69" s="13"/>
    </row>
    <row r="70" spans="3:6">
      <c r="C70" s="10" t="s">
        <v>664</v>
      </c>
      <c r="D70" s="32" t="s">
        <v>284</v>
      </c>
      <c r="E70" s="14" t="s">
        <v>16</v>
      </c>
      <c r="F70" s="13"/>
    </row>
    <row r="71" spans="3:6">
      <c r="C71" s="10" t="s">
        <v>665</v>
      </c>
      <c r="D71" s="32" t="s">
        <v>284</v>
      </c>
      <c r="E71" s="14" t="s">
        <v>16</v>
      </c>
      <c r="F71" s="13"/>
    </row>
    <row r="72" spans="3:6">
      <c r="C72" s="10" t="s">
        <v>666</v>
      </c>
      <c r="D72" s="32" t="s">
        <v>284</v>
      </c>
      <c r="E72" s="14" t="s">
        <v>16</v>
      </c>
      <c r="F72" s="13"/>
    </row>
    <row r="73" spans="3:6">
      <c r="C73" s="10" t="s">
        <v>667</v>
      </c>
      <c r="D73" s="32" t="s">
        <v>284</v>
      </c>
      <c r="E73" s="14" t="s">
        <v>16</v>
      </c>
      <c r="F73" s="13"/>
    </row>
    <row r="74" spans="3:6">
      <c r="C74" s="10" t="s">
        <v>668</v>
      </c>
      <c r="D74" s="32" t="s">
        <v>284</v>
      </c>
      <c r="E74" s="14" t="s">
        <v>16</v>
      </c>
      <c r="F74" s="13"/>
    </row>
    <row r="75" spans="3:6">
      <c r="C75" s="10" t="s">
        <v>669</v>
      </c>
      <c r="D75" s="32" t="s">
        <v>284</v>
      </c>
      <c r="E75" s="14" t="s">
        <v>16</v>
      </c>
      <c r="F75" s="13"/>
    </row>
    <row r="76" spans="3:6">
      <c r="C76" s="10" t="s">
        <v>670</v>
      </c>
      <c r="D76" s="32" t="s">
        <v>284</v>
      </c>
      <c r="E76" s="14" t="s">
        <v>16</v>
      </c>
      <c r="F76" s="13"/>
    </row>
    <row r="77" spans="3:6">
      <c r="C77" s="10" t="s">
        <v>671</v>
      </c>
      <c r="D77" s="32" t="s">
        <v>284</v>
      </c>
      <c r="E77" s="14" t="s">
        <v>16</v>
      </c>
      <c r="F77" s="13"/>
    </row>
    <row r="78" spans="3:6">
      <c r="C78" s="10" t="s">
        <v>672</v>
      </c>
      <c r="D78" s="32" t="s">
        <v>284</v>
      </c>
      <c r="E78" s="14" t="s">
        <v>16</v>
      </c>
      <c r="F78" s="13"/>
    </row>
    <row r="79" spans="3:6">
      <c r="C79" s="10" t="s">
        <v>673</v>
      </c>
      <c r="D79" s="32" t="s">
        <v>284</v>
      </c>
      <c r="E79" s="14" t="s">
        <v>16</v>
      </c>
      <c r="F79" s="13"/>
    </row>
    <row r="80" spans="3:6">
      <c r="C80" s="10" t="s">
        <v>674</v>
      </c>
      <c r="D80" s="32" t="s">
        <v>284</v>
      </c>
      <c r="E80" s="14" t="s">
        <v>16</v>
      </c>
      <c r="F80" s="13"/>
    </row>
    <row r="81" spans="3:6">
      <c r="C81" s="10" t="s">
        <v>675</v>
      </c>
      <c r="D81" s="32" t="s">
        <v>284</v>
      </c>
      <c r="E81" s="14" t="s">
        <v>16</v>
      </c>
      <c r="F81" s="13"/>
    </row>
    <row r="82" spans="3:6">
      <c r="C82" s="10" t="s">
        <v>676</v>
      </c>
      <c r="D82" s="32" t="s">
        <v>284</v>
      </c>
      <c r="E82" s="14" t="s">
        <v>16</v>
      </c>
      <c r="F82" s="13"/>
    </row>
    <row r="83" spans="3:6">
      <c r="C83" s="10" t="s">
        <v>677</v>
      </c>
      <c r="D83" s="32" t="s">
        <v>284</v>
      </c>
      <c r="E83" s="14" t="s">
        <v>16</v>
      </c>
      <c r="F83" s="13"/>
    </row>
    <row r="84" spans="3:6">
      <c r="C84" s="10" t="s">
        <v>678</v>
      </c>
      <c r="D84" s="32" t="s">
        <v>284</v>
      </c>
      <c r="E84" s="14" t="s">
        <v>16</v>
      </c>
      <c r="F84" s="13"/>
    </row>
    <row r="85" spans="3:6">
      <c r="C85" s="10" t="s">
        <v>679</v>
      </c>
      <c r="D85" s="32" t="s">
        <v>284</v>
      </c>
      <c r="E85" s="14" t="s">
        <v>16</v>
      </c>
      <c r="F85" s="13"/>
    </row>
    <row r="86" spans="3:6">
      <c r="C86" s="10" t="s">
        <v>680</v>
      </c>
      <c r="D86" s="32" t="s">
        <v>284</v>
      </c>
      <c r="E86" s="14" t="s">
        <v>16</v>
      </c>
      <c r="F86" s="13"/>
    </row>
    <row r="87" spans="3:6">
      <c r="C87" s="10" t="s">
        <v>681</v>
      </c>
      <c r="D87" s="32" t="s">
        <v>284</v>
      </c>
      <c r="E87" s="14" t="s">
        <v>16</v>
      </c>
      <c r="F87" s="13"/>
    </row>
    <row r="88" spans="3:6">
      <c r="C88" s="10" t="s">
        <v>682</v>
      </c>
      <c r="D88" s="32" t="s">
        <v>284</v>
      </c>
      <c r="E88" s="14" t="s">
        <v>16</v>
      </c>
      <c r="F88" s="13"/>
    </row>
    <row r="89" spans="3:6">
      <c r="C89" s="10" t="s">
        <v>683</v>
      </c>
      <c r="D89" s="32" t="s">
        <v>284</v>
      </c>
      <c r="E89" s="14" t="s">
        <v>16</v>
      </c>
      <c r="F89" s="13"/>
    </row>
    <row r="90" spans="3:6">
      <c r="C90" s="10" t="s">
        <v>684</v>
      </c>
      <c r="D90" s="32" t="s">
        <v>284</v>
      </c>
      <c r="E90" s="14" t="s">
        <v>16</v>
      </c>
      <c r="F90" s="13"/>
    </row>
    <row r="91" spans="3:6">
      <c r="C91" s="10" t="s">
        <v>685</v>
      </c>
      <c r="D91" s="32" t="s">
        <v>284</v>
      </c>
      <c r="E91" s="14" t="s">
        <v>16</v>
      </c>
      <c r="F91" s="13"/>
    </row>
    <row r="92" spans="3:6">
      <c r="C92" s="10" t="s">
        <v>686</v>
      </c>
      <c r="D92" s="32" t="s">
        <v>284</v>
      </c>
      <c r="E92" s="14" t="s">
        <v>16</v>
      </c>
      <c r="F92" s="13"/>
    </row>
    <row r="93" spans="3:6">
      <c r="C93" s="10" t="s">
        <v>687</v>
      </c>
      <c r="D93" s="32" t="s">
        <v>284</v>
      </c>
      <c r="E93" s="14" t="s">
        <v>16</v>
      </c>
      <c r="F93" s="13"/>
    </row>
    <row r="94" spans="3:6">
      <c r="C94" s="10" t="s">
        <v>688</v>
      </c>
      <c r="D94" s="32" t="s">
        <v>284</v>
      </c>
      <c r="E94" s="14" t="s">
        <v>16</v>
      </c>
      <c r="F94" s="13"/>
    </row>
    <row r="95" spans="3:6">
      <c r="C95" s="10" t="s">
        <v>689</v>
      </c>
      <c r="D95" s="32" t="s">
        <v>284</v>
      </c>
      <c r="E95" s="14" t="s">
        <v>16</v>
      </c>
      <c r="F95" s="13"/>
    </row>
    <row r="96" spans="3:6">
      <c r="C96" s="10" t="s">
        <v>690</v>
      </c>
      <c r="D96" s="32" t="s">
        <v>284</v>
      </c>
      <c r="E96" s="14" t="s">
        <v>16</v>
      </c>
      <c r="F96" s="13"/>
    </row>
    <row r="97" spans="3:6">
      <c r="C97" s="10" t="s">
        <v>691</v>
      </c>
      <c r="D97" s="32" t="s">
        <v>284</v>
      </c>
      <c r="E97" s="14" t="s">
        <v>16</v>
      </c>
      <c r="F97" s="13"/>
    </row>
    <row r="98" spans="3:6">
      <c r="C98" s="10" t="s">
        <v>692</v>
      </c>
      <c r="D98" s="32" t="s">
        <v>284</v>
      </c>
      <c r="E98" s="14" t="s">
        <v>16</v>
      </c>
      <c r="F98" s="13"/>
    </row>
    <row r="99" spans="3:6">
      <c r="C99" s="10" t="s">
        <v>693</v>
      </c>
      <c r="D99" s="32" t="s">
        <v>284</v>
      </c>
      <c r="E99" s="14" t="s">
        <v>16</v>
      </c>
    </row>
    <row r="100" spans="3:6">
      <c r="C100" s="10" t="s">
        <v>694</v>
      </c>
      <c r="D100" s="32" t="s">
        <v>284</v>
      </c>
      <c r="E100" s="14" t="s">
        <v>16</v>
      </c>
    </row>
    <row r="101" spans="3:6">
      <c r="C101" s="10" t="s">
        <v>695</v>
      </c>
      <c r="D101" s="32" t="s">
        <v>284</v>
      </c>
      <c r="E101" s="14" t="s">
        <v>16</v>
      </c>
    </row>
    <row r="102" spans="3:6">
      <c r="C102" s="10" t="s">
        <v>696</v>
      </c>
      <c r="D102" s="32" t="s">
        <v>284</v>
      </c>
      <c r="E102" s="14" t="s">
        <v>16</v>
      </c>
    </row>
    <row r="103" spans="3:6">
      <c r="C103" s="10" t="s">
        <v>697</v>
      </c>
      <c r="D103" s="32" t="s">
        <v>284</v>
      </c>
      <c r="E103" s="14" t="s">
        <v>16</v>
      </c>
    </row>
    <row r="104" spans="3:6">
      <c r="C104" s="10" t="s">
        <v>698</v>
      </c>
      <c r="D104" s="32" t="s">
        <v>284</v>
      </c>
      <c r="E104" s="14" t="s">
        <v>16</v>
      </c>
    </row>
    <row r="105" spans="3:6">
      <c r="C105" s="10" t="s">
        <v>699</v>
      </c>
      <c r="D105" s="32" t="s">
        <v>284</v>
      </c>
      <c r="E105" s="14" t="s">
        <v>16</v>
      </c>
    </row>
    <row r="106" spans="3:6">
      <c r="C106" s="10" t="s">
        <v>700</v>
      </c>
      <c r="D106" s="32" t="s">
        <v>284</v>
      </c>
      <c r="E106" s="14" t="s">
        <v>16</v>
      </c>
    </row>
    <row r="107" spans="3:6">
      <c r="C107" s="10" t="s">
        <v>701</v>
      </c>
      <c r="D107" s="32" t="s">
        <v>284</v>
      </c>
      <c r="E107" s="14" t="s">
        <v>16</v>
      </c>
    </row>
    <row r="108" spans="3:6">
      <c r="C108" s="10" t="s">
        <v>702</v>
      </c>
      <c r="D108" s="32" t="s">
        <v>284</v>
      </c>
      <c r="E108" s="14" t="s">
        <v>16</v>
      </c>
    </row>
    <row r="109" spans="3:6">
      <c r="C109" s="10" t="s">
        <v>703</v>
      </c>
      <c r="D109" s="32" t="s">
        <v>284</v>
      </c>
      <c r="E109" s="14" t="s">
        <v>16</v>
      </c>
    </row>
    <row r="110" spans="3:6">
      <c r="C110" s="10" t="s">
        <v>704</v>
      </c>
      <c r="D110" s="32" t="s">
        <v>284</v>
      </c>
      <c r="E110" s="14" t="s">
        <v>16</v>
      </c>
    </row>
    <row r="111" spans="3:6">
      <c r="C111" s="10" t="s">
        <v>705</v>
      </c>
      <c r="D111" s="32" t="s">
        <v>284</v>
      </c>
      <c r="E111" s="14" t="s">
        <v>16</v>
      </c>
    </row>
    <row r="112" spans="3:6">
      <c r="C112" s="10" t="s">
        <v>706</v>
      </c>
      <c r="D112" s="32" t="s">
        <v>284</v>
      </c>
      <c r="E112" s="14" t="s">
        <v>16</v>
      </c>
    </row>
    <row r="113" spans="3:7">
      <c r="C113" s="10" t="s">
        <v>707</v>
      </c>
      <c r="D113" s="32" t="s">
        <v>284</v>
      </c>
      <c r="E113" s="14" t="s">
        <v>16</v>
      </c>
    </row>
    <row r="114" spans="3:7">
      <c r="C114" s="10" t="s">
        <v>708</v>
      </c>
      <c r="D114" s="32" t="s">
        <v>284</v>
      </c>
      <c r="E114" s="14" t="s">
        <v>16</v>
      </c>
    </row>
    <row r="115" spans="3:7">
      <c r="C115" s="10" t="s">
        <v>709</v>
      </c>
      <c r="D115" s="32" t="s">
        <v>284</v>
      </c>
      <c r="E115" s="14" t="s">
        <v>16</v>
      </c>
    </row>
    <row r="116" spans="3:7">
      <c r="C116" s="10" t="s">
        <v>710</v>
      </c>
      <c r="D116" s="32" t="s">
        <v>284</v>
      </c>
      <c r="E116" s="14" t="s">
        <v>16</v>
      </c>
    </row>
    <row r="117" spans="3:7">
      <c r="C117" s="10" t="s">
        <v>711</v>
      </c>
      <c r="D117" s="32" t="s">
        <v>284</v>
      </c>
      <c r="E117" s="14" t="s">
        <v>16</v>
      </c>
    </row>
    <row r="118" spans="3:7">
      <c r="C118" s="10" t="s">
        <v>712</v>
      </c>
      <c r="D118" s="32" t="s">
        <v>284</v>
      </c>
      <c r="E118" s="14" t="s">
        <v>16</v>
      </c>
    </row>
    <row r="119" spans="3:7">
      <c r="C119" s="10" t="s">
        <v>713</v>
      </c>
      <c r="D119" s="32" t="s">
        <v>284</v>
      </c>
      <c r="E119" s="14" t="s">
        <v>16</v>
      </c>
    </row>
    <row r="120" spans="3:7">
      <c r="C120" s="10" t="s">
        <v>714</v>
      </c>
      <c r="D120" s="32" t="s">
        <v>284</v>
      </c>
      <c r="E120" s="14" t="s">
        <v>16</v>
      </c>
    </row>
    <row r="121" spans="3:7">
      <c r="C121" s="10" t="s">
        <v>715</v>
      </c>
      <c r="D121" s="32" t="s">
        <v>284</v>
      </c>
      <c r="E121" s="14" t="s">
        <v>16</v>
      </c>
    </row>
    <row r="122" spans="3:7">
      <c r="C122" s="10" t="s">
        <v>716</v>
      </c>
      <c r="D122" s="32" t="s">
        <v>284</v>
      </c>
      <c r="E122" s="14" t="s">
        <v>16</v>
      </c>
    </row>
    <row r="123" spans="3:7">
      <c r="C123" s="10" t="s">
        <v>717</v>
      </c>
      <c r="D123" s="32" t="s">
        <v>284</v>
      </c>
      <c r="E123" s="14" t="s">
        <v>16</v>
      </c>
    </row>
    <row r="124" spans="3:7">
      <c r="C124" s="10" t="s">
        <v>718</v>
      </c>
      <c r="D124" s="32" t="s">
        <v>284</v>
      </c>
      <c r="E124" s="14" t="s">
        <v>16</v>
      </c>
    </row>
    <row r="125" spans="3:7">
      <c r="C125" s="12" t="s">
        <v>94</v>
      </c>
      <c r="D125" s="12" t="s">
        <v>11</v>
      </c>
      <c r="E125" s="11" t="s">
        <v>16</v>
      </c>
      <c r="F125" s="13" t="s">
        <v>20</v>
      </c>
      <c r="G125" s="12" t="s">
        <v>30</v>
      </c>
    </row>
    <row r="126" spans="3:7">
      <c r="C126" s="12" t="s">
        <v>1</v>
      </c>
      <c r="D126" s="12" t="s">
        <v>37</v>
      </c>
      <c r="E126" s="11"/>
      <c r="F126" s="13"/>
      <c r="G126" s="12" t="s">
        <v>31</v>
      </c>
    </row>
    <row r="127" spans="3:7">
      <c r="C127" s="12" t="s">
        <v>19</v>
      </c>
      <c r="D127" s="12" t="s">
        <v>11</v>
      </c>
      <c r="E127" s="11" t="s">
        <v>16</v>
      </c>
      <c r="F127" s="13" t="s">
        <v>20</v>
      </c>
      <c r="G127" s="12" t="s">
        <v>32</v>
      </c>
    </row>
    <row r="128" spans="3:7">
      <c r="C128" s="12" t="s">
        <v>2</v>
      </c>
      <c r="D128" s="12" t="s">
        <v>37</v>
      </c>
      <c r="E128" s="11"/>
      <c r="F128" s="13"/>
      <c r="G128" s="12" t="s">
        <v>33</v>
      </c>
    </row>
  </sheetData>
  <phoneticPr fontId="3" type="noConversion"/>
  <hyperlinks>
    <hyperlink ref="A1" location="目錄!A1" display="回到目錄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0"/>
  <dimension ref="A1:S128"/>
  <sheetViews>
    <sheetView workbookViewId="0"/>
  </sheetViews>
  <sheetFormatPr defaultColWidth="11.1796875" defaultRowHeight="13.8"/>
  <cols>
    <col min="1" max="1" width="7.453125" style="10" bestFit="1" customWidth="1"/>
    <col min="2" max="2" width="4.36328125" style="10" bestFit="1" customWidth="1"/>
    <col min="3" max="3" width="11.90625" style="10" bestFit="1" customWidth="1"/>
    <col min="4" max="4" width="11" style="10" bestFit="1" customWidth="1"/>
    <col min="5" max="5" width="7.54296875" style="14" bestFit="1" customWidth="1"/>
    <col min="6" max="6" width="10" style="15" bestFit="1" customWidth="1"/>
    <col min="7" max="7" width="10.6328125" style="10" bestFit="1" customWidth="1"/>
    <col min="8" max="8" width="28.08984375" style="10" bestFit="1" customWidth="1"/>
    <col min="9" max="9" width="10.08984375" style="10" bestFit="1" customWidth="1"/>
    <col min="10" max="12" width="4.54296875" style="15" bestFit="1" customWidth="1"/>
    <col min="13" max="13" width="13.81640625" style="14" bestFit="1" customWidth="1"/>
    <col min="14" max="16" width="6.6328125" style="14" customWidth="1"/>
    <col min="17" max="28" width="6.6328125" style="10" customWidth="1"/>
    <col min="29" max="32" width="14.453125" style="10" customWidth="1"/>
    <col min="33" max="16384" width="11.1796875" style="10"/>
  </cols>
  <sheetData>
    <row r="1" spans="1:19">
      <c r="A1" s="23" t="s">
        <v>36</v>
      </c>
      <c r="B1" s="5" t="s">
        <v>5</v>
      </c>
      <c r="C1" s="6" t="s">
        <v>3</v>
      </c>
      <c r="D1" s="6" t="s">
        <v>4</v>
      </c>
      <c r="E1" s="7" t="s">
        <v>6</v>
      </c>
      <c r="F1" s="9" t="s">
        <v>13</v>
      </c>
      <c r="G1" s="9" t="s">
        <v>7</v>
      </c>
      <c r="H1" s="9" t="s">
        <v>8</v>
      </c>
      <c r="I1" s="9" t="s">
        <v>467</v>
      </c>
      <c r="L1" s="72" t="s">
        <v>240</v>
      </c>
      <c r="M1" s="72" t="s">
        <v>485</v>
      </c>
      <c r="N1" s="72" t="s">
        <v>470</v>
      </c>
      <c r="O1" s="72" t="s">
        <v>471</v>
      </c>
      <c r="P1" s="72" t="s">
        <v>472</v>
      </c>
      <c r="Q1" s="72" t="s">
        <v>473</v>
      </c>
      <c r="R1" s="72" t="s">
        <v>474</v>
      </c>
      <c r="S1" s="73" t="s">
        <v>475</v>
      </c>
    </row>
    <row r="2" spans="1:19">
      <c r="B2" s="11" t="s">
        <v>14</v>
      </c>
      <c r="C2" s="13" t="s">
        <v>80</v>
      </c>
      <c r="D2" s="18" t="s">
        <v>24</v>
      </c>
      <c r="E2" s="11"/>
      <c r="F2" s="12"/>
      <c r="G2" s="12" t="s">
        <v>81</v>
      </c>
      <c r="L2" s="36"/>
      <c r="M2" s="34"/>
      <c r="N2" s="36" t="str">
        <f>"EXEC sp_dropextendedproperty @name = N'MS_Description', @level0type=N'SCHEMA',@level0name=N'"&amp;$L$1&amp;"', @level1type=N'TABLE',@level1name=N'"&amp;$M$1&amp;"', @level2type=N'COLUMN',@level2name=N'"&amp;$C2&amp;"'"</f>
        <v>EXEC sp_dropextendedproperty @name = N'MS_Description', @level0type=N'SCHEMA',@level0name=N'dbo', @level1type=N'TABLE',@level1name=N'LifeInsActFactor', @level2type=N'COLUMN',@level2name=N'PlanCode'</v>
      </c>
      <c r="O2" s="36" t="str">
        <f>"EXEC sp_dropextendedproperty @name = N'Rule', @level0type=N'SCHEMA',@level0name=N'"&amp;$L$1&amp;"', @level1type=N'TABLE',@level1name=N'"&amp;$M$1&amp;"', @level2type=N'COLUMN',@level2name=N'"&amp;$C2&amp;"'"</f>
        <v>EXEC sp_dropextendedproperty @name = N'Rule', @level0type=N'SCHEMA',@level0name=N'dbo', @level1type=N'TABLE',@level1name=N'LifeInsActFactor', @level2type=N'COLUMN',@level2name=N'PlanCode'</v>
      </c>
      <c r="P2" s="36" t="str">
        <f>"EXEC sp_dropextendedproperty @name = N'Memo', @level0type=N'SCHEMA',@level0name=N'"&amp;$L$1&amp;"', @level1type=N'TABLE',@level1name=N'"&amp;$M$1&amp;"', @level2type=N'COLUMN',@level2name=N'"&amp;$C2&amp;"'"</f>
        <v>EXEC sp_dropextendedproperty @name = N'Memo', @level0type=N'SCHEMA',@level0name=N'dbo', @level1type=N'TABLE',@level1name=N'LifeInsActFactor', @level2type=N'COLUMN',@level2name=N'PlanCode'</v>
      </c>
      <c r="Q2" s="36" t="str">
        <f>"set @OldWording = N'"&amp;SUBSTITUTE($G2,CHAR(10),"")&amp;"'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@level2type=N'COLUMN',@level2name=N'"&amp;$C2&amp;"'"</f>
        <v>set @OldWording = N'險種代碼' set @NewWording = REPLACE(@OldWording,'***',char(13)+char(10)) EXEC sys.sp_addextendedproperty @name=N'MS_Description', @value=@NewWording , @level0type=N'SCHEMA',@level0name=N'dbo', @level1type=N'TABLE',@level1name=N'LifeInsActFactor', @level2type=N'COLUMN',@level2name=N'PlanCode'</v>
      </c>
      <c r="R2" s="32" t="str">
        <f>"set @OldWording = N'"&amp;SUBSTITUTE($H2,CHAR(10),"")&amp;"'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@name=N'Rule', @value=@NewWording , @level0type=N'SCHEMA',@level0name=N'dbo', @level1type=N'TABLE',@level1name=N'LifeInsActFactor', @level2type=N'COLUMN',@level2name=N'PlanCode'</v>
      </c>
      <c r="S2" s="36" t="str">
        <f>"set @OldWording = N'"&amp;SUBSTITUTE($I2,CHAR(10),"")&amp;"' set @NewWording = REPLACE(@OldWording,'***',char(13)+char(10)) "&amp;"EXEC sys.sp_addextendedproperty @name=N'Memo',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@name=N'Memo', @value=@NewWording , @level0type=N'SCHEMA',@level0name=N'dbo', @level1type=N'TABLE',@level1name=N'LifeInsActFactor', @level2type=N'COLUMN',@level2name=N'PlanCode'</v>
      </c>
    </row>
    <row r="3" spans="1:19" ht="27.6">
      <c r="B3" s="11" t="s">
        <v>14</v>
      </c>
      <c r="C3" s="15" t="s">
        <v>3728</v>
      </c>
      <c r="D3" s="15" t="s">
        <v>21</v>
      </c>
      <c r="F3" s="10"/>
      <c r="G3" s="10" t="s">
        <v>78</v>
      </c>
      <c r="H3" s="16" t="s">
        <v>3652</v>
      </c>
      <c r="I3" s="16"/>
    </row>
    <row r="4" spans="1:19">
      <c r="B4" s="11" t="s">
        <v>14</v>
      </c>
      <c r="C4" s="12" t="s">
        <v>86</v>
      </c>
      <c r="D4" s="12" t="s">
        <v>34</v>
      </c>
      <c r="F4" s="13"/>
      <c r="G4" s="12" t="s">
        <v>87</v>
      </c>
    </row>
    <row r="5" spans="1:19">
      <c r="B5" s="11" t="s">
        <v>14</v>
      </c>
      <c r="C5" s="12" t="s">
        <v>50</v>
      </c>
      <c r="D5" s="12" t="s">
        <v>21</v>
      </c>
      <c r="F5" s="13"/>
      <c r="G5" s="12" t="s">
        <v>52</v>
      </c>
      <c r="H5" s="16" t="s">
        <v>493</v>
      </c>
      <c r="I5" s="27" t="s">
        <v>267</v>
      </c>
    </row>
    <row r="6" spans="1:19">
      <c r="B6" s="11" t="s">
        <v>14</v>
      </c>
      <c r="C6" s="10" t="s">
        <v>75</v>
      </c>
      <c r="D6" s="12" t="s">
        <v>34</v>
      </c>
      <c r="F6" s="13"/>
      <c r="G6" s="10" t="s">
        <v>74</v>
      </c>
    </row>
    <row r="7" spans="1:19">
      <c r="B7" s="11" t="s">
        <v>14</v>
      </c>
      <c r="C7" s="10" t="s">
        <v>3593</v>
      </c>
      <c r="D7" s="12" t="s">
        <v>23</v>
      </c>
      <c r="F7" s="13"/>
      <c r="G7" s="10" t="s">
        <v>3594</v>
      </c>
    </row>
    <row r="8" spans="1:19">
      <c r="B8" s="11"/>
      <c r="C8" s="29" t="s">
        <v>3730</v>
      </c>
      <c r="D8" s="29" t="s">
        <v>126</v>
      </c>
      <c r="E8" s="28"/>
      <c r="F8" s="22"/>
      <c r="G8" s="22" t="s">
        <v>125</v>
      </c>
      <c r="H8" s="27" t="s">
        <v>3591</v>
      </c>
    </row>
    <row r="9" spans="1:19">
      <c r="B9" s="11"/>
      <c r="C9" s="29" t="s">
        <v>123</v>
      </c>
      <c r="D9" s="29" t="s">
        <v>126</v>
      </c>
      <c r="E9" s="28"/>
      <c r="F9" s="22"/>
      <c r="G9" s="22" t="s">
        <v>124</v>
      </c>
      <c r="H9" s="27" t="s">
        <v>3591</v>
      </c>
    </row>
    <row r="10" spans="1:19">
      <c r="C10" s="10" t="s">
        <v>604</v>
      </c>
      <c r="D10" s="32" t="s">
        <v>285</v>
      </c>
      <c r="E10" s="14" t="s">
        <v>16</v>
      </c>
      <c r="F10" s="13"/>
      <c r="H10" s="16"/>
      <c r="I10" s="16"/>
    </row>
    <row r="11" spans="1:19">
      <c r="C11" s="10" t="s">
        <v>605</v>
      </c>
      <c r="D11" s="32" t="s">
        <v>285</v>
      </c>
      <c r="E11" s="14" t="s">
        <v>16</v>
      </c>
      <c r="F11" s="13"/>
    </row>
    <row r="12" spans="1:19">
      <c r="C12" s="10" t="s">
        <v>606</v>
      </c>
      <c r="D12" s="32" t="s">
        <v>284</v>
      </c>
      <c r="E12" s="14" t="s">
        <v>16</v>
      </c>
      <c r="F12" s="13"/>
    </row>
    <row r="13" spans="1:19">
      <c r="C13" s="10" t="s">
        <v>607</v>
      </c>
      <c r="D13" s="32" t="s">
        <v>284</v>
      </c>
      <c r="E13" s="14" t="s">
        <v>16</v>
      </c>
      <c r="F13" s="13"/>
    </row>
    <row r="14" spans="1:19">
      <c r="C14" s="10" t="s">
        <v>608</v>
      </c>
      <c r="D14" s="32" t="s">
        <v>284</v>
      </c>
      <c r="E14" s="14" t="s">
        <v>16</v>
      </c>
      <c r="F14" s="13"/>
    </row>
    <row r="15" spans="1:19">
      <c r="C15" s="10" t="s">
        <v>609</v>
      </c>
      <c r="D15" s="32" t="s">
        <v>284</v>
      </c>
      <c r="E15" s="14" t="s">
        <v>16</v>
      </c>
      <c r="F15" s="13"/>
    </row>
    <row r="16" spans="1:19">
      <c r="C16" s="10" t="s">
        <v>610</v>
      </c>
      <c r="D16" s="32" t="s">
        <v>284</v>
      </c>
      <c r="E16" s="14" t="s">
        <v>16</v>
      </c>
      <c r="F16" s="13"/>
    </row>
    <row r="17" spans="3:6">
      <c r="C17" s="10" t="s">
        <v>611</v>
      </c>
      <c r="D17" s="32" t="s">
        <v>284</v>
      </c>
      <c r="E17" s="14" t="s">
        <v>16</v>
      </c>
      <c r="F17" s="13"/>
    </row>
    <row r="18" spans="3:6">
      <c r="C18" s="10" t="s">
        <v>612</v>
      </c>
      <c r="D18" s="32" t="s">
        <v>284</v>
      </c>
      <c r="E18" s="14" t="s">
        <v>16</v>
      </c>
      <c r="F18" s="13"/>
    </row>
    <row r="19" spans="3:6">
      <c r="C19" s="10" t="s">
        <v>613</v>
      </c>
      <c r="D19" s="32" t="s">
        <v>284</v>
      </c>
      <c r="E19" s="14" t="s">
        <v>16</v>
      </c>
      <c r="F19" s="13"/>
    </row>
    <row r="20" spans="3:6">
      <c r="C20" s="10" t="s">
        <v>614</v>
      </c>
      <c r="D20" s="32" t="s">
        <v>284</v>
      </c>
      <c r="E20" s="14" t="s">
        <v>16</v>
      </c>
      <c r="F20" s="13"/>
    </row>
    <row r="21" spans="3:6">
      <c r="C21" s="10" t="s">
        <v>615</v>
      </c>
      <c r="D21" s="32" t="s">
        <v>284</v>
      </c>
      <c r="E21" s="14" t="s">
        <v>16</v>
      </c>
      <c r="F21" s="13"/>
    </row>
    <row r="22" spans="3:6">
      <c r="C22" s="10" t="s">
        <v>616</v>
      </c>
      <c r="D22" s="32" t="s">
        <v>284</v>
      </c>
      <c r="E22" s="14" t="s">
        <v>16</v>
      </c>
      <c r="F22" s="13"/>
    </row>
    <row r="23" spans="3:6">
      <c r="C23" s="10" t="s">
        <v>617</v>
      </c>
      <c r="D23" s="32" t="s">
        <v>284</v>
      </c>
      <c r="E23" s="14" t="s">
        <v>16</v>
      </c>
      <c r="F23" s="13"/>
    </row>
    <row r="24" spans="3:6">
      <c r="C24" s="10" t="s">
        <v>618</v>
      </c>
      <c r="D24" s="32" t="s">
        <v>284</v>
      </c>
      <c r="E24" s="14" t="s">
        <v>16</v>
      </c>
      <c r="F24" s="13"/>
    </row>
    <row r="25" spans="3:6">
      <c r="C25" s="10" t="s">
        <v>619</v>
      </c>
      <c r="D25" s="32" t="s">
        <v>284</v>
      </c>
      <c r="E25" s="14" t="s">
        <v>16</v>
      </c>
      <c r="F25" s="13"/>
    </row>
    <row r="26" spans="3:6">
      <c r="C26" s="10" t="s">
        <v>620</v>
      </c>
      <c r="D26" s="32" t="s">
        <v>284</v>
      </c>
      <c r="E26" s="14" t="s">
        <v>16</v>
      </c>
      <c r="F26" s="13"/>
    </row>
    <row r="27" spans="3:6">
      <c r="C27" s="10" t="s">
        <v>621</v>
      </c>
      <c r="D27" s="32" t="s">
        <v>284</v>
      </c>
      <c r="E27" s="14" t="s">
        <v>16</v>
      </c>
      <c r="F27" s="13"/>
    </row>
    <row r="28" spans="3:6">
      <c r="C28" s="10" t="s">
        <v>622</v>
      </c>
      <c r="D28" s="32" t="s">
        <v>284</v>
      </c>
      <c r="E28" s="14" t="s">
        <v>16</v>
      </c>
      <c r="F28" s="13"/>
    </row>
    <row r="29" spans="3:6">
      <c r="C29" s="10" t="s">
        <v>623</v>
      </c>
      <c r="D29" s="32" t="s">
        <v>284</v>
      </c>
      <c r="E29" s="14" t="s">
        <v>16</v>
      </c>
      <c r="F29" s="13"/>
    </row>
    <row r="30" spans="3:6">
      <c r="C30" s="10" t="s">
        <v>624</v>
      </c>
      <c r="D30" s="32" t="s">
        <v>284</v>
      </c>
      <c r="E30" s="14" t="s">
        <v>16</v>
      </c>
      <c r="F30" s="13"/>
    </row>
    <row r="31" spans="3:6">
      <c r="C31" s="10" t="s">
        <v>625</v>
      </c>
      <c r="D31" s="32" t="s">
        <v>284</v>
      </c>
      <c r="E31" s="14" t="s">
        <v>16</v>
      </c>
      <c r="F31" s="13"/>
    </row>
    <row r="32" spans="3:6">
      <c r="C32" s="10" t="s">
        <v>626</v>
      </c>
      <c r="D32" s="32" t="s">
        <v>284</v>
      </c>
      <c r="E32" s="14" t="s">
        <v>16</v>
      </c>
      <c r="F32" s="13"/>
    </row>
    <row r="33" spans="3:6">
      <c r="C33" s="10" t="s">
        <v>627</v>
      </c>
      <c r="D33" s="32" t="s">
        <v>284</v>
      </c>
      <c r="E33" s="14" t="s">
        <v>16</v>
      </c>
      <c r="F33" s="13"/>
    </row>
    <row r="34" spans="3:6">
      <c r="C34" s="10" t="s">
        <v>628</v>
      </c>
      <c r="D34" s="32" t="s">
        <v>284</v>
      </c>
      <c r="E34" s="14" t="s">
        <v>16</v>
      </c>
      <c r="F34" s="13"/>
    </row>
    <row r="35" spans="3:6">
      <c r="C35" s="10" t="s">
        <v>629</v>
      </c>
      <c r="D35" s="32" t="s">
        <v>284</v>
      </c>
      <c r="E35" s="14" t="s">
        <v>16</v>
      </c>
      <c r="F35" s="13"/>
    </row>
    <row r="36" spans="3:6">
      <c r="C36" s="10" t="s">
        <v>630</v>
      </c>
      <c r="D36" s="32" t="s">
        <v>284</v>
      </c>
      <c r="E36" s="14" t="s">
        <v>16</v>
      </c>
      <c r="F36" s="13"/>
    </row>
    <row r="37" spans="3:6">
      <c r="C37" s="10" t="s">
        <v>631</v>
      </c>
      <c r="D37" s="32" t="s">
        <v>284</v>
      </c>
      <c r="E37" s="14" t="s">
        <v>16</v>
      </c>
      <c r="F37" s="13"/>
    </row>
    <row r="38" spans="3:6">
      <c r="C38" s="10" t="s">
        <v>632</v>
      </c>
      <c r="D38" s="32" t="s">
        <v>284</v>
      </c>
      <c r="E38" s="14" t="s">
        <v>16</v>
      </c>
      <c r="F38" s="13"/>
    </row>
    <row r="39" spans="3:6">
      <c r="C39" s="10" t="s">
        <v>633</v>
      </c>
      <c r="D39" s="32" t="s">
        <v>284</v>
      </c>
      <c r="E39" s="14" t="s">
        <v>16</v>
      </c>
      <c r="F39" s="13"/>
    </row>
    <row r="40" spans="3:6">
      <c r="C40" s="10" t="s">
        <v>634</v>
      </c>
      <c r="D40" s="32" t="s">
        <v>284</v>
      </c>
      <c r="E40" s="14" t="s">
        <v>16</v>
      </c>
      <c r="F40" s="13"/>
    </row>
    <row r="41" spans="3:6">
      <c r="C41" s="10" t="s">
        <v>635</v>
      </c>
      <c r="D41" s="32" t="s">
        <v>284</v>
      </c>
      <c r="E41" s="14" t="s">
        <v>16</v>
      </c>
      <c r="F41" s="13"/>
    </row>
    <row r="42" spans="3:6">
      <c r="C42" s="10" t="s">
        <v>636</v>
      </c>
      <c r="D42" s="32" t="s">
        <v>284</v>
      </c>
      <c r="E42" s="14" t="s">
        <v>16</v>
      </c>
      <c r="F42" s="13"/>
    </row>
    <row r="43" spans="3:6">
      <c r="C43" s="10" t="s">
        <v>637</v>
      </c>
      <c r="D43" s="32" t="s">
        <v>284</v>
      </c>
      <c r="E43" s="14" t="s">
        <v>16</v>
      </c>
      <c r="F43" s="13"/>
    </row>
    <row r="44" spans="3:6">
      <c r="C44" s="10" t="s">
        <v>638</v>
      </c>
      <c r="D44" s="32" t="s">
        <v>284</v>
      </c>
      <c r="E44" s="14" t="s">
        <v>16</v>
      </c>
      <c r="F44" s="13"/>
    </row>
    <row r="45" spans="3:6">
      <c r="C45" s="10" t="s">
        <v>639</v>
      </c>
      <c r="D45" s="32" t="s">
        <v>284</v>
      </c>
      <c r="E45" s="14" t="s">
        <v>16</v>
      </c>
      <c r="F45" s="13"/>
    </row>
    <row r="46" spans="3:6">
      <c r="C46" s="10" t="s">
        <v>640</v>
      </c>
      <c r="D46" s="32" t="s">
        <v>284</v>
      </c>
      <c r="E46" s="14" t="s">
        <v>16</v>
      </c>
      <c r="F46" s="13"/>
    </row>
    <row r="47" spans="3:6">
      <c r="C47" s="10" t="s">
        <v>641</v>
      </c>
      <c r="D47" s="32" t="s">
        <v>284</v>
      </c>
      <c r="E47" s="14" t="s">
        <v>16</v>
      </c>
      <c r="F47" s="13"/>
    </row>
    <row r="48" spans="3:6">
      <c r="C48" s="10" t="s">
        <v>642</v>
      </c>
      <c r="D48" s="32" t="s">
        <v>284</v>
      </c>
      <c r="E48" s="14" t="s">
        <v>16</v>
      </c>
      <c r="F48" s="13"/>
    </row>
    <row r="49" spans="3:6">
      <c r="C49" s="10" t="s">
        <v>643</v>
      </c>
      <c r="D49" s="32" t="s">
        <v>284</v>
      </c>
      <c r="E49" s="14" t="s">
        <v>16</v>
      </c>
      <c r="F49" s="13"/>
    </row>
    <row r="50" spans="3:6">
      <c r="C50" s="10" t="s">
        <v>644</v>
      </c>
      <c r="D50" s="32" t="s">
        <v>284</v>
      </c>
      <c r="E50" s="14" t="s">
        <v>16</v>
      </c>
      <c r="F50" s="13"/>
    </row>
    <row r="51" spans="3:6">
      <c r="C51" s="10" t="s">
        <v>645</v>
      </c>
      <c r="D51" s="32" t="s">
        <v>284</v>
      </c>
      <c r="E51" s="14" t="s">
        <v>16</v>
      </c>
      <c r="F51" s="13"/>
    </row>
    <row r="52" spans="3:6">
      <c r="C52" s="10" t="s">
        <v>646</v>
      </c>
      <c r="D52" s="32" t="s">
        <v>284</v>
      </c>
      <c r="E52" s="14" t="s">
        <v>16</v>
      </c>
      <c r="F52" s="13"/>
    </row>
    <row r="53" spans="3:6">
      <c r="C53" s="10" t="s">
        <v>647</v>
      </c>
      <c r="D53" s="32" t="s">
        <v>284</v>
      </c>
      <c r="E53" s="14" t="s">
        <v>16</v>
      </c>
      <c r="F53" s="13"/>
    </row>
    <row r="54" spans="3:6">
      <c r="C54" s="10" t="s">
        <v>648</v>
      </c>
      <c r="D54" s="32" t="s">
        <v>284</v>
      </c>
      <c r="E54" s="14" t="s">
        <v>16</v>
      </c>
      <c r="F54" s="13"/>
    </row>
    <row r="55" spans="3:6">
      <c r="C55" s="10" t="s">
        <v>649</v>
      </c>
      <c r="D55" s="32" t="s">
        <v>284</v>
      </c>
      <c r="E55" s="14" t="s">
        <v>16</v>
      </c>
      <c r="F55" s="13"/>
    </row>
    <row r="56" spans="3:6">
      <c r="C56" s="10" t="s">
        <v>650</v>
      </c>
      <c r="D56" s="32" t="s">
        <v>284</v>
      </c>
      <c r="E56" s="14" t="s">
        <v>16</v>
      </c>
      <c r="F56" s="13"/>
    </row>
    <row r="57" spans="3:6">
      <c r="C57" s="10" t="s">
        <v>651</v>
      </c>
      <c r="D57" s="32" t="s">
        <v>284</v>
      </c>
      <c r="E57" s="14" t="s">
        <v>16</v>
      </c>
      <c r="F57" s="13"/>
    </row>
    <row r="58" spans="3:6">
      <c r="C58" s="10" t="s">
        <v>652</v>
      </c>
      <c r="D58" s="32" t="s">
        <v>284</v>
      </c>
      <c r="E58" s="14" t="s">
        <v>16</v>
      </c>
      <c r="F58" s="13"/>
    </row>
    <row r="59" spans="3:6">
      <c r="C59" s="10" t="s">
        <v>653</v>
      </c>
      <c r="D59" s="32" t="s">
        <v>284</v>
      </c>
      <c r="E59" s="14" t="s">
        <v>16</v>
      </c>
      <c r="F59" s="13"/>
    </row>
    <row r="60" spans="3:6">
      <c r="C60" s="10" t="s">
        <v>654</v>
      </c>
      <c r="D60" s="32" t="s">
        <v>284</v>
      </c>
      <c r="E60" s="14" t="s">
        <v>16</v>
      </c>
      <c r="F60" s="13"/>
    </row>
    <row r="61" spans="3:6">
      <c r="C61" s="10" t="s">
        <v>655</v>
      </c>
      <c r="D61" s="32" t="s">
        <v>284</v>
      </c>
      <c r="E61" s="14" t="s">
        <v>16</v>
      </c>
      <c r="F61" s="13"/>
    </row>
    <row r="62" spans="3:6">
      <c r="C62" s="10" t="s">
        <v>656</v>
      </c>
      <c r="D62" s="32" t="s">
        <v>284</v>
      </c>
      <c r="E62" s="14" t="s">
        <v>16</v>
      </c>
      <c r="F62" s="13"/>
    </row>
    <row r="63" spans="3:6">
      <c r="C63" s="10" t="s">
        <v>657</v>
      </c>
      <c r="D63" s="32" t="s">
        <v>284</v>
      </c>
      <c r="E63" s="14" t="s">
        <v>16</v>
      </c>
      <c r="F63" s="13"/>
    </row>
    <row r="64" spans="3:6">
      <c r="C64" s="10" t="s">
        <v>658</v>
      </c>
      <c r="D64" s="32" t="s">
        <v>284</v>
      </c>
      <c r="E64" s="14" t="s">
        <v>16</v>
      </c>
      <c r="F64" s="13"/>
    </row>
    <row r="65" spans="3:6">
      <c r="C65" s="10" t="s">
        <v>659</v>
      </c>
      <c r="D65" s="32" t="s">
        <v>284</v>
      </c>
      <c r="E65" s="14" t="s">
        <v>16</v>
      </c>
      <c r="F65" s="13"/>
    </row>
    <row r="66" spans="3:6">
      <c r="C66" s="10" t="s">
        <v>660</v>
      </c>
      <c r="D66" s="32" t="s">
        <v>284</v>
      </c>
      <c r="E66" s="14" t="s">
        <v>16</v>
      </c>
      <c r="F66" s="13"/>
    </row>
    <row r="67" spans="3:6">
      <c r="C67" s="10" t="s">
        <v>661</v>
      </c>
      <c r="D67" s="32" t="s">
        <v>284</v>
      </c>
      <c r="E67" s="14" t="s">
        <v>16</v>
      </c>
      <c r="F67" s="13"/>
    </row>
    <row r="68" spans="3:6">
      <c r="C68" s="10" t="s">
        <v>662</v>
      </c>
      <c r="D68" s="32" t="s">
        <v>284</v>
      </c>
      <c r="E68" s="14" t="s">
        <v>16</v>
      </c>
      <c r="F68" s="13"/>
    </row>
    <row r="69" spans="3:6">
      <c r="C69" s="10" t="s">
        <v>663</v>
      </c>
      <c r="D69" s="32" t="s">
        <v>284</v>
      </c>
      <c r="E69" s="14" t="s">
        <v>16</v>
      </c>
      <c r="F69" s="13"/>
    </row>
    <row r="70" spans="3:6">
      <c r="C70" s="10" t="s">
        <v>664</v>
      </c>
      <c r="D70" s="32" t="s">
        <v>284</v>
      </c>
      <c r="E70" s="14" t="s">
        <v>16</v>
      </c>
      <c r="F70" s="13"/>
    </row>
    <row r="71" spans="3:6">
      <c r="C71" s="10" t="s">
        <v>665</v>
      </c>
      <c r="D71" s="32" t="s">
        <v>284</v>
      </c>
      <c r="E71" s="14" t="s">
        <v>16</v>
      </c>
      <c r="F71" s="13"/>
    </row>
    <row r="72" spans="3:6">
      <c r="C72" s="10" t="s">
        <v>666</v>
      </c>
      <c r="D72" s="32" t="s">
        <v>284</v>
      </c>
      <c r="E72" s="14" t="s">
        <v>16</v>
      </c>
      <c r="F72" s="13"/>
    </row>
    <row r="73" spans="3:6">
      <c r="C73" s="10" t="s">
        <v>667</v>
      </c>
      <c r="D73" s="32" t="s">
        <v>284</v>
      </c>
      <c r="E73" s="14" t="s">
        <v>16</v>
      </c>
      <c r="F73" s="13"/>
    </row>
    <row r="74" spans="3:6">
      <c r="C74" s="10" t="s">
        <v>668</v>
      </c>
      <c r="D74" s="32" t="s">
        <v>284</v>
      </c>
      <c r="E74" s="14" t="s">
        <v>16</v>
      </c>
      <c r="F74" s="13"/>
    </row>
    <row r="75" spans="3:6">
      <c r="C75" s="10" t="s">
        <v>669</v>
      </c>
      <c r="D75" s="32" t="s">
        <v>284</v>
      </c>
      <c r="E75" s="14" t="s">
        <v>16</v>
      </c>
      <c r="F75" s="13"/>
    </row>
    <row r="76" spans="3:6">
      <c r="C76" s="10" t="s">
        <v>670</v>
      </c>
      <c r="D76" s="32" t="s">
        <v>284</v>
      </c>
      <c r="E76" s="14" t="s">
        <v>16</v>
      </c>
      <c r="F76" s="13"/>
    </row>
    <row r="77" spans="3:6">
      <c r="C77" s="10" t="s">
        <v>671</v>
      </c>
      <c r="D77" s="32" t="s">
        <v>284</v>
      </c>
      <c r="E77" s="14" t="s">
        <v>16</v>
      </c>
      <c r="F77" s="13"/>
    </row>
    <row r="78" spans="3:6">
      <c r="C78" s="10" t="s">
        <v>672</v>
      </c>
      <c r="D78" s="32" t="s">
        <v>284</v>
      </c>
      <c r="E78" s="14" t="s">
        <v>16</v>
      </c>
      <c r="F78" s="13"/>
    </row>
    <row r="79" spans="3:6">
      <c r="C79" s="10" t="s">
        <v>673</v>
      </c>
      <c r="D79" s="32" t="s">
        <v>284</v>
      </c>
      <c r="E79" s="14" t="s">
        <v>16</v>
      </c>
      <c r="F79" s="13"/>
    </row>
    <row r="80" spans="3:6">
      <c r="C80" s="10" t="s">
        <v>674</v>
      </c>
      <c r="D80" s="32" t="s">
        <v>284</v>
      </c>
      <c r="E80" s="14" t="s">
        <v>16</v>
      </c>
      <c r="F80" s="13"/>
    </row>
    <row r="81" spans="3:6">
      <c r="C81" s="10" t="s">
        <v>675</v>
      </c>
      <c r="D81" s="32" t="s">
        <v>284</v>
      </c>
      <c r="E81" s="14" t="s">
        <v>16</v>
      </c>
      <c r="F81" s="13"/>
    </row>
    <row r="82" spans="3:6">
      <c r="C82" s="10" t="s">
        <v>676</v>
      </c>
      <c r="D82" s="32" t="s">
        <v>284</v>
      </c>
      <c r="E82" s="14" t="s">
        <v>16</v>
      </c>
      <c r="F82" s="13"/>
    </row>
    <row r="83" spans="3:6">
      <c r="C83" s="10" t="s">
        <v>677</v>
      </c>
      <c r="D83" s="32" t="s">
        <v>284</v>
      </c>
      <c r="E83" s="14" t="s">
        <v>16</v>
      </c>
      <c r="F83" s="13"/>
    </row>
    <row r="84" spans="3:6">
      <c r="C84" s="10" t="s">
        <v>678</v>
      </c>
      <c r="D84" s="32" t="s">
        <v>284</v>
      </c>
      <c r="E84" s="14" t="s">
        <v>16</v>
      </c>
      <c r="F84" s="13"/>
    </row>
    <row r="85" spans="3:6">
      <c r="C85" s="10" t="s">
        <v>679</v>
      </c>
      <c r="D85" s="32" t="s">
        <v>284</v>
      </c>
      <c r="E85" s="14" t="s">
        <v>16</v>
      </c>
      <c r="F85" s="13"/>
    </row>
    <row r="86" spans="3:6">
      <c r="C86" s="10" t="s">
        <v>680</v>
      </c>
      <c r="D86" s="32" t="s">
        <v>284</v>
      </c>
      <c r="E86" s="14" t="s">
        <v>16</v>
      </c>
      <c r="F86" s="13"/>
    </row>
    <row r="87" spans="3:6">
      <c r="C87" s="10" t="s">
        <v>681</v>
      </c>
      <c r="D87" s="32" t="s">
        <v>284</v>
      </c>
      <c r="E87" s="14" t="s">
        <v>16</v>
      </c>
      <c r="F87" s="13"/>
    </row>
    <row r="88" spans="3:6">
      <c r="C88" s="10" t="s">
        <v>682</v>
      </c>
      <c r="D88" s="32" t="s">
        <v>284</v>
      </c>
      <c r="E88" s="14" t="s">
        <v>16</v>
      </c>
      <c r="F88" s="13"/>
    </row>
    <row r="89" spans="3:6">
      <c r="C89" s="10" t="s">
        <v>683</v>
      </c>
      <c r="D89" s="32" t="s">
        <v>284</v>
      </c>
      <c r="E89" s="14" t="s">
        <v>16</v>
      </c>
      <c r="F89" s="13"/>
    </row>
    <row r="90" spans="3:6">
      <c r="C90" s="10" t="s">
        <v>684</v>
      </c>
      <c r="D90" s="32" t="s">
        <v>284</v>
      </c>
      <c r="E90" s="14" t="s">
        <v>16</v>
      </c>
      <c r="F90" s="13"/>
    </row>
    <row r="91" spans="3:6">
      <c r="C91" s="10" t="s">
        <v>685</v>
      </c>
      <c r="D91" s="32" t="s">
        <v>284</v>
      </c>
      <c r="E91" s="14" t="s">
        <v>16</v>
      </c>
      <c r="F91" s="13"/>
    </row>
    <row r="92" spans="3:6">
      <c r="C92" s="10" t="s">
        <v>686</v>
      </c>
      <c r="D92" s="32" t="s">
        <v>284</v>
      </c>
      <c r="E92" s="14" t="s">
        <v>16</v>
      </c>
      <c r="F92" s="13"/>
    </row>
    <row r="93" spans="3:6">
      <c r="C93" s="10" t="s">
        <v>687</v>
      </c>
      <c r="D93" s="32" t="s">
        <v>284</v>
      </c>
      <c r="E93" s="14" t="s">
        <v>16</v>
      </c>
      <c r="F93" s="13"/>
    </row>
    <row r="94" spans="3:6">
      <c r="C94" s="10" t="s">
        <v>688</v>
      </c>
      <c r="D94" s="32" t="s">
        <v>284</v>
      </c>
      <c r="E94" s="14" t="s">
        <v>16</v>
      </c>
      <c r="F94" s="13"/>
    </row>
    <row r="95" spans="3:6">
      <c r="C95" s="10" t="s">
        <v>689</v>
      </c>
      <c r="D95" s="32" t="s">
        <v>284</v>
      </c>
      <c r="E95" s="14" t="s">
        <v>16</v>
      </c>
      <c r="F95" s="13"/>
    </row>
    <row r="96" spans="3:6">
      <c r="C96" s="10" t="s">
        <v>690</v>
      </c>
      <c r="D96" s="32" t="s">
        <v>284</v>
      </c>
      <c r="E96" s="14" t="s">
        <v>16</v>
      </c>
      <c r="F96" s="13"/>
    </row>
    <row r="97" spans="3:6">
      <c r="C97" s="10" t="s">
        <v>691</v>
      </c>
      <c r="D97" s="32" t="s">
        <v>284</v>
      </c>
      <c r="E97" s="14" t="s">
        <v>16</v>
      </c>
      <c r="F97" s="13"/>
    </row>
    <row r="98" spans="3:6">
      <c r="C98" s="10" t="s">
        <v>692</v>
      </c>
      <c r="D98" s="32" t="s">
        <v>284</v>
      </c>
      <c r="E98" s="14" t="s">
        <v>16</v>
      </c>
      <c r="F98" s="13"/>
    </row>
    <row r="99" spans="3:6">
      <c r="C99" s="10" t="s">
        <v>693</v>
      </c>
      <c r="D99" s="32" t="s">
        <v>284</v>
      </c>
      <c r="E99" s="14" t="s">
        <v>16</v>
      </c>
    </row>
    <row r="100" spans="3:6">
      <c r="C100" s="10" t="s">
        <v>694</v>
      </c>
      <c r="D100" s="32" t="s">
        <v>284</v>
      </c>
      <c r="E100" s="14" t="s">
        <v>16</v>
      </c>
    </row>
    <row r="101" spans="3:6">
      <c r="C101" s="10" t="s">
        <v>695</v>
      </c>
      <c r="D101" s="32" t="s">
        <v>284</v>
      </c>
      <c r="E101" s="14" t="s">
        <v>16</v>
      </c>
    </row>
    <row r="102" spans="3:6">
      <c r="C102" s="10" t="s">
        <v>696</v>
      </c>
      <c r="D102" s="32" t="s">
        <v>284</v>
      </c>
      <c r="E102" s="14" t="s">
        <v>16</v>
      </c>
    </row>
    <row r="103" spans="3:6">
      <c r="C103" s="10" t="s">
        <v>697</v>
      </c>
      <c r="D103" s="32" t="s">
        <v>284</v>
      </c>
      <c r="E103" s="14" t="s">
        <v>16</v>
      </c>
    </row>
    <row r="104" spans="3:6">
      <c r="C104" s="10" t="s">
        <v>698</v>
      </c>
      <c r="D104" s="32" t="s">
        <v>284</v>
      </c>
      <c r="E104" s="14" t="s">
        <v>16</v>
      </c>
    </row>
    <row r="105" spans="3:6">
      <c r="C105" s="10" t="s">
        <v>699</v>
      </c>
      <c r="D105" s="32" t="s">
        <v>284</v>
      </c>
      <c r="E105" s="14" t="s">
        <v>16</v>
      </c>
    </row>
    <row r="106" spans="3:6">
      <c r="C106" s="10" t="s">
        <v>700</v>
      </c>
      <c r="D106" s="32" t="s">
        <v>284</v>
      </c>
      <c r="E106" s="14" t="s">
        <v>16</v>
      </c>
    </row>
    <row r="107" spans="3:6">
      <c r="C107" s="10" t="s">
        <v>701</v>
      </c>
      <c r="D107" s="32" t="s">
        <v>284</v>
      </c>
      <c r="E107" s="14" t="s">
        <v>16</v>
      </c>
    </row>
    <row r="108" spans="3:6">
      <c r="C108" s="10" t="s">
        <v>702</v>
      </c>
      <c r="D108" s="32" t="s">
        <v>284</v>
      </c>
      <c r="E108" s="14" t="s">
        <v>16</v>
      </c>
    </row>
    <row r="109" spans="3:6">
      <c r="C109" s="10" t="s">
        <v>703</v>
      </c>
      <c r="D109" s="32" t="s">
        <v>284</v>
      </c>
      <c r="E109" s="14" t="s">
        <v>16</v>
      </c>
    </row>
    <row r="110" spans="3:6">
      <c r="C110" s="10" t="s">
        <v>704</v>
      </c>
      <c r="D110" s="32" t="s">
        <v>284</v>
      </c>
      <c r="E110" s="14" t="s">
        <v>16</v>
      </c>
    </row>
    <row r="111" spans="3:6">
      <c r="C111" s="10" t="s">
        <v>705</v>
      </c>
      <c r="D111" s="32" t="s">
        <v>284</v>
      </c>
      <c r="E111" s="14" t="s">
        <v>16</v>
      </c>
    </row>
    <row r="112" spans="3:6">
      <c r="C112" s="10" t="s">
        <v>706</v>
      </c>
      <c r="D112" s="32" t="s">
        <v>284</v>
      </c>
      <c r="E112" s="14" t="s">
        <v>16</v>
      </c>
    </row>
    <row r="113" spans="3:7">
      <c r="C113" s="10" t="s">
        <v>707</v>
      </c>
      <c r="D113" s="32" t="s">
        <v>284</v>
      </c>
      <c r="E113" s="14" t="s">
        <v>16</v>
      </c>
    </row>
    <row r="114" spans="3:7">
      <c r="C114" s="10" t="s">
        <v>708</v>
      </c>
      <c r="D114" s="32" t="s">
        <v>284</v>
      </c>
      <c r="E114" s="14" t="s">
        <v>16</v>
      </c>
    </row>
    <row r="115" spans="3:7">
      <c r="C115" s="10" t="s">
        <v>709</v>
      </c>
      <c r="D115" s="32" t="s">
        <v>284</v>
      </c>
      <c r="E115" s="14" t="s">
        <v>16</v>
      </c>
    </row>
    <row r="116" spans="3:7">
      <c r="C116" s="10" t="s">
        <v>710</v>
      </c>
      <c r="D116" s="32" t="s">
        <v>284</v>
      </c>
      <c r="E116" s="14" t="s">
        <v>16</v>
      </c>
    </row>
    <row r="117" spans="3:7">
      <c r="C117" s="10" t="s">
        <v>711</v>
      </c>
      <c r="D117" s="32" t="s">
        <v>284</v>
      </c>
      <c r="E117" s="14" t="s">
        <v>16</v>
      </c>
    </row>
    <row r="118" spans="3:7">
      <c r="C118" s="10" t="s">
        <v>712</v>
      </c>
      <c r="D118" s="32" t="s">
        <v>284</v>
      </c>
      <c r="E118" s="14" t="s">
        <v>16</v>
      </c>
    </row>
    <row r="119" spans="3:7">
      <c r="C119" s="10" t="s">
        <v>713</v>
      </c>
      <c r="D119" s="32" t="s">
        <v>284</v>
      </c>
      <c r="E119" s="14" t="s">
        <v>16</v>
      </c>
    </row>
    <row r="120" spans="3:7">
      <c r="C120" s="10" t="s">
        <v>714</v>
      </c>
      <c r="D120" s="32" t="s">
        <v>284</v>
      </c>
      <c r="E120" s="14" t="s">
        <v>16</v>
      </c>
    </row>
    <row r="121" spans="3:7">
      <c r="C121" s="10" t="s">
        <v>715</v>
      </c>
      <c r="D121" s="32" t="s">
        <v>284</v>
      </c>
      <c r="E121" s="14" t="s">
        <v>16</v>
      </c>
    </row>
    <row r="122" spans="3:7">
      <c r="C122" s="10" t="s">
        <v>716</v>
      </c>
      <c r="D122" s="32" t="s">
        <v>284</v>
      </c>
      <c r="E122" s="14" t="s">
        <v>16</v>
      </c>
    </row>
    <row r="123" spans="3:7">
      <c r="C123" s="10" t="s">
        <v>717</v>
      </c>
      <c r="D123" s="32" t="s">
        <v>284</v>
      </c>
      <c r="E123" s="14" t="s">
        <v>16</v>
      </c>
    </row>
    <row r="124" spans="3:7">
      <c r="C124" s="10" t="s">
        <v>718</v>
      </c>
      <c r="D124" s="32" t="s">
        <v>284</v>
      </c>
      <c r="E124" s="14" t="s">
        <v>16</v>
      </c>
    </row>
    <row r="125" spans="3:7">
      <c r="C125" s="12" t="s">
        <v>94</v>
      </c>
      <c r="D125" s="12" t="s">
        <v>11</v>
      </c>
      <c r="E125" s="11" t="s">
        <v>16</v>
      </c>
      <c r="F125" s="13" t="s">
        <v>20</v>
      </c>
      <c r="G125" s="12" t="s">
        <v>30</v>
      </c>
    </row>
    <row r="126" spans="3:7">
      <c r="C126" s="12" t="s">
        <v>1</v>
      </c>
      <c r="D126" s="12" t="s">
        <v>37</v>
      </c>
      <c r="E126" s="11"/>
      <c r="F126" s="13"/>
      <c r="G126" s="12" t="s">
        <v>31</v>
      </c>
    </row>
    <row r="127" spans="3:7">
      <c r="C127" s="12" t="s">
        <v>19</v>
      </c>
      <c r="D127" s="12" t="s">
        <v>11</v>
      </c>
      <c r="E127" s="11" t="s">
        <v>16</v>
      </c>
      <c r="F127" s="13" t="s">
        <v>20</v>
      </c>
      <c r="G127" s="12" t="s">
        <v>32</v>
      </c>
    </row>
    <row r="128" spans="3:7">
      <c r="C128" s="12" t="s">
        <v>2</v>
      </c>
      <c r="D128" s="12" t="s">
        <v>37</v>
      </c>
      <c r="E128" s="11"/>
      <c r="F128" s="13"/>
      <c r="G128" s="12" t="s">
        <v>33</v>
      </c>
    </row>
  </sheetData>
  <phoneticPr fontId="3" type="noConversion"/>
  <hyperlinks>
    <hyperlink ref="A1" location="目錄!A1" display="回到目錄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8"/>
  <sheetViews>
    <sheetView workbookViewId="0"/>
  </sheetViews>
  <sheetFormatPr defaultColWidth="11.1796875" defaultRowHeight="13.8"/>
  <cols>
    <col min="1" max="1" width="7.453125" style="10" bestFit="1" customWidth="1"/>
    <col min="2" max="2" width="4.36328125" style="10" bestFit="1" customWidth="1"/>
    <col min="3" max="3" width="11.90625" style="10" bestFit="1" customWidth="1"/>
    <col min="4" max="4" width="11" style="10" bestFit="1" customWidth="1"/>
    <col min="5" max="5" width="7.54296875" style="14" bestFit="1" customWidth="1"/>
    <col min="6" max="6" width="10" style="15" bestFit="1" customWidth="1"/>
    <col min="7" max="7" width="10.6328125" style="10" bestFit="1" customWidth="1"/>
    <col min="8" max="8" width="28.08984375" style="10" bestFit="1" customWidth="1"/>
    <col min="9" max="9" width="10.08984375" style="10" bestFit="1" customWidth="1"/>
    <col min="10" max="12" width="4.54296875" style="15" bestFit="1" customWidth="1"/>
    <col min="13" max="13" width="13.81640625" style="14" bestFit="1" customWidth="1"/>
    <col min="14" max="16" width="6.6328125" style="14" customWidth="1"/>
    <col min="17" max="28" width="6.6328125" style="10" customWidth="1"/>
    <col min="29" max="32" width="14.453125" style="10" customWidth="1"/>
    <col min="33" max="16384" width="11.1796875" style="10"/>
  </cols>
  <sheetData>
    <row r="1" spans="1:19">
      <c r="A1" s="23" t="s">
        <v>36</v>
      </c>
      <c r="B1" s="5" t="s">
        <v>5</v>
      </c>
      <c r="C1" s="6" t="s">
        <v>3</v>
      </c>
      <c r="D1" s="6" t="s">
        <v>4</v>
      </c>
      <c r="E1" s="7" t="s">
        <v>6</v>
      </c>
      <c r="F1" s="9" t="s">
        <v>13</v>
      </c>
      <c r="G1" s="9" t="s">
        <v>7</v>
      </c>
      <c r="H1" s="9" t="s">
        <v>8</v>
      </c>
      <c r="I1" s="9" t="s">
        <v>467</v>
      </c>
      <c r="L1" s="72" t="s">
        <v>240</v>
      </c>
      <c r="M1" s="72" t="s">
        <v>4957</v>
      </c>
      <c r="N1" s="72" t="s">
        <v>470</v>
      </c>
      <c r="O1" s="72" t="s">
        <v>471</v>
      </c>
      <c r="P1" s="72" t="s">
        <v>472</v>
      </c>
      <c r="Q1" s="72" t="s">
        <v>473</v>
      </c>
      <c r="R1" s="72" t="s">
        <v>474</v>
      </c>
      <c r="S1" s="73" t="s">
        <v>475</v>
      </c>
    </row>
    <row r="2" spans="1:19">
      <c r="B2" s="11" t="s">
        <v>14</v>
      </c>
      <c r="C2" s="13" t="s">
        <v>80</v>
      </c>
      <c r="D2" s="18" t="s">
        <v>24</v>
      </c>
      <c r="E2" s="11"/>
      <c r="F2" s="12"/>
      <c r="G2" s="12" t="s">
        <v>81</v>
      </c>
      <c r="L2" s="36"/>
      <c r="M2" s="34"/>
      <c r="N2" s="36" t="str">
        <f>"EXEC sp_dropextendedproperty @name = N'MS_Description', @level0type=N'SCHEMA',@level0name=N'"&amp;$L$1&amp;"', @level1type=N'TABLE',@level1name=N'"&amp;$M$1&amp;"', @level2type=N'COLUMN',@level2name=N'"&amp;$C2&amp;"'"</f>
        <v>EXEC sp_dropextendedproperty @name = N'MS_Description', @level0type=N'SCHEMA',@level0name=N'dbo', @level1type=N'TABLE',@level1name=N'LifeInsActFactorMB', @level2type=N'COLUMN',@level2name=N'PlanCode'</v>
      </c>
      <c r="O2" s="36" t="str">
        <f>"EXEC sp_dropextendedproperty @name = N'Rule', @level0type=N'SCHEMA',@level0name=N'"&amp;$L$1&amp;"', @level1type=N'TABLE',@level1name=N'"&amp;$M$1&amp;"', @level2type=N'COLUMN',@level2name=N'"&amp;$C2&amp;"'"</f>
        <v>EXEC sp_dropextendedproperty @name = N'Rule', @level0type=N'SCHEMA',@level0name=N'dbo', @level1type=N'TABLE',@level1name=N'LifeInsActFactorMB', @level2type=N'COLUMN',@level2name=N'PlanCode'</v>
      </c>
      <c r="P2" s="36" t="str">
        <f>"EXEC sp_dropextendedproperty @name = N'Memo', @level0type=N'SCHEMA',@level0name=N'"&amp;$L$1&amp;"', @level1type=N'TABLE',@level1name=N'"&amp;$M$1&amp;"', @level2type=N'COLUMN',@level2name=N'"&amp;$C2&amp;"'"</f>
        <v>EXEC sp_dropextendedproperty @name = N'Memo', @level0type=N'SCHEMA',@level0name=N'dbo', @level1type=N'TABLE',@level1name=N'LifeInsActFactorMB', @level2type=N'COLUMN',@level2name=N'PlanCode'</v>
      </c>
      <c r="Q2" s="36" t="str">
        <f>"set @OldWording = N'"&amp;SUBSTITUTE($G2,CHAR(10),"")&amp;"'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@level2type=N'COLUMN',@level2name=N'"&amp;$C2&amp;"'"</f>
        <v>set @OldWording = N'險種代碼' set @NewWording = REPLACE(@OldWording,'***',char(13)+char(10)) EXEC sys.sp_addextendedproperty @name=N'MS_Description', @value=@NewWording , @level0type=N'SCHEMA',@level0name=N'dbo', @level1type=N'TABLE',@level1name=N'LifeInsActFactorMB', @level2type=N'COLUMN',@level2name=N'PlanCode'</v>
      </c>
      <c r="R2" s="32" t="str">
        <f>"set @OldWording = N'"&amp;SUBSTITUTE($H2,CHAR(10),"")&amp;"'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@name=N'Rule', @value=@NewWording , @level0type=N'SCHEMA',@level0name=N'dbo', @level1type=N'TABLE',@level1name=N'LifeInsActFactorMB', @level2type=N'COLUMN',@level2name=N'PlanCode'</v>
      </c>
      <c r="S2" s="36" t="str">
        <f>"set @OldWording = N'"&amp;SUBSTITUTE($I2,CHAR(10),"")&amp;"' set @NewWording = REPLACE(@OldWording,'***',char(13)+char(10)) "&amp;"EXEC sys.sp_addextendedproperty @name=N'Memo',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@name=N'Memo', @value=@NewWording , @level0type=N'SCHEMA',@level0name=N'dbo', @level1type=N'TABLE',@level1name=N'LifeInsActFactorMB', @level2type=N'COLUMN',@level2name=N'PlanCode'</v>
      </c>
    </row>
    <row r="3" spans="1:19" ht="27.6">
      <c r="B3" s="11" t="s">
        <v>14</v>
      </c>
      <c r="C3" s="15" t="s">
        <v>3728</v>
      </c>
      <c r="D3" s="15" t="s">
        <v>21</v>
      </c>
      <c r="F3" s="10"/>
      <c r="G3" s="10" t="s">
        <v>78</v>
      </c>
      <c r="H3" s="16" t="s">
        <v>3652</v>
      </c>
      <c r="I3" s="16"/>
    </row>
    <row r="4" spans="1:19">
      <c r="B4" s="11" t="s">
        <v>14</v>
      </c>
      <c r="C4" s="12" t="s">
        <v>86</v>
      </c>
      <c r="D4" s="12" t="s">
        <v>34</v>
      </c>
      <c r="F4" s="13"/>
      <c r="G4" s="12" t="s">
        <v>87</v>
      </c>
    </row>
    <row r="5" spans="1:19">
      <c r="B5" s="11" t="s">
        <v>14</v>
      </c>
      <c r="C5" s="12" t="s">
        <v>50</v>
      </c>
      <c r="D5" s="12" t="s">
        <v>21</v>
      </c>
      <c r="F5" s="13"/>
      <c r="G5" s="12" t="s">
        <v>52</v>
      </c>
      <c r="H5" s="16" t="s">
        <v>493</v>
      </c>
      <c r="I5" s="27" t="s">
        <v>267</v>
      </c>
    </row>
    <row r="6" spans="1:19">
      <c r="B6" s="11" t="s">
        <v>14</v>
      </c>
      <c r="C6" s="10" t="s">
        <v>3593</v>
      </c>
      <c r="D6" s="12" t="s">
        <v>23</v>
      </c>
      <c r="F6" s="13"/>
      <c r="G6" s="10" t="s">
        <v>3594</v>
      </c>
    </row>
    <row r="7" spans="1:19">
      <c r="B7" s="11"/>
      <c r="C7" s="29" t="s">
        <v>3730</v>
      </c>
      <c r="D7" s="29" t="s">
        <v>126</v>
      </c>
      <c r="E7" s="28"/>
      <c r="F7" s="22"/>
      <c r="G7" s="22" t="s">
        <v>125</v>
      </c>
      <c r="H7" s="27" t="s">
        <v>3591</v>
      </c>
    </row>
    <row r="8" spans="1:19">
      <c r="B8" s="11"/>
      <c r="C8" s="29" t="s">
        <v>123</v>
      </c>
      <c r="D8" s="29" t="s">
        <v>126</v>
      </c>
      <c r="E8" s="28"/>
      <c r="F8" s="22"/>
      <c r="G8" s="22" t="s">
        <v>124</v>
      </c>
      <c r="H8" s="27" t="s">
        <v>3591</v>
      </c>
    </row>
    <row r="9" spans="1:19">
      <c r="B9" s="11"/>
      <c r="C9" s="10" t="s">
        <v>603</v>
      </c>
      <c r="D9" s="32" t="s">
        <v>285</v>
      </c>
      <c r="E9" s="14" t="s">
        <v>16</v>
      </c>
      <c r="F9" s="22"/>
      <c r="G9" s="22"/>
      <c r="H9" s="27"/>
    </row>
    <row r="10" spans="1:19">
      <c r="C10" s="10" t="s">
        <v>604</v>
      </c>
      <c r="D10" s="32" t="s">
        <v>285</v>
      </c>
      <c r="E10" s="14" t="s">
        <v>16</v>
      </c>
      <c r="F10" s="13"/>
      <c r="H10" s="16"/>
      <c r="I10" s="16"/>
    </row>
    <row r="11" spans="1:19">
      <c r="C11" s="10" t="s">
        <v>605</v>
      </c>
      <c r="D11" s="32" t="s">
        <v>285</v>
      </c>
      <c r="E11" s="14" t="s">
        <v>16</v>
      </c>
      <c r="F11" s="13"/>
    </row>
    <row r="12" spans="1:19">
      <c r="C12" s="10" t="s">
        <v>606</v>
      </c>
      <c r="D12" s="32" t="s">
        <v>284</v>
      </c>
      <c r="E12" s="14" t="s">
        <v>16</v>
      </c>
      <c r="F12" s="13"/>
    </row>
    <row r="13" spans="1:19">
      <c r="C13" s="10" t="s">
        <v>607</v>
      </c>
      <c r="D13" s="32" t="s">
        <v>284</v>
      </c>
      <c r="E13" s="14" t="s">
        <v>16</v>
      </c>
      <c r="F13" s="13"/>
    </row>
    <row r="14" spans="1:19">
      <c r="C14" s="10" t="s">
        <v>608</v>
      </c>
      <c r="D14" s="32" t="s">
        <v>284</v>
      </c>
      <c r="E14" s="14" t="s">
        <v>16</v>
      </c>
      <c r="F14" s="13"/>
    </row>
    <row r="15" spans="1:19">
      <c r="C15" s="10" t="s">
        <v>609</v>
      </c>
      <c r="D15" s="32" t="s">
        <v>284</v>
      </c>
      <c r="E15" s="14" t="s">
        <v>16</v>
      </c>
      <c r="F15" s="13"/>
    </row>
    <row r="16" spans="1:19">
      <c r="C16" s="10" t="s">
        <v>610</v>
      </c>
      <c r="D16" s="32" t="s">
        <v>284</v>
      </c>
      <c r="E16" s="14" t="s">
        <v>16</v>
      </c>
      <c r="F16" s="13"/>
    </row>
    <row r="17" spans="3:6">
      <c r="C17" s="10" t="s">
        <v>611</v>
      </c>
      <c r="D17" s="32" t="s">
        <v>284</v>
      </c>
      <c r="E17" s="14" t="s">
        <v>16</v>
      </c>
      <c r="F17" s="13"/>
    </row>
    <row r="18" spans="3:6">
      <c r="C18" s="10" t="s">
        <v>612</v>
      </c>
      <c r="D18" s="32" t="s">
        <v>284</v>
      </c>
      <c r="E18" s="14" t="s">
        <v>16</v>
      </c>
      <c r="F18" s="13"/>
    </row>
    <row r="19" spans="3:6">
      <c r="C19" s="10" t="s">
        <v>613</v>
      </c>
      <c r="D19" s="32" t="s">
        <v>284</v>
      </c>
      <c r="E19" s="14" t="s">
        <v>16</v>
      </c>
      <c r="F19" s="13"/>
    </row>
    <row r="20" spans="3:6">
      <c r="C20" s="10" t="s">
        <v>614</v>
      </c>
      <c r="D20" s="32" t="s">
        <v>284</v>
      </c>
      <c r="E20" s="14" t="s">
        <v>16</v>
      </c>
      <c r="F20" s="13"/>
    </row>
    <row r="21" spans="3:6">
      <c r="C21" s="10" t="s">
        <v>615</v>
      </c>
      <c r="D21" s="32" t="s">
        <v>284</v>
      </c>
      <c r="E21" s="14" t="s">
        <v>16</v>
      </c>
      <c r="F21" s="13"/>
    </row>
    <row r="22" spans="3:6">
      <c r="C22" s="10" t="s">
        <v>616</v>
      </c>
      <c r="D22" s="32" t="s">
        <v>284</v>
      </c>
      <c r="E22" s="14" t="s">
        <v>16</v>
      </c>
      <c r="F22" s="13"/>
    </row>
    <row r="23" spans="3:6">
      <c r="C23" s="10" t="s">
        <v>617</v>
      </c>
      <c r="D23" s="32" t="s">
        <v>284</v>
      </c>
      <c r="E23" s="14" t="s">
        <v>16</v>
      </c>
      <c r="F23" s="13"/>
    </row>
    <row r="24" spans="3:6">
      <c r="C24" s="10" t="s">
        <v>618</v>
      </c>
      <c r="D24" s="32" t="s">
        <v>284</v>
      </c>
      <c r="E24" s="14" t="s">
        <v>16</v>
      </c>
      <c r="F24" s="13"/>
    </row>
    <row r="25" spans="3:6">
      <c r="C25" s="10" t="s">
        <v>619</v>
      </c>
      <c r="D25" s="32" t="s">
        <v>284</v>
      </c>
      <c r="E25" s="14" t="s">
        <v>16</v>
      </c>
      <c r="F25" s="13"/>
    </row>
    <row r="26" spans="3:6">
      <c r="C26" s="10" t="s">
        <v>620</v>
      </c>
      <c r="D26" s="32" t="s">
        <v>284</v>
      </c>
      <c r="E26" s="14" t="s">
        <v>16</v>
      </c>
      <c r="F26" s="13"/>
    </row>
    <row r="27" spans="3:6">
      <c r="C27" s="10" t="s">
        <v>621</v>
      </c>
      <c r="D27" s="32" t="s">
        <v>284</v>
      </c>
      <c r="E27" s="14" t="s">
        <v>16</v>
      </c>
      <c r="F27" s="13"/>
    </row>
    <row r="28" spans="3:6">
      <c r="C28" s="10" t="s">
        <v>622</v>
      </c>
      <c r="D28" s="32" t="s">
        <v>284</v>
      </c>
      <c r="E28" s="14" t="s">
        <v>16</v>
      </c>
      <c r="F28" s="13"/>
    </row>
    <row r="29" spans="3:6">
      <c r="C29" s="10" t="s">
        <v>623</v>
      </c>
      <c r="D29" s="32" t="s">
        <v>284</v>
      </c>
      <c r="E29" s="14" t="s">
        <v>16</v>
      </c>
      <c r="F29" s="13"/>
    </row>
    <row r="30" spans="3:6">
      <c r="C30" s="10" t="s">
        <v>624</v>
      </c>
      <c r="D30" s="32" t="s">
        <v>284</v>
      </c>
      <c r="E30" s="14" t="s">
        <v>16</v>
      </c>
      <c r="F30" s="13"/>
    </row>
    <row r="31" spans="3:6">
      <c r="C31" s="10" t="s">
        <v>625</v>
      </c>
      <c r="D31" s="32" t="s">
        <v>284</v>
      </c>
      <c r="E31" s="14" t="s">
        <v>16</v>
      </c>
      <c r="F31" s="13"/>
    </row>
    <row r="32" spans="3:6">
      <c r="C32" s="10" t="s">
        <v>626</v>
      </c>
      <c r="D32" s="32" t="s">
        <v>284</v>
      </c>
      <c r="E32" s="14" t="s">
        <v>16</v>
      </c>
      <c r="F32" s="13"/>
    </row>
    <row r="33" spans="3:6">
      <c r="C33" s="10" t="s">
        <v>627</v>
      </c>
      <c r="D33" s="32" t="s">
        <v>284</v>
      </c>
      <c r="E33" s="14" t="s">
        <v>16</v>
      </c>
      <c r="F33" s="13"/>
    </row>
    <row r="34" spans="3:6">
      <c r="C34" s="10" t="s">
        <v>628</v>
      </c>
      <c r="D34" s="32" t="s">
        <v>284</v>
      </c>
      <c r="E34" s="14" t="s">
        <v>16</v>
      </c>
      <c r="F34" s="13"/>
    </row>
    <row r="35" spans="3:6">
      <c r="C35" s="10" t="s">
        <v>629</v>
      </c>
      <c r="D35" s="32" t="s">
        <v>284</v>
      </c>
      <c r="E35" s="14" t="s">
        <v>16</v>
      </c>
      <c r="F35" s="13"/>
    </row>
    <row r="36" spans="3:6">
      <c r="C36" s="10" t="s">
        <v>630</v>
      </c>
      <c r="D36" s="32" t="s">
        <v>284</v>
      </c>
      <c r="E36" s="14" t="s">
        <v>16</v>
      </c>
      <c r="F36" s="13"/>
    </row>
    <row r="37" spans="3:6">
      <c r="C37" s="10" t="s">
        <v>631</v>
      </c>
      <c r="D37" s="32" t="s">
        <v>284</v>
      </c>
      <c r="E37" s="14" t="s">
        <v>16</v>
      </c>
      <c r="F37" s="13"/>
    </row>
    <row r="38" spans="3:6">
      <c r="C38" s="10" t="s">
        <v>632</v>
      </c>
      <c r="D38" s="32" t="s">
        <v>284</v>
      </c>
      <c r="E38" s="14" t="s">
        <v>16</v>
      </c>
      <c r="F38" s="13"/>
    </row>
    <row r="39" spans="3:6">
      <c r="C39" s="10" t="s">
        <v>633</v>
      </c>
      <c r="D39" s="32" t="s">
        <v>284</v>
      </c>
      <c r="E39" s="14" t="s">
        <v>16</v>
      </c>
      <c r="F39" s="13"/>
    </row>
    <row r="40" spans="3:6">
      <c r="C40" s="10" t="s">
        <v>634</v>
      </c>
      <c r="D40" s="32" t="s">
        <v>284</v>
      </c>
      <c r="E40" s="14" t="s">
        <v>16</v>
      </c>
      <c r="F40" s="13"/>
    </row>
    <row r="41" spans="3:6">
      <c r="C41" s="10" t="s">
        <v>635</v>
      </c>
      <c r="D41" s="32" t="s">
        <v>284</v>
      </c>
      <c r="E41" s="14" t="s">
        <v>16</v>
      </c>
      <c r="F41" s="13"/>
    </row>
    <row r="42" spans="3:6">
      <c r="C42" s="10" t="s">
        <v>636</v>
      </c>
      <c r="D42" s="32" t="s">
        <v>284</v>
      </c>
      <c r="E42" s="14" t="s">
        <v>16</v>
      </c>
      <c r="F42" s="13"/>
    </row>
    <row r="43" spans="3:6">
      <c r="C43" s="10" t="s">
        <v>637</v>
      </c>
      <c r="D43" s="32" t="s">
        <v>284</v>
      </c>
      <c r="E43" s="14" t="s">
        <v>16</v>
      </c>
      <c r="F43" s="13"/>
    </row>
    <row r="44" spans="3:6">
      <c r="C44" s="10" t="s">
        <v>638</v>
      </c>
      <c r="D44" s="32" t="s">
        <v>284</v>
      </c>
      <c r="E44" s="14" t="s">
        <v>16</v>
      </c>
      <c r="F44" s="13"/>
    </row>
    <row r="45" spans="3:6">
      <c r="C45" s="10" t="s">
        <v>639</v>
      </c>
      <c r="D45" s="32" t="s">
        <v>284</v>
      </c>
      <c r="E45" s="14" t="s">
        <v>16</v>
      </c>
      <c r="F45" s="13"/>
    </row>
    <row r="46" spans="3:6">
      <c r="C46" s="10" t="s">
        <v>640</v>
      </c>
      <c r="D46" s="32" t="s">
        <v>284</v>
      </c>
      <c r="E46" s="14" t="s">
        <v>16</v>
      </c>
      <c r="F46" s="13"/>
    </row>
    <row r="47" spans="3:6">
      <c r="C47" s="10" t="s">
        <v>641</v>
      </c>
      <c r="D47" s="32" t="s">
        <v>284</v>
      </c>
      <c r="E47" s="14" t="s">
        <v>16</v>
      </c>
      <c r="F47" s="13"/>
    </row>
    <row r="48" spans="3:6">
      <c r="C48" s="10" t="s">
        <v>642</v>
      </c>
      <c r="D48" s="32" t="s">
        <v>284</v>
      </c>
      <c r="E48" s="14" t="s">
        <v>16</v>
      </c>
      <c r="F48" s="13"/>
    </row>
    <row r="49" spans="3:6">
      <c r="C49" s="10" t="s">
        <v>643</v>
      </c>
      <c r="D49" s="32" t="s">
        <v>284</v>
      </c>
      <c r="E49" s="14" t="s">
        <v>16</v>
      </c>
      <c r="F49" s="13"/>
    </row>
    <row r="50" spans="3:6">
      <c r="C50" s="10" t="s">
        <v>644</v>
      </c>
      <c r="D50" s="32" t="s">
        <v>284</v>
      </c>
      <c r="E50" s="14" t="s">
        <v>16</v>
      </c>
      <c r="F50" s="13"/>
    </row>
    <row r="51" spans="3:6">
      <c r="C51" s="10" t="s">
        <v>645</v>
      </c>
      <c r="D51" s="32" t="s">
        <v>284</v>
      </c>
      <c r="E51" s="14" t="s">
        <v>16</v>
      </c>
      <c r="F51" s="13"/>
    </row>
    <row r="52" spans="3:6">
      <c r="C52" s="10" t="s">
        <v>646</v>
      </c>
      <c r="D52" s="32" t="s">
        <v>284</v>
      </c>
      <c r="E52" s="14" t="s">
        <v>16</v>
      </c>
      <c r="F52" s="13"/>
    </row>
    <row r="53" spans="3:6">
      <c r="C53" s="10" t="s">
        <v>647</v>
      </c>
      <c r="D53" s="32" t="s">
        <v>284</v>
      </c>
      <c r="E53" s="14" t="s">
        <v>16</v>
      </c>
      <c r="F53" s="13"/>
    </row>
    <row r="54" spans="3:6">
      <c r="C54" s="10" t="s">
        <v>648</v>
      </c>
      <c r="D54" s="32" t="s">
        <v>284</v>
      </c>
      <c r="E54" s="14" t="s">
        <v>16</v>
      </c>
      <c r="F54" s="13"/>
    </row>
    <row r="55" spans="3:6">
      <c r="C55" s="10" t="s">
        <v>649</v>
      </c>
      <c r="D55" s="32" t="s">
        <v>284</v>
      </c>
      <c r="E55" s="14" t="s">
        <v>16</v>
      </c>
      <c r="F55" s="13"/>
    </row>
    <row r="56" spans="3:6">
      <c r="C56" s="10" t="s">
        <v>650</v>
      </c>
      <c r="D56" s="32" t="s">
        <v>284</v>
      </c>
      <c r="E56" s="14" t="s">
        <v>16</v>
      </c>
      <c r="F56" s="13"/>
    </row>
    <row r="57" spans="3:6">
      <c r="C57" s="10" t="s">
        <v>651</v>
      </c>
      <c r="D57" s="32" t="s">
        <v>284</v>
      </c>
      <c r="E57" s="14" t="s">
        <v>16</v>
      </c>
      <c r="F57" s="13"/>
    </row>
    <row r="58" spans="3:6">
      <c r="C58" s="10" t="s">
        <v>652</v>
      </c>
      <c r="D58" s="32" t="s">
        <v>284</v>
      </c>
      <c r="E58" s="14" t="s">
        <v>16</v>
      </c>
      <c r="F58" s="13"/>
    </row>
    <row r="59" spans="3:6">
      <c r="C59" s="10" t="s">
        <v>653</v>
      </c>
      <c r="D59" s="32" t="s">
        <v>284</v>
      </c>
      <c r="E59" s="14" t="s">
        <v>16</v>
      </c>
      <c r="F59" s="13"/>
    </row>
    <row r="60" spans="3:6">
      <c r="C60" s="10" t="s">
        <v>654</v>
      </c>
      <c r="D60" s="32" t="s">
        <v>284</v>
      </c>
      <c r="E60" s="14" t="s">
        <v>16</v>
      </c>
      <c r="F60" s="13"/>
    </row>
    <row r="61" spans="3:6">
      <c r="C61" s="10" t="s">
        <v>655</v>
      </c>
      <c r="D61" s="32" t="s">
        <v>284</v>
      </c>
      <c r="E61" s="14" t="s">
        <v>16</v>
      </c>
      <c r="F61" s="13"/>
    </row>
    <row r="62" spans="3:6">
      <c r="C62" s="10" t="s">
        <v>656</v>
      </c>
      <c r="D62" s="32" t="s">
        <v>284</v>
      </c>
      <c r="E62" s="14" t="s">
        <v>16</v>
      </c>
      <c r="F62" s="13"/>
    </row>
    <row r="63" spans="3:6">
      <c r="C63" s="10" t="s">
        <v>657</v>
      </c>
      <c r="D63" s="32" t="s">
        <v>284</v>
      </c>
      <c r="E63" s="14" t="s">
        <v>16</v>
      </c>
      <c r="F63" s="13"/>
    </row>
    <row r="64" spans="3:6">
      <c r="C64" s="10" t="s">
        <v>658</v>
      </c>
      <c r="D64" s="32" t="s">
        <v>284</v>
      </c>
      <c r="E64" s="14" t="s">
        <v>16</v>
      </c>
      <c r="F64" s="13"/>
    </row>
    <row r="65" spans="3:6">
      <c r="C65" s="10" t="s">
        <v>659</v>
      </c>
      <c r="D65" s="32" t="s">
        <v>284</v>
      </c>
      <c r="E65" s="14" t="s">
        <v>16</v>
      </c>
      <c r="F65" s="13"/>
    </row>
    <row r="66" spans="3:6">
      <c r="C66" s="10" t="s">
        <v>660</v>
      </c>
      <c r="D66" s="32" t="s">
        <v>284</v>
      </c>
      <c r="E66" s="14" t="s">
        <v>16</v>
      </c>
      <c r="F66" s="13"/>
    </row>
    <row r="67" spans="3:6">
      <c r="C67" s="10" t="s">
        <v>661</v>
      </c>
      <c r="D67" s="32" t="s">
        <v>284</v>
      </c>
      <c r="E67" s="14" t="s">
        <v>16</v>
      </c>
      <c r="F67" s="13"/>
    </row>
    <row r="68" spans="3:6">
      <c r="C68" s="10" t="s">
        <v>662</v>
      </c>
      <c r="D68" s="32" t="s">
        <v>284</v>
      </c>
      <c r="E68" s="14" t="s">
        <v>16</v>
      </c>
      <c r="F68" s="13"/>
    </row>
    <row r="69" spans="3:6">
      <c r="C69" s="10" t="s">
        <v>663</v>
      </c>
      <c r="D69" s="32" t="s">
        <v>284</v>
      </c>
      <c r="E69" s="14" t="s">
        <v>16</v>
      </c>
      <c r="F69" s="13"/>
    </row>
    <row r="70" spans="3:6">
      <c r="C70" s="10" t="s">
        <v>664</v>
      </c>
      <c r="D70" s="32" t="s">
        <v>284</v>
      </c>
      <c r="E70" s="14" t="s">
        <v>16</v>
      </c>
      <c r="F70" s="13"/>
    </row>
    <row r="71" spans="3:6">
      <c r="C71" s="10" t="s">
        <v>665</v>
      </c>
      <c r="D71" s="32" t="s">
        <v>284</v>
      </c>
      <c r="E71" s="14" t="s">
        <v>16</v>
      </c>
      <c r="F71" s="13"/>
    </row>
    <row r="72" spans="3:6">
      <c r="C72" s="10" t="s">
        <v>666</v>
      </c>
      <c r="D72" s="32" t="s">
        <v>284</v>
      </c>
      <c r="E72" s="14" t="s">
        <v>16</v>
      </c>
      <c r="F72" s="13"/>
    </row>
    <row r="73" spans="3:6">
      <c r="C73" s="10" t="s">
        <v>667</v>
      </c>
      <c r="D73" s="32" t="s">
        <v>284</v>
      </c>
      <c r="E73" s="14" t="s">
        <v>16</v>
      </c>
      <c r="F73" s="13"/>
    </row>
    <row r="74" spans="3:6">
      <c r="C74" s="10" t="s">
        <v>668</v>
      </c>
      <c r="D74" s="32" t="s">
        <v>284</v>
      </c>
      <c r="E74" s="14" t="s">
        <v>16</v>
      </c>
      <c r="F74" s="13"/>
    </row>
    <row r="75" spans="3:6">
      <c r="C75" s="10" t="s">
        <v>669</v>
      </c>
      <c r="D75" s="32" t="s">
        <v>284</v>
      </c>
      <c r="E75" s="14" t="s">
        <v>16</v>
      </c>
      <c r="F75" s="13"/>
    </row>
    <row r="76" spans="3:6">
      <c r="C76" s="10" t="s">
        <v>670</v>
      </c>
      <c r="D76" s="32" t="s">
        <v>284</v>
      </c>
      <c r="E76" s="14" t="s">
        <v>16</v>
      </c>
      <c r="F76" s="13"/>
    </row>
    <row r="77" spans="3:6">
      <c r="C77" s="10" t="s">
        <v>671</v>
      </c>
      <c r="D77" s="32" t="s">
        <v>284</v>
      </c>
      <c r="E77" s="14" t="s">
        <v>16</v>
      </c>
      <c r="F77" s="13"/>
    </row>
    <row r="78" spans="3:6">
      <c r="C78" s="10" t="s">
        <v>672</v>
      </c>
      <c r="D78" s="32" t="s">
        <v>284</v>
      </c>
      <c r="E78" s="14" t="s">
        <v>16</v>
      </c>
      <c r="F78" s="13"/>
    </row>
    <row r="79" spans="3:6">
      <c r="C79" s="10" t="s">
        <v>673</v>
      </c>
      <c r="D79" s="32" t="s">
        <v>284</v>
      </c>
      <c r="E79" s="14" t="s">
        <v>16</v>
      </c>
      <c r="F79" s="13"/>
    </row>
    <row r="80" spans="3:6">
      <c r="C80" s="10" t="s">
        <v>674</v>
      </c>
      <c r="D80" s="32" t="s">
        <v>284</v>
      </c>
      <c r="E80" s="14" t="s">
        <v>16</v>
      </c>
      <c r="F80" s="13"/>
    </row>
    <row r="81" spans="3:6">
      <c r="C81" s="10" t="s">
        <v>675</v>
      </c>
      <c r="D81" s="32" t="s">
        <v>284</v>
      </c>
      <c r="E81" s="14" t="s">
        <v>16</v>
      </c>
      <c r="F81" s="13"/>
    </row>
    <row r="82" spans="3:6">
      <c r="C82" s="10" t="s">
        <v>676</v>
      </c>
      <c r="D82" s="32" t="s">
        <v>284</v>
      </c>
      <c r="E82" s="14" t="s">
        <v>16</v>
      </c>
      <c r="F82" s="13"/>
    </row>
    <row r="83" spans="3:6">
      <c r="C83" s="10" t="s">
        <v>677</v>
      </c>
      <c r="D83" s="32" t="s">
        <v>284</v>
      </c>
      <c r="E83" s="14" t="s">
        <v>16</v>
      </c>
      <c r="F83" s="13"/>
    </row>
    <row r="84" spans="3:6">
      <c r="C84" s="10" t="s">
        <v>678</v>
      </c>
      <c r="D84" s="32" t="s">
        <v>284</v>
      </c>
      <c r="E84" s="14" t="s">
        <v>16</v>
      </c>
      <c r="F84" s="13"/>
    </row>
    <row r="85" spans="3:6">
      <c r="C85" s="10" t="s">
        <v>679</v>
      </c>
      <c r="D85" s="32" t="s">
        <v>284</v>
      </c>
      <c r="E85" s="14" t="s">
        <v>16</v>
      </c>
      <c r="F85" s="13"/>
    </row>
    <row r="86" spans="3:6">
      <c r="C86" s="10" t="s">
        <v>680</v>
      </c>
      <c r="D86" s="32" t="s">
        <v>284</v>
      </c>
      <c r="E86" s="14" t="s">
        <v>16</v>
      </c>
      <c r="F86" s="13"/>
    </row>
    <row r="87" spans="3:6">
      <c r="C87" s="10" t="s">
        <v>681</v>
      </c>
      <c r="D87" s="32" t="s">
        <v>284</v>
      </c>
      <c r="E87" s="14" t="s">
        <v>16</v>
      </c>
      <c r="F87" s="13"/>
    </row>
    <row r="88" spans="3:6">
      <c r="C88" s="10" t="s">
        <v>682</v>
      </c>
      <c r="D88" s="32" t="s">
        <v>284</v>
      </c>
      <c r="E88" s="14" t="s">
        <v>16</v>
      </c>
      <c r="F88" s="13"/>
    </row>
    <row r="89" spans="3:6">
      <c r="C89" s="10" t="s">
        <v>683</v>
      </c>
      <c r="D89" s="32" t="s">
        <v>284</v>
      </c>
      <c r="E89" s="14" t="s">
        <v>16</v>
      </c>
      <c r="F89" s="13"/>
    </row>
    <row r="90" spans="3:6">
      <c r="C90" s="10" t="s">
        <v>684</v>
      </c>
      <c r="D90" s="32" t="s">
        <v>284</v>
      </c>
      <c r="E90" s="14" t="s">
        <v>16</v>
      </c>
      <c r="F90" s="13"/>
    </row>
    <row r="91" spans="3:6">
      <c r="C91" s="10" t="s">
        <v>685</v>
      </c>
      <c r="D91" s="32" t="s">
        <v>284</v>
      </c>
      <c r="E91" s="14" t="s">
        <v>16</v>
      </c>
      <c r="F91" s="13"/>
    </row>
    <row r="92" spans="3:6">
      <c r="C92" s="10" t="s">
        <v>686</v>
      </c>
      <c r="D92" s="32" t="s">
        <v>284</v>
      </c>
      <c r="E92" s="14" t="s">
        <v>16</v>
      </c>
      <c r="F92" s="13"/>
    </row>
    <row r="93" spans="3:6">
      <c r="C93" s="10" t="s">
        <v>687</v>
      </c>
      <c r="D93" s="32" t="s">
        <v>284</v>
      </c>
      <c r="E93" s="14" t="s">
        <v>16</v>
      </c>
      <c r="F93" s="13"/>
    </row>
    <row r="94" spans="3:6">
      <c r="C94" s="10" t="s">
        <v>688</v>
      </c>
      <c r="D94" s="32" t="s">
        <v>284</v>
      </c>
      <c r="E94" s="14" t="s">
        <v>16</v>
      </c>
      <c r="F94" s="13"/>
    </row>
    <row r="95" spans="3:6">
      <c r="C95" s="10" t="s">
        <v>689</v>
      </c>
      <c r="D95" s="32" t="s">
        <v>284</v>
      </c>
      <c r="E95" s="14" t="s">
        <v>16</v>
      </c>
      <c r="F95" s="13"/>
    </row>
    <row r="96" spans="3:6">
      <c r="C96" s="10" t="s">
        <v>690</v>
      </c>
      <c r="D96" s="32" t="s">
        <v>284</v>
      </c>
      <c r="E96" s="14" t="s">
        <v>16</v>
      </c>
      <c r="F96" s="13"/>
    </row>
    <row r="97" spans="3:6">
      <c r="C97" s="10" t="s">
        <v>691</v>
      </c>
      <c r="D97" s="32" t="s">
        <v>284</v>
      </c>
      <c r="E97" s="14" t="s">
        <v>16</v>
      </c>
      <c r="F97" s="13"/>
    </row>
    <row r="98" spans="3:6">
      <c r="C98" s="10" t="s">
        <v>692</v>
      </c>
      <c r="D98" s="32" t="s">
        <v>284</v>
      </c>
      <c r="E98" s="14" t="s">
        <v>16</v>
      </c>
      <c r="F98" s="13"/>
    </row>
    <row r="99" spans="3:6">
      <c r="C99" s="10" t="s">
        <v>693</v>
      </c>
      <c r="D99" s="32" t="s">
        <v>284</v>
      </c>
      <c r="E99" s="14" t="s">
        <v>16</v>
      </c>
    </row>
    <row r="100" spans="3:6">
      <c r="C100" s="10" t="s">
        <v>694</v>
      </c>
      <c r="D100" s="32" t="s">
        <v>284</v>
      </c>
      <c r="E100" s="14" t="s">
        <v>16</v>
      </c>
    </row>
    <row r="101" spans="3:6">
      <c r="C101" s="10" t="s">
        <v>695</v>
      </c>
      <c r="D101" s="32" t="s">
        <v>284</v>
      </c>
      <c r="E101" s="14" t="s">
        <v>16</v>
      </c>
    </row>
    <row r="102" spans="3:6">
      <c r="C102" s="10" t="s">
        <v>696</v>
      </c>
      <c r="D102" s="32" t="s">
        <v>284</v>
      </c>
      <c r="E102" s="14" t="s">
        <v>16</v>
      </c>
    </row>
    <row r="103" spans="3:6">
      <c r="C103" s="10" t="s">
        <v>697</v>
      </c>
      <c r="D103" s="32" t="s">
        <v>284</v>
      </c>
      <c r="E103" s="14" t="s">
        <v>16</v>
      </c>
    </row>
    <row r="104" spans="3:6">
      <c r="C104" s="10" t="s">
        <v>698</v>
      </c>
      <c r="D104" s="32" t="s">
        <v>284</v>
      </c>
      <c r="E104" s="14" t="s">
        <v>16</v>
      </c>
    </row>
    <row r="105" spans="3:6">
      <c r="C105" s="10" t="s">
        <v>699</v>
      </c>
      <c r="D105" s="32" t="s">
        <v>284</v>
      </c>
      <c r="E105" s="14" t="s">
        <v>16</v>
      </c>
    </row>
    <row r="106" spans="3:6">
      <c r="C106" s="10" t="s">
        <v>700</v>
      </c>
      <c r="D106" s="32" t="s">
        <v>284</v>
      </c>
      <c r="E106" s="14" t="s">
        <v>16</v>
      </c>
    </row>
    <row r="107" spans="3:6">
      <c r="C107" s="10" t="s">
        <v>701</v>
      </c>
      <c r="D107" s="32" t="s">
        <v>284</v>
      </c>
      <c r="E107" s="14" t="s">
        <v>16</v>
      </c>
    </row>
    <row r="108" spans="3:6">
      <c r="C108" s="10" t="s">
        <v>702</v>
      </c>
      <c r="D108" s="32" t="s">
        <v>284</v>
      </c>
      <c r="E108" s="14" t="s">
        <v>16</v>
      </c>
    </row>
    <row r="109" spans="3:6">
      <c r="C109" s="10" t="s">
        <v>703</v>
      </c>
      <c r="D109" s="32" t="s">
        <v>284</v>
      </c>
      <c r="E109" s="14" t="s">
        <v>16</v>
      </c>
    </row>
    <row r="110" spans="3:6">
      <c r="C110" s="10" t="s">
        <v>704</v>
      </c>
      <c r="D110" s="32" t="s">
        <v>284</v>
      </c>
      <c r="E110" s="14" t="s">
        <v>16</v>
      </c>
    </row>
    <row r="111" spans="3:6">
      <c r="C111" s="10" t="s">
        <v>705</v>
      </c>
      <c r="D111" s="32" t="s">
        <v>284</v>
      </c>
      <c r="E111" s="14" t="s">
        <v>16</v>
      </c>
    </row>
    <row r="112" spans="3:6">
      <c r="C112" s="10" t="s">
        <v>706</v>
      </c>
      <c r="D112" s="32" t="s">
        <v>284</v>
      </c>
      <c r="E112" s="14" t="s">
        <v>16</v>
      </c>
    </row>
    <row r="113" spans="3:7">
      <c r="C113" s="10" t="s">
        <v>707</v>
      </c>
      <c r="D113" s="32" t="s">
        <v>284</v>
      </c>
      <c r="E113" s="14" t="s">
        <v>16</v>
      </c>
    </row>
    <row r="114" spans="3:7">
      <c r="C114" s="10" t="s">
        <v>708</v>
      </c>
      <c r="D114" s="32" t="s">
        <v>284</v>
      </c>
      <c r="E114" s="14" t="s">
        <v>16</v>
      </c>
    </row>
    <row r="115" spans="3:7">
      <c r="C115" s="10" t="s">
        <v>709</v>
      </c>
      <c r="D115" s="32" t="s">
        <v>284</v>
      </c>
      <c r="E115" s="14" t="s">
        <v>16</v>
      </c>
    </row>
    <row r="116" spans="3:7">
      <c r="C116" s="10" t="s">
        <v>710</v>
      </c>
      <c r="D116" s="32" t="s">
        <v>284</v>
      </c>
      <c r="E116" s="14" t="s">
        <v>16</v>
      </c>
    </row>
    <row r="117" spans="3:7">
      <c r="C117" s="10" t="s">
        <v>711</v>
      </c>
      <c r="D117" s="32" t="s">
        <v>284</v>
      </c>
      <c r="E117" s="14" t="s">
        <v>16</v>
      </c>
    </row>
    <row r="118" spans="3:7">
      <c r="C118" s="10" t="s">
        <v>712</v>
      </c>
      <c r="D118" s="32" t="s">
        <v>284</v>
      </c>
      <c r="E118" s="14" t="s">
        <v>16</v>
      </c>
    </row>
    <row r="119" spans="3:7">
      <c r="C119" s="10" t="s">
        <v>713</v>
      </c>
      <c r="D119" s="32" t="s">
        <v>284</v>
      </c>
      <c r="E119" s="14" t="s">
        <v>16</v>
      </c>
    </row>
    <row r="120" spans="3:7">
      <c r="C120" s="10" t="s">
        <v>714</v>
      </c>
      <c r="D120" s="32" t="s">
        <v>284</v>
      </c>
      <c r="E120" s="14" t="s">
        <v>16</v>
      </c>
    </row>
    <row r="121" spans="3:7">
      <c r="C121" s="10" t="s">
        <v>715</v>
      </c>
      <c r="D121" s="32" t="s">
        <v>284</v>
      </c>
      <c r="E121" s="14" t="s">
        <v>16</v>
      </c>
    </row>
    <row r="122" spans="3:7">
      <c r="C122" s="10" t="s">
        <v>716</v>
      </c>
      <c r="D122" s="32" t="s">
        <v>284</v>
      </c>
      <c r="E122" s="14" t="s">
        <v>16</v>
      </c>
    </row>
    <row r="123" spans="3:7">
      <c r="C123" s="10" t="s">
        <v>717</v>
      </c>
      <c r="D123" s="32" t="s">
        <v>284</v>
      </c>
      <c r="E123" s="14" t="s">
        <v>16</v>
      </c>
    </row>
    <row r="124" spans="3:7">
      <c r="C124" s="10" t="s">
        <v>718</v>
      </c>
      <c r="D124" s="32" t="s">
        <v>284</v>
      </c>
      <c r="E124" s="14" t="s">
        <v>16</v>
      </c>
    </row>
    <row r="125" spans="3:7">
      <c r="C125" s="12" t="s">
        <v>69</v>
      </c>
      <c r="D125" s="12" t="s">
        <v>11</v>
      </c>
      <c r="E125" s="11" t="s">
        <v>16</v>
      </c>
      <c r="F125" s="13" t="s">
        <v>20</v>
      </c>
      <c r="G125" s="12" t="s">
        <v>30</v>
      </c>
    </row>
    <row r="126" spans="3:7">
      <c r="C126" s="12" t="s">
        <v>1</v>
      </c>
      <c r="D126" s="12" t="s">
        <v>37</v>
      </c>
      <c r="E126" s="11"/>
      <c r="F126" s="13"/>
      <c r="G126" s="12" t="s">
        <v>31</v>
      </c>
    </row>
    <row r="127" spans="3:7">
      <c r="C127" s="12" t="s">
        <v>19</v>
      </c>
      <c r="D127" s="12" t="s">
        <v>11</v>
      </c>
      <c r="E127" s="11" t="s">
        <v>16</v>
      </c>
      <c r="F127" s="13" t="s">
        <v>20</v>
      </c>
      <c r="G127" s="12" t="s">
        <v>32</v>
      </c>
    </row>
    <row r="128" spans="3:7">
      <c r="C128" s="12" t="s">
        <v>2</v>
      </c>
      <c r="D128" s="12" t="s">
        <v>37</v>
      </c>
      <c r="E128" s="11"/>
      <c r="F128" s="13"/>
      <c r="G128" s="12" t="s">
        <v>33</v>
      </c>
    </row>
  </sheetData>
  <phoneticPr fontId="3" type="noConversion"/>
  <hyperlinks>
    <hyperlink ref="A1" location="目錄!A1" display="回到目錄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1"/>
  <dimension ref="A1:S128"/>
  <sheetViews>
    <sheetView workbookViewId="0">
      <pane ySplit="1" topLeftCell="A2" activePane="bottomLeft" state="frozen"/>
      <selection pane="bottomLeft" sqref="A1:XFD1048576"/>
    </sheetView>
  </sheetViews>
  <sheetFormatPr defaultColWidth="11.1796875" defaultRowHeight="13.8"/>
  <cols>
    <col min="1" max="1" width="7.453125" style="10" bestFit="1" customWidth="1"/>
    <col min="2" max="2" width="4.36328125" style="10" bestFit="1" customWidth="1"/>
    <col min="3" max="3" width="11.90625" style="10" bestFit="1" customWidth="1"/>
    <col min="4" max="4" width="11" style="10" bestFit="1" customWidth="1"/>
    <col min="5" max="5" width="7.54296875" style="14" bestFit="1" customWidth="1"/>
    <col min="6" max="6" width="10" style="15" bestFit="1" customWidth="1"/>
    <col min="7" max="7" width="10.6328125" style="10" bestFit="1" customWidth="1"/>
    <col min="8" max="8" width="28.08984375" style="10" bestFit="1" customWidth="1"/>
    <col min="9" max="9" width="10.08984375" style="10" bestFit="1" customWidth="1"/>
    <col min="10" max="12" width="4.54296875" style="15" bestFit="1" customWidth="1"/>
    <col min="13" max="13" width="13.81640625" style="14" bestFit="1" customWidth="1"/>
    <col min="14" max="16" width="6.6328125" style="14" customWidth="1"/>
    <col min="17" max="28" width="6.6328125" style="10" customWidth="1"/>
    <col min="29" max="32" width="14.453125" style="10" customWidth="1"/>
    <col min="33" max="16384" width="11.1796875" style="10"/>
  </cols>
  <sheetData>
    <row r="1" spans="1:19">
      <c r="A1" s="23" t="s">
        <v>36</v>
      </c>
      <c r="B1" s="5" t="s">
        <v>5</v>
      </c>
      <c r="C1" s="6" t="s">
        <v>3</v>
      </c>
      <c r="D1" s="6" t="s">
        <v>4</v>
      </c>
      <c r="E1" s="7" t="s">
        <v>6</v>
      </c>
      <c r="F1" s="9" t="s">
        <v>13</v>
      </c>
      <c r="G1" s="9" t="s">
        <v>7</v>
      </c>
      <c r="H1" s="9" t="s">
        <v>8</v>
      </c>
      <c r="I1" s="9" t="s">
        <v>467</v>
      </c>
      <c r="L1" s="72" t="s">
        <v>240</v>
      </c>
      <c r="M1" s="72" t="s">
        <v>3663</v>
      </c>
      <c r="N1" s="72" t="s">
        <v>470</v>
      </c>
      <c r="O1" s="72" t="s">
        <v>471</v>
      </c>
      <c r="P1" s="72" t="s">
        <v>472</v>
      </c>
      <c r="Q1" s="72" t="s">
        <v>473</v>
      </c>
      <c r="R1" s="72" t="s">
        <v>474</v>
      </c>
      <c r="S1" s="73" t="s">
        <v>475</v>
      </c>
    </row>
    <row r="2" spans="1:19">
      <c r="B2" s="11" t="s">
        <v>14</v>
      </c>
      <c r="C2" s="13" t="s">
        <v>80</v>
      </c>
      <c r="D2" s="18" t="s">
        <v>24</v>
      </c>
      <c r="E2" s="11"/>
      <c r="F2" s="12"/>
      <c r="G2" s="12" t="s">
        <v>81</v>
      </c>
      <c r="L2" s="36"/>
      <c r="M2" s="34"/>
      <c r="N2" s="36" t="str">
        <f>"EXEC sp_dropextendedproperty @name = N'MS_Description', @level0type=N'SCHEMA',@level0name=N'"&amp;$L$1&amp;"', @level1type=N'TABLE',@level1name=N'"&amp;$M$1&amp;"', @level2type=N'COLUMN',@level2name=N'"&amp;$C2&amp;"'"</f>
        <v>EXEC sp_dropextendedproperty @name = N'MS_Description', @level0type=N'SCHEMA',@level0name=N'dbo', @level1type=N'TABLE',@level1name=N'LifeInsActFactorCR', @level2type=N'COLUMN',@level2name=N'PlanCode'</v>
      </c>
      <c r="O2" s="36" t="str">
        <f>"EXEC sp_dropextendedproperty @name = N'Rule', @level0type=N'SCHEMA',@level0name=N'"&amp;$L$1&amp;"', @level1type=N'TABLE',@level1name=N'"&amp;$M$1&amp;"', @level2type=N'COLUMN',@level2name=N'"&amp;$C2&amp;"'"</f>
        <v>EXEC sp_dropextendedproperty @name = N'Rule', @level0type=N'SCHEMA',@level0name=N'dbo', @level1type=N'TABLE',@level1name=N'LifeInsActFactorCR', @level2type=N'COLUMN',@level2name=N'PlanCode'</v>
      </c>
      <c r="P2" s="36" t="str">
        <f>"EXEC sp_dropextendedproperty @name = N'Memo', @level0type=N'SCHEMA',@level0name=N'"&amp;$L$1&amp;"', @level1type=N'TABLE',@level1name=N'"&amp;$M$1&amp;"', @level2type=N'COLUMN',@level2name=N'"&amp;$C2&amp;"'"</f>
        <v>EXEC sp_dropextendedproperty @name = N'Memo', @level0type=N'SCHEMA',@level0name=N'dbo', @level1type=N'TABLE',@level1name=N'LifeInsActFactorCR', @level2type=N'COLUMN',@level2name=N'PlanCode'</v>
      </c>
      <c r="Q2" s="36" t="str">
        <f>"set @OldWording = N'"&amp;SUBSTITUTE($G2,CHAR(10),"")&amp;"'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@level2type=N'COLUMN',@level2name=N'"&amp;$C2&amp;"'"</f>
        <v>set @OldWording = N'險種代碼' set @NewWording = REPLACE(@OldWording,'***',char(13)+char(10)) EXEC sys.sp_addextendedproperty @name=N'MS_Description', @value=@NewWording , @level0type=N'SCHEMA',@level0name=N'dbo', @level1type=N'TABLE',@level1name=N'LifeInsActFactorCR', @level2type=N'COLUMN',@level2name=N'PlanCode'</v>
      </c>
      <c r="R2" s="32" t="str">
        <f>"set @OldWording = N'"&amp;SUBSTITUTE($H2,CHAR(10),"")&amp;"'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@name=N'Rule', @value=@NewWording , @level0type=N'SCHEMA',@level0name=N'dbo', @level1type=N'TABLE',@level1name=N'LifeInsActFactorCR', @level2type=N'COLUMN',@level2name=N'PlanCode'</v>
      </c>
      <c r="S2" s="36" t="str">
        <f>"set @OldWording = N'"&amp;SUBSTITUTE($I2,CHAR(10),"")&amp;"' set @NewWording = REPLACE(@OldWording,'***',char(13)+char(10)) "&amp;"EXEC sys.sp_addextendedproperty @name=N'Memo',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@name=N'Memo', @value=@NewWording , @level0type=N'SCHEMA',@level0name=N'dbo', @level1type=N'TABLE',@level1name=N'LifeInsActFactorCR', @level2type=N'COLUMN',@level2name=N'PlanCode'</v>
      </c>
    </row>
    <row r="3" spans="1:19" ht="27.6">
      <c r="B3" s="11" t="s">
        <v>14</v>
      </c>
      <c r="C3" s="15" t="s">
        <v>3728</v>
      </c>
      <c r="D3" s="15" t="s">
        <v>21</v>
      </c>
      <c r="F3" s="10"/>
      <c r="G3" s="10" t="s">
        <v>78</v>
      </c>
      <c r="H3" s="16" t="s">
        <v>3652</v>
      </c>
      <c r="I3" s="16"/>
    </row>
    <row r="4" spans="1:19">
      <c r="B4" s="11" t="s">
        <v>14</v>
      </c>
      <c r="C4" s="12" t="s">
        <v>86</v>
      </c>
      <c r="D4" s="12" t="s">
        <v>34</v>
      </c>
      <c r="F4" s="13"/>
      <c r="G4" s="12" t="s">
        <v>87</v>
      </c>
    </row>
    <row r="5" spans="1:19">
      <c r="B5" s="11" t="s">
        <v>14</v>
      </c>
      <c r="C5" s="12" t="s">
        <v>50</v>
      </c>
      <c r="D5" s="12" t="s">
        <v>21</v>
      </c>
      <c r="F5" s="13"/>
      <c r="G5" s="12" t="s">
        <v>52</v>
      </c>
      <c r="H5" s="16" t="s">
        <v>493</v>
      </c>
      <c r="I5" s="27" t="s">
        <v>267</v>
      </c>
    </row>
    <row r="6" spans="1:19">
      <c r="B6" s="11" t="s">
        <v>14</v>
      </c>
      <c r="C6" s="10" t="s">
        <v>3593</v>
      </c>
      <c r="D6" s="12" t="s">
        <v>23</v>
      </c>
      <c r="F6" s="13"/>
      <c r="G6" s="10" t="s">
        <v>3594</v>
      </c>
    </row>
    <row r="7" spans="1:19">
      <c r="B7" s="11"/>
      <c r="C7" s="29" t="s">
        <v>3730</v>
      </c>
      <c r="D7" s="29" t="s">
        <v>126</v>
      </c>
      <c r="E7" s="28"/>
      <c r="F7" s="22"/>
      <c r="G7" s="22" t="s">
        <v>125</v>
      </c>
      <c r="H7" s="27" t="s">
        <v>3591</v>
      </c>
    </row>
    <row r="8" spans="1:19">
      <c r="B8" s="11"/>
      <c r="C8" s="29" t="s">
        <v>123</v>
      </c>
      <c r="D8" s="29" t="s">
        <v>126</v>
      </c>
      <c r="E8" s="28"/>
      <c r="F8" s="22"/>
      <c r="G8" s="22" t="s">
        <v>124</v>
      </c>
      <c r="H8" s="27" t="s">
        <v>3591</v>
      </c>
    </row>
    <row r="9" spans="1:19">
      <c r="B9" s="11"/>
      <c r="C9" s="10" t="s">
        <v>4640</v>
      </c>
      <c r="D9" s="32" t="s">
        <v>285</v>
      </c>
      <c r="E9" s="14" t="s">
        <v>16</v>
      </c>
      <c r="F9" s="22"/>
      <c r="G9" s="22"/>
      <c r="H9" s="27"/>
    </row>
    <row r="10" spans="1:19">
      <c r="C10" s="10" t="s">
        <v>604</v>
      </c>
      <c r="D10" s="32" t="s">
        <v>285</v>
      </c>
      <c r="E10" s="14" t="s">
        <v>16</v>
      </c>
      <c r="F10" s="13"/>
      <c r="H10" s="16"/>
      <c r="I10" s="16"/>
    </row>
    <row r="11" spans="1:19">
      <c r="C11" s="10" t="s">
        <v>605</v>
      </c>
      <c r="D11" s="32" t="s">
        <v>285</v>
      </c>
      <c r="E11" s="14" t="s">
        <v>16</v>
      </c>
      <c r="F11" s="13"/>
    </row>
    <row r="12" spans="1:19">
      <c r="C12" s="10" t="s">
        <v>606</v>
      </c>
      <c r="D12" s="32" t="s">
        <v>284</v>
      </c>
      <c r="E12" s="14" t="s">
        <v>16</v>
      </c>
      <c r="F12" s="13"/>
    </row>
    <row r="13" spans="1:19">
      <c r="C13" s="10" t="s">
        <v>607</v>
      </c>
      <c r="D13" s="32" t="s">
        <v>284</v>
      </c>
      <c r="E13" s="14" t="s">
        <v>16</v>
      </c>
      <c r="F13" s="13"/>
    </row>
    <row r="14" spans="1:19">
      <c r="C14" s="10" t="s">
        <v>608</v>
      </c>
      <c r="D14" s="32" t="s">
        <v>284</v>
      </c>
      <c r="E14" s="14" t="s">
        <v>16</v>
      </c>
      <c r="F14" s="13"/>
    </row>
    <row r="15" spans="1:19">
      <c r="C15" s="10" t="s">
        <v>609</v>
      </c>
      <c r="D15" s="32" t="s">
        <v>284</v>
      </c>
      <c r="E15" s="14" t="s">
        <v>16</v>
      </c>
      <c r="F15" s="13"/>
    </row>
    <row r="16" spans="1:19">
      <c r="C16" s="10" t="s">
        <v>610</v>
      </c>
      <c r="D16" s="32" t="s">
        <v>284</v>
      </c>
      <c r="E16" s="14" t="s">
        <v>16</v>
      </c>
      <c r="F16" s="13"/>
    </row>
    <row r="17" spans="3:6">
      <c r="C17" s="10" t="s">
        <v>611</v>
      </c>
      <c r="D17" s="32" t="s">
        <v>284</v>
      </c>
      <c r="E17" s="14" t="s">
        <v>16</v>
      </c>
      <c r="F17" s="13"/>
    </row>
    <row r="18" spans="3:6">
      <c r="C18" s="10" t="s">
        <v>612</v>
      </c>
      <c r="D18" s="32" t="s">
        <v>284</v>
      </c>
      <c r="E18" s="14" t="s">
        <v>16</v>
      </c>
      <c r="F18" s="13"/>
    </row>
    <row r="19" spans="3:6">
      <c r="C19" s="10" t="s">
        <v>613</v>
      </c>
      <c r="D19" s="32" t="s">
        <v>284</v>
      </c>
      <c r="E19" s="14" t="s">
        <v>16</v>
      </c>
      <c r="F19" s="13"/>
    </row>
    <row r="20" spans="3:6">
      <c r="C20" s="10" t="s">
        <v>614</v>
      </c>
      <c r="D20" s="32" t="s">
        <v>284</v>
      </c>
      <c r="E20" s="14" t="s">
        <v>16</v>
      </c>
      <c r="F20" s="13"/>
    </row>
    <row r="21" spans="3:6">
      <c r="C21" s="10" t="s">
        <v>615</v>
      </c>
      <c r="D21" s="32" t="s">
        <v>284</v>
      </c>
      <c r="E21" s="14" t="s">
        <v>16</v>
      </c>
      <c r="F21" s="13"/>
    </row>
    <row r="22" spans="3:6">
      <c r="C22" s="10" t="s">
        <v>616</v>
      </c>
      <c r="D22" s="32" t="s">
        <v>284</v>
      </c>
      <c r="E22" s="14" t="s">
        <v>16</v>
      </c>
      <c r="F22" s="13"/>
    </row>
    <row r="23" spans="3:6">
      <c r="C23" s="10" t="s">
        <v>617</v>
      </c>
      <c r="D23" s="32" t="s">
        <v>284</v>
      </c>
      <c r="E23" s="14" t="s">
        <v>16</v>
      </c>
      <c r="F23" s="13"/>
    </row>
    <row r="24" spans="3:6">
      <c r="C24" s="10" t="s">
        <v>618</v>
      </c>
      <c r="D24" s="32" t="s">
        <v>284</v>
      </c>
      <c r="E24" s="14" t="s">
        <v>16</v>
      </c>
      <c r="F24" s="13"/>
    </row>
    <row r="25" spans="3:6">
      <c r="C25" s="10" t="s">
        <v>619</v>
      </c>
      <c r="D25" s="32" t="s">
        <v>284</v>
      </c>
      <c r="E25" s="14" t="s">
        <v>16</v>
      </c>
      <c r="F25" s="13"/>
    </row>
    <row r="26" spans="3:6">
      <c r="C26" s="10" t="s">
        <v>620</v>
      </c>
      <c r="D26" s="32" t="s">
        <v>284</v>
      </c>
      <c r="E26" s="14" t="s">
        <v>16</v>
      </c>
      <c r="F26" s="13"/>
    </row>
    <row r="27" spans="3:6">
      <c r="C27" s="10" t="s">
        <v>621</v>
      </c>
      <c r="D27" s="32" t="s">
        <v>284</v>
      </c>
      <c r="E27" s="14" t="s">
        <v>16</v>
      </c>
      <c r="F27" s="13"/>
    </row>
    <row r="28" spans="3:6">
      <c r="C28" s="10" t="s">
        <v>622</v>
      </c>
      <c r="D28" s="32" t="s">
        <v>284</v>
      </c>
      <c r="E28" s="14" t="s">
        <v>16</v>
      </c>
      <c r="F28" s="13"/>
    </row>
    <row r="29" spans="3:6">
      <c r="C29" s="10" t="s">
        <v>623</v>
      </c>
      <c r="D29" s="32" t="s">
        <v>284</v>
      </c>
      <c r="E29" s="14" t="s">
        <v>16</v>
      </c>
      <c r="F29" s="13"/>
    </row>
    <row r="30" spans="3:6">
      <c r="C30" s="10" t="s">
        <v>624</v>
      </c>
      <c r="D30" s="32" t="s">
        <v>284</v>
      </c>
      <c r="E30" s="14" t="s">
        <v>16</v>
      </c>
      <c r="F30" s="13"/>
    </row>
    <row r="31" spans="3:6">
      <c r="C31" s="10" t="s">
        <v>625</v>
      </c>
      <c r="D31" s="32" t="s">
        <v>284</v>
      </c>
      <c r="E31" s="14" t="s">
        <v>16</v>
      </c>
      <c r="F31" s="13"/>
    </row>
    <row r="32" spans="3:6">
      <c r="C32" s="10" t="s">
        <v>626</v>
      </c>
      <c r="D32" s="32" t="s">
        <v>284</v>
      </c>
      <c r="E32" s="14" t="s">
        <v>16</v>
      </c>
      <c r="F32" s="13"/>
    </row>
    <row r="33" spans="3:6">
      <c r="C33" s="10" t="s">
        <v>627</v>
      </c>
      <c r="D33" s="32" t="s">
        <v>284</v>
      </c>
      <c r="E33" s="14" t="s">
        <v>16</v>
      </c>
      <c r="F33" s="13"/>
    </row>
    <row r="34" spans="3:6">
      <c r="C34" s="10" t="s">
        <v>628</v>
      </c>
      <c r="D34" s="32" t="s">
        <v>284</v>
      </c>
      <c r="E34" s="14" t="s">
        <v>16</v>
      </c>
      <c r="F34" s="13"/>
    </row>
    <row r="35" spans="3:6">
      <c r="C35" s="10" t="s">
        <v>629</v>
      </c>
      <c r="D35" s="32" t="s">
        <v>284</v>
      </c>
      <c r="E35" s="14" t="s">
        <v>16</v>
      </c>
      <c r="F35" s="13"/>
    </row>
    <row r="36" spans="3:6">
      <c r="C36" s="10" t="s">
        <v>630</v>
      </c>
      <c r="D36" s="32" t="s">
        <v>284</v>
      </c>
      <c r="E36" s="14" t="s">
        <v>16</v>
      </c>
      <c r="F36" s="13"/>
    </row>
    <row r="37" spans="3:6">
      <c r="C37" s="10" t="s">
        <v>631</v>
      </c>
      <c r="D37" s="32" t="s">
        <v>284</v>
      </c>
      <c r="E37" s="14" t="s">
        <v>16</v>
      </c>
      <c r="F37" s="13"/>
    </row>
    <row r="38" spans="3:6">
      <c r="C38" s="10" t="s">
        <v>632</v>
      </c>
      <c r="D38" s="32" t="s">
        <v>284</v>
      </c>
      <c r="E38" s="14" t="s">
        <v>16</v>
      </c>
      <c r="F38" s="13"/>
    </row>
    <row r="39" spans="3:6">
      <c r="C39" s="10" t="s">
        <v>633</v>
      </c>
      <c r="D39" s="32" t="s">
        <v>284</v>
      </c>
      <c r="E39" s="14" t="s">
        <v>16</v>
      </c>
      <c r="F39" s="13"/>
    </row>
    <row r="40" spans="3:6">
      <c r="C40" s="10" t="s">
        <v>634</v>
      </c>
      <c r="D40" s="32" t="s">
        <v>284</v>
      </c>
      <c r="E40" s="14" t="s">
        <v>16</v>
      </c>
      <c r="F40" s="13"/>
    </row>
    <row r="41" spans="3:6">
      <c r="C41" s="10" t="s">
        <v>635</v>
      </c>
      <c r="D41" s="32" t="s">
        <v>284</v>
      </c>
      <c r="E41" s="14" t="s">
        <v>16</v>
      </c>
      <c r="F41" s="13"/>
    </row>
    <row r="42" spans="3:6">
      <c r="C42" s="10" t="s">
        <v>636</v>
      </c>
      <c r="D42" s="32" t="s">
        <v>284</v>
      </c>
      <c r="E42" s="14" t="s">
        <v>16</v>
      </c>
      <c r="F42" s="13"/>
    </row>
    <row r="43" spans="3:6">
      <c r="C43" s="10" t="s">
        <v>637</v>
      </c>
      <c r="D43" s="32" t="s">
        <v>284</v>
      </c>
      <c r="E43" s="14" t="s">
        <v>16</v>
      </c>
      <c r="F43" s="13"/>
    </row>
    <row r="44" spans="3:6">
      <c r="C44" s="10" t="s">
        <v>638</v>
      </c>
      <c r="D44" s="32" t="s">
        <v>284</v>
      </c>
      <c r="E44" s="14" t="s">
        <v>16</v>
      </c>
      <c r="F44" s="13"/>
    </row>
    <row r="45" spans="3:6">
      <c r="C45" s="10" t="s">
        <v>639</v>
      </c>
      <c r="D45" s="32" t="s">
        <v>284</v>
      </c>
      <c r="E45" s="14" t="s">
        <v>16</v>
      </c>
      <c r="F45" s="13"/>
    </row>
    <row r="46" spans="3:6">
      <c r="C46" s="10" t="s">
        <v>640</v>
      </c>
      <c r="D46" s="32" t="s">
        <v>284</v>
      </c>
      <c r="E46" s="14" t="s">
        <v>16</v>
      </c>
      <c r="F46" s="13"/>
    </row>
    <row r="47" spans="3:6">
      <c r="C47" s="10" t="s">
        <v>641</v>
      </c>
      <c r="D47" s="32" t="s">
        <v>284</v>
      </c>
      <c r="E47" s="14" t="s">
        <v>16</v>
      </c>
      <c r="F47" s="13"/>
    </row>
    <row r="48" spans="3:6">
      <c r="C48" s="10" t="s">
        <v>642</v>
      </c>
      <c r="D48" s="32" t="s">
        <v>284</v>
      </c>
      <c r="E48" s="14" t="s">
        <v>16</v>
      </c>
      <c r="F48" s="13"/>
    </row>
    <row r="49" spans="3:6">
      <c r="C49" s="10" t="s">
        <v>643</v>
      </c>
      <c r="D49" s="32" t="s">
        <v>284</v>
      </c>
      <c r="E49" s="14" t="s">
        <v>16</v>
      </c>
      <c r="F49" s="13"/>
    </row>
    <row r="50" spans="3:6">
      <c r="C50" s="10" t="s">
        <v>644</v>
      </c>
      <c r="D50" s="32" t="s">
        <v>284</v>
      </c>
      <c r="E50" s="14" t="s">
        <v>16</v>
      </c>
      <c r="F50" s="13"/>
    </row>
    <row r="51" spans="3:6">
      <c r="C51" s="10" t="s">
        <v>645</v>
      </c>
      <c r="D51" s="32" t="s">
        <v>284</v>
      </c>
      <c r="E51" s="14" t="s">
        <v>16</v>
      </c>
      <c r="F51" s="13"/>
    </row>
    <row r="52" spans="3:6">
      <c r="C52" s="10" t="s">
        <v>646</v>
      </c>
      <c r="D52" s="32" t="s">
        <v>284</v>
      </c>
      <c r="E52" s="14" t="s">
        <v>16</v>
      </c>
      <c r="F52" s="13"/>
    </row>
    <row r="53" spans="3:6">
      <c r="C53" s="10" t="s">
        <v>647</v>
      </c>
      <c r="D53" s="32" t="s">
        <v>284</v>
      </c>
      <c r="E53" s="14" t="s">
        <v>16</v>
      </c>
      <c r="F53" s="13"/>
    </row>
    <row r="54" spans="3:6">
      <c r="C54" s="10" t="s">
        <v>648</v>
      </c>
      <c r="D54" s="32" t="s">
        <v>284</v>
      </c>
      <c r="E54" s="14" t="s">
        <v>16</v>
      </c>
      <c r="F54" s="13"/>
    </row>
    <row r="55" spans="3:6">
      <c r="C55" s="10" t="s">
        <v>649</v>
      </c>
      <c r="D55" s="32" t="s">
        <v>284</v>
      </c>
      <c r="E55" s="14" t="s">
        <v>16</v>
      </c>
      <c r="F55" s="13"/>
    </row>
    <row r="56" spans="3:6">
      <c r="C56" s="10" t="s">
        <v>650</v>
      </c>
      <c r="D56" s="32" t="s">
        <v>284</v>
      </c>
      <c r="E56" s="14" t="s">
        <v>16</v>
      </c>
      <c r="F56" s="13"/>
    </row>
    <row r="57" spans="3:6">
      <c r="C57" s="10" t="s">
        <v>651</v>
      </c>
      <c r="D57" s="32" t="s">
        <v>284</v>
      </c>
      <c r="E57" s="14" t="s">
        <v>16</v>
      </c>
      <c r="F57" s="13"/>
    </row>
    <row r="58" spans="3:6">
      <c r="C58" s="10" t="s">
        <v>652</v>
      </c>
      <c r="D58" s="32" t="s">
        <v>284</v>
      </c>
      <c r="E58" s="14" t="s">
        <v>16</v>
      </c>
      <c r="F58" s="13"/>
    </row>
    <row r="59" spans="3:6">
      <c r="C59" s="10" t="s">
        <v>653</v>
      </c>
      <c r="D59" s="32" t="s">
        <v>284</v>
      </c>
      <c r="E59" s="14" t="s">
        <v>16</v>
      </c>
      <c r="F59" s="13"/>
    </row>
    <row r="60" spans="3:6">
      <c r="C60" s="10" t="s">
        <v>654</v>
      </c>
      <c r="D60" s="32" t="s">
        <v>284</v>
      </c>
      <c r="E60" s="14" t="s">
        <v>16</v>
      </c>
      <c r="F60" s="13"/>
    </row>
    <row r="61" spans="3:6">
      <c r="C61" s="10" t="s">
        <v>655</v>
      </c>
      <c r="D61" s="32" t="s">
        <v>284</v>
      </c>
      <c r="E61" s="14" t="s">
        <v>16</v>
      </c>
      <c r="F61" s="13"/>
    </row>
    <row r="62" spans="3:6">
      <c r="C62" s="10" t="s">
        <v>656</v>
      </c>
      <c r="D62" s="32" t="s">
        <v>284</v>
      </c>
      <c r="E62" s="14" t="s">
        <v>16</v>
      </c>
      <c r="F62" s="13"/>
    </row>
    <row r="63" spans="3:6">
      <c r="C63" s="10" t="s">
        <v>657</v>
      </c>
      <c r="D63" s="32" t="s">
        <v>284</v>
      </c>
      <c r="E63" s="14" t="s">
        <v>16</v>
      </c>
      <c r="F63" s="13"/>
    </row>
    <row r="64" spans="3:6">
      <c r="C64" s="10" t="s">
        <v>658</v>
      </c>
      <c r="D64" s="32" t="s">
        <v>284</v>
      </c>
      <c r="E64" s="14" t="s">
        <v>16</v>
      </c>
      <c r="F64" s="13"/>
    </row>
    <row r="65" spans="3:6">
      <c r="C65" s="10" t="s">
        <v>659</v>
      </c>
      <c r="D65" s="32" t="s">
        <v>284</v>
      </c>
      <c r="E65" s="14" t="s">
        <v>16</v>
      </c>
      <c r="F65" s="13"/>
    </row>
    <row r="66" spans="3:6">
      <c r="C66" s="10" t="s">
        <v>660</v>
      </c>
      <c r="D66" s="32" t="s">
        <v>284</v>
      </c>
      <c r="E66" s="14" t="s">
        <v>16</v>
      </c>
      <c r="F66" s="13"/>
    </row>
    <row r="67" spans="3:6">
      <c r="C67" s="10" t="s">
        <v>661</v>
      </c>
      <c r="D67" s="32" t="s">
        <v>284</v>
      </c>
      <c r="E67" s="14" t="s">
        <v>16</v>
      </c>
      <c r="F67" s="13"/>
    </row>
    <row r="68" spans="3:6">
      <c r="C68" s="10" t="s">
        <v>662</v>
      </c>
      <c r="D68" s="32" t="s">
        <v>284</v>
      </c>
      <c r="E68" s="14" t="s">
        <v>16</v>
      </c>
      <c r="F68" s="13"/>
    </row>
    <row r="69" spans="3:6">
      <c r="C69" s="10" t="s">
        <v>663</v>
      </c>
      <c r="D69" s="32" t="s">
        <v>284</v>
      </c>
      <c r="E69" s="14" t="s">
        <v>16</v>
      </c>
      <c r="F69" s="13"/>
    </row>
    <row r="70" spans="3:6">
      <c r="C70" s="10" t="s">
        <v>664</v>
      </c>
      <c r="D70" s="32" t="s">
        <v>284</v>
      </c>
      <c r="E70" s="14" t="s">
        <v>16</v>
      </c>
      <c r="F70" s="13"/>
    </row>
    <row r="71" spans="3:6">
      <c r="C71" s="10" t="s">
        <v>665</v>
      </c>
      <c r="D71" s="32" t="s">
        <v>284</v>
      </c>
      <c r="E71" s="14" t="s">
        <v>16</v>
      </c>
      <c r="F71" s="13"/>
    </row>
    <row r="72" spans="3:6">
      <c r="C72" s="10" t="s">
        <v>666</v>
      </c>
      <c r="D72" s="32" t="s">
        <v>284</v>
      </c>
      <c r="E72" s="14" t="s">
        <v>16</v>
      </c>
      <c r="F72" s="13"/>
    </row>
    <row r="73" spans="3:6">
      <c r="C73" s="10" t="s">
        <v>667</v>
      </c>
      <c r="D73" s="32" t="s">
        <v>284</v>
      </c>
      <c r="E73" s="14" t="s">
        <v>16</v>
      </c>
      <c r="F73" s="13"/>
    </row>
    <row r="74" spans="3:6">
      <c r="C74" s="10" t="s">
        <v>668</v>
      </c>
      <c r="D74" s="32" t="s">
        <v>284</v>
      </c>
      <c r="E74" s="14" t="s">
        <v>16</v>
      </c>
      <c r="F74" s="13"/>
    </row>
    <row r="75" spans="3:6">
      <c r="C75" s="10" t="s">
        <v>669</v>
      </c>
      <c r="D75" s="32" t="s">
        <v>284</v>
      </c>
      <c r="E75" s="14" t="s">
        <v>16</v>
      </c>
      <c r="F75" s="13"/>
    </row>
    <row r="76" spans="3:6">
      <c r="C76" s="10" t="s">
        <v>670</v>
      </c>
      <c r="D76" s="32" t="s">
        <v>284</v>
      </c>
      <c r="E76" s="14" t="s">
        <v>16</v>
      </c>
      <c r="F76" s="13"/>
    </row>
    <row r="77" spans="3:6">
      <c r="C77" s="10" t="s">
        <v>671</v>
      </c>
      <c r="D77" s="32" t="s">
        <v>284</v>
      </c>
      <c r="E77" s="14" t="s">
        <v>16</v>
      </c>
      <c r="F77" s="13"/>
    </row>
    <row r="78" spans="3:6">
      <c r="C78" s="10" t="s">
        <v>672</v>
      </c>
      <c r="D78" s="32" t="s">
        <v>284</v>
      </c>
      <c r="E78" s="14" t="s">
        <v>16</v>
      </c>
      <c r="F78" s="13"/>
    </row>
    <row r="79" spans="3:6">
      <c r="C79" s="10" t="s">
        <v>673</v>
      </c>
      <c r="D79" s="32" t="s">
        <v>284</v>
      </c>
      <c r="E79" s="14" t="s">
        <v>16</v>
      </c>
      <c r="F79" s="13"/>
    </row>
    <row r="80" spans="3:6">
      <c r="C80" s="10" t="s">
        <v>674</v>
      </c>
      <c r="D80" s="32" t="s">
        <v>284</v>
      </c>
      <c r="E80" s="14" t="s">
        <v>16</v>
      </c>
      <c r="F80" s="13"/>
    </row>
    <row r="81" spans="3:6">
      <c r="C81" s="10" t="s">
        <v>675</v>
      </c>
      <c r="D81" s="32" t="s">
        <v>284</v>
      </c>
      <c r="E81" s="14" t="s">
        <v>16</v>
      </c>
      <c r="F81" s="13"/>
    </row>
    <row r="82" spans="3:6">
      <c r="C82" s="10" t="s">
        <v>676</v>
      </c>
      <c r="D82" s="32" t="s">
        <v>284</v>
      </c>
      <c r="E82" s="14" t="s">
        <v>16</v>
      </c>
      <c r="F82" s="13"/>
    </row>
    <row r="83" spans="3:6">
      <c r="C83" s="10" t="s">
        <v>677</v>
      </c>
      <c r="D83" s="32" t="s">
        <v>284</v>
      </c>
      <c r="E83" s="14" t="s">
        <v>16</v>
      </c>
      <c r="F83" s="13"/>
    </row>
    <row r="84" spans="3:6">
      <c r="C84" s="10" t="s">
        <v>678</v>
      </c>
      <c r="D84" s="32" t="s">
        <v>284</v>
      </c>
      <c r="E84" s="14" t="s">
        <v>16</v>
      </c>
      <c r="F84" s="13"/>
    </row>
    <row r="85" spans="3:6">
      <c r="C85" s="10" t="s">
        <v>679</v>
      </c>
      <c r="D85" s="32" t="s">
        <v>284</v>
      </c>
      <c r="E85" s="14" t="s">
        <v>16</v>
      </c>
      <c r="F85" s="13"/>
    </row>
    <row r="86" spans="3:6">
      <c r="C86" s="10" t="s">
        <v>680</v>
      </c>
      <c r="D86" s="32" t="s">
        <v>284</v>
      </c>
      <c r="E86" s="14" t="s">
        <v>16</v>
      </c>
      <c r="F86" s="13"/>
    </row>
    <row r="87" spans="3:6">
      <c r="C87" s="10" t="s">
        <v>681</v>
      </c>
      <c r="D87" s="32" t="s">
        <v>284</v>
      </c>
      <c r="E87" s="14" t="s">
        <v>16</v>
      </c>
      <c r="F87" s="13"/>
    </row>
    <row r="88" spans="3:6">
      <c r="C88" s="10" t="s">
        <v>682</v>
      </c>
      <c r="D88" s="32" t="s">
        <v>284</v>
      </c>
      <c r="E88" s="14" t="s">
        <v>16</v>
      </c>
      <c r="F88" s="13"/>
    </row>
    <row r="89" spans="3:6">
      <c r="C89" s="10" t="s">
        <v>683</v>
      </c>
      <c r="D89" s="32" t="s">
        <v>284</v>
      </c>
      <c r="E89" s="14" t="s">
        <v>16</v>
      </c>
      <c r="F89" s="13"/>
    </row>
    <row r="90" spans="3:6">
      <c r="C90" s="10" t="s">
        <v>684</v>
      </c>
      <c r="D90" s="32" t="s">
        <v>284</v>
      </c>
      <c r="E90" s="14" t="s">
        <v>16</v>
      </c>
      <c r="F90" s="13"/>
    </row>
    <row r="91" spans="3:6">
      <c r="C91" s="10" t="s">
        <v>685</v>
      </c>
      <c r="D91" s="32" t="s">
        <v>284</v>
      </c>
      <c r="E91" s="14" t="s">
        <v>16</v>
      </c>
      <c r="F91" s="13"/>
    </row>
    <row r="92" spans="3:6">
      <c r="C92" s="10" t="s">
        <v>686</v>
      </c>
      <c r="D92" s="32" t="s">
        <v>284</v>
      </c>
      <c r="E92" s="14" t="s">
        <v>16</v>
      </c>
      <c r="F92" s="13"/>
    </row>
    <row r="93" spans="3:6">
      <c r="C93" s="10" t="s">
        <v>687</v>
      </c>
      <c r="D93" s="32" t="s">
        <v>284</v>
      </c>
      <c r="E93" s="14" t="s">
        <v>16</v>
      </c>
      <c r="F93" s="13"/>
    </row>
    <row r="94" spans="3:6">
      <c r="C94" s="10" t="s">
        <v>688</v>
      </c>
      <c r="D94" s="32" t="s">
        <v>284</v>
      </c>
      <c r="E94" s="14" t="s">
        <v>16</v>
      </c>
      <c r="F94" s="13"/>
    </row>
    <row r="95" spans="3:6">
      <c r="C95" s="10" t="s">
        <v>689</v>
      </c>
      <c r="D95" s="32" t="s">
        <v>284</v>
      </c>
      <c r="E95" s="14" t="s">
        <v>16</v>
      </c>
      <c r="F95" s="13"/>
    </row>
    <row r="96" spans="3:6">
      <c r="C96" s="10" t="s">
        <v>690</v>
      </c>
      <c r="D96" s="32" t="s">
        <v>284</v>
      </c>
      <c r="E96" s="14" t="s">
        <v>16</v>
      </c>
      <c r="F96" s="13"/>
    </row>
    <row r="97" spans="3:6">
      <c r="C97" s="10" t="s">
        <v>691</v>
      </c>
      <c r="D97" s="32" t="s">
        <v>284</v>
      </c>
      <c r="E97" s="14" t="s">
        <v>16</v>
      </c>
      <c r="F97" s="13"/>
    </row>
    <row r="98" spans="3:6">
      <c r="C98" s="10" t="s">
        <v>692</v>
      </c>
      <c r="D98" s="32" t="s">
        <v>284</v>
      </c>
      <c r="E98" s="14" t="s">
        <v>16</v>
      </c>
      <c r="F98" s="13"/>
    </row>
    <row r="99" spans="3:6">
      <c r="C99" s="10" t="s">
        <v>693</v>
      </c>
      <c r="D99" s="32" t="s">
        <v>284</v>
      </c>
      <c r="E99" s="14" t="s">
        <v>16</v>
      </c>
    </row>
    <row r="100" spans="3:6">
      <c r="C100" s="10" t="s">
        <v>694</v>
      </c>
      <c r="D100" s="32" t="s">
        <v>284</v>
      </c>
      <c r="E100" s="14" t="s">
        <v>16</v>
      </c>
    </row>
    <row r="101" spans="3:6">
      <c r="C101" s="10" t="s">
        <v>695</v>
      </c>
      <c r="D101" s="32" t="s">
        <v>284</v>
      </c>
      <c r="E101" s="14" t="s">
        <v>16</v>
      </c>
    </row>
    <row r="102" spans="3:6">
      <c r="C102" s="10" t="s">
        <v>696</v>
      </c>
      <c r="D102" s="32" t="s">
        <v>284</v>
      </c>
      <c r="E102" s="14" t="s">
        <v>16</v>
      </c>
    </row>
    <row r="103" spans="3:6">
      <c r="C103" s="10" t="s">
        <v>697</v>
      </c>
      <c r="D103" s="32" t="s">
        <v>284</v>
      </c>
      <c r="E103" s="14" t="s">
        <v>16</v>
      </c>
    </row>
    <row r="104" spans="3:6">
      <c r="C104" s="10" t="s">
        <v>698</v>
      </c>
      <c r="D104" s="32" t="s">
        <v>284</v>
      </c>
      <c r="E104" s="14" t="s">
        <v>16</v>
      </c>
    </row>
    <row r="105" spans="3:6">
      <c r="C105" s="10" t="s">
        <v>699</v>
      </c>
      <c r="D105" s="32" t="s">
        <v>284</v>
      </c>
      <c r="E105" s="14" t="s">
        <v>16</v>
      </c>
    </row>
    <row r="106" spans="3:6">
      <c r="C106" s="10" t="s">
        <v>700</v>
      </c>
      <c r="D106" s="32" t="s">
        <v>284</v>
      </c>
      <c r="E106" s="14" t="s">
        <v>16</v>
      </c>
    </row>
    <row r="107" spans="3:6">
      <c r="C107" s="10" t="s">
        <v>701</v>
      </c>
      <c r="D107" s="32" t="s">
        <v>284</v>
      </c>
      <c r="E107" s="14" t="s">
        <v>16</v>
      </c>
    </row>
    <row r="108" spans="3:6">
      <c r="C108" s="10" t="s">
        <v>702</v>
      </c>
      <c r="D108" s="32" t="s">
        <v>284</v>
      </c>
      <c r="E108" s="14" t="s">
        <v>16</v>
      </c>
    </row>
    <row r="109" spans="3:6">
      <c r="C109" s="10" t="s">
        <v>703</v>
      </c>
      <c r="D109" s="32" t="s">
        <v>284</v>
      </c>
      <c r="E109" s="14" t="s">
        <v>16</v>
      </c>
    </row>
    <row r="110" spans="3:6">
      <c r="C110" s="10" t="s">
        <v>704</v>
      </c>
      <c r="D110" s="32" t="s">
        <v>284</v>
      </c>
      <c r="E110" s="14" t="s">
        <v>16</v>
      </c>
    </row>
    <row r="111" spans="3:6">
      <c r="C111" s="10" t="s">
        <v>705</v>
      </c>
      <c r="D111" s="32" t="s">
        <v>284</v>
      </c>
      <c r="E111" s="14" t="s">
        <v>16</v>
      </c>
    </row>
    <row r="112" spans="3:6">
      <c r="C112" s="10" t="s">
        <v>706</v>
      </c>
      <c r="D112" s="32" t="s">
        <v>284</v>
      </c>
      <c r="E112" s="14" t="s">
        <v>16</v>
      </c>
    </row>
    <row r="113" spans="3:7">
      <c r="C113" s="10" t="s">
        <v>707</v>
      </c>
      <c r="D113" s="32" t="s">
        <v>284</v>
      </c>
      <c r="E113" s="14" t="s">
        <v>16</v>
      </c>
    </row>
    <row r="114" spans="3:7">
      <c r="C114" s="10" t="s">
        <v>708</v>
      </c>
      <c r="D114" s="32" t="s">
        <v>284</v>
      </c>
      <c r="E114" s="14" t="s">
        <v>16</v>
      </c>
    </row>
    <row r="115" spans="3:7">
      <c r="C115" s="10" t="s">
        <v>709</v>
      </c>
      <c r="D115" s="32" t="s">
        <v>284</v>
      </c>
      <c r="E115" s="14" t="s">
        <v>16</v>
      </c>
    </row>
    <row r="116" spans="3:7">
      <c r="C116" s="10" t="s">
        <v>710</v>
      </c>
      <c r="D116" s="32" t="s">
        <v>284</v>
      </c>
      <c r="E116" s="14" t="s">
        <v>16</v>
      </c>
    </row>
    <row r="117" spans="3:7">
      <c r="C117" s="10" t="s">
        <v>711</v>
      </c>
      <c r="D117" s="32" t="s">
        <v>284</v>
      </c>
      <c r="E117" s="14" t="s">
        <v>16</v>
      </c>
    </row>
    <row r="118" spans="3:7">
      <c r="C118" s="10" t="s">
        <v>712</v>
      </c>
      <c r="D118" s="32" t="s">
        <v>284</v>
      </c>
      <c r="E118" s="14" t="s">
        <v>16</v>
      </c>
    </row>
    <row r="119" spans="3:7">
      <c r="C119" s="10" t="s">
        <v>713</v>
      </c>
      <c r="D119" s="32" t="s">
        <v>284</v>
      </c>
      <c r="E119" s="14" t="s">
        <v>16</v>
      </c>
    </row>
    <row r="120" spans="3:7">
      <c r="C120" s="10" t="s">
        <v>714</v>
      </c>
      <c r="D120" s="32" t="s">
        <v>284</v>
      </c>
      <c r="E120" s="14" t="s">
        <v>16</v>
      </c>
    </row>
    <row r="121" spans="3:7">
      <c r="C121" s="10" t="s">
        <v>715</v>
      </c>
      <c r="D121" s="32" t="s">
        <v>284</v>
      </c>
      <c r="E121" s="14" t="s">
        <v>16</v>
      </c>
    </row>
    <row r="122" spans="3:7">
      <c r="C122" s="10" t="s">
        <v>716</v>
      </c>
      <c r="D122" s="32" t="s">
        <v>284</v>
      </c>
      <c r="E122" s="14" t="s">
        <v>16</v>
      </c>
    </row>
    <row r="123" spans="3:7">
      <c r="C123" s="10" t="s">
        <v>717</v>
      </c>
      <c r="D123" s="32" t="s">
        <v>284</v>
      </c>
      <c r="E123" s="14" t="s">
        <v>16</v>
      </c>
    </row>
    <row r="124" spans="3:7">
      <c r="C124" s="10" t="s">
        <v>718</v>
      </c>
      <c r="D124" s="32" t="s">
        <v>284</v>
      </c>
      <c r="E124" s="14" t="s">
        <v>16</v>
      </c>
    </row>
    <row r="125" spans="3:7">
      <c r="C125" s="12" t="s">
        <v>94</v>
      </c>
      <c r="D125" s="12" t="s">
        <v>11</v>
      </c>
      <c r="E125" s="11" t="s">
        <v>16</v>
      </c>
      <c r="F125" s="13" t="s">
        <v>20</v>
      </c>
      <c r="G125" s="12" t="s">
        <v>30</v>
      </c>
    </row>
    <row r="126" spans="3:7">
      <c r="C126" s="12" t="s">
        <v>1</v>
      </c>
      <c r="D126" s="12" t="s">
        <v>37</v>
      </c>
      <c r="E126" s="11"/>
      <c r="F126" s="13"/>
      <c r="G126" s="12" t="s">
        <v>31</v>
      </c>
    </row>
    <row r="127" spans="3:7">
      <c r="C127" s="12" t="s">
        <v>19</v>
      </c>
      <c r="D127" s="12" t="s">
        <v>11</v>
      </c>
      <c r="E127" s="11" t="s">
        <v>16</v>
      </c>
      <c r="F127" s="13" t="s">
        <v>20</v>
      </c>
      <c r="G127" s="12" t="s">
        <v>32</v>
      </c>
    </row>
    <row r="128" spans="3:7">
      <c r="C128" s="12" t="s">
        <v>2</v>
      </c>
      <c r="D128" s="12" t="s">
        <v>37</v>
      </c>
      <c r="E128" s="11"/>
      <c r="F128" s="13"/>
      <c r="G128" s="12" t="s">
        <v>33</v>
      </c>
    </row>
  </sheetData>
  <phoneticPr fontId="3" type="noConversion"/>
  <hyperlinks>
    <hyperlink ref="A1" location="目錄!A1" display="回到目錄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28"/>
  <sheetViews>
    <sheetView workbookViewId="0"/>
  </sheetViews>
  <sheetFormatPr defaultColWidth="11.1796875" defaultRowHeight="13.8"/>
  <cols>
    <col min="1" max="1" width="7.453125" style="10" bestFit="1" customWidth="1"/>
    <col min="2" max="2" width="4.36328125" style="10" bestFit="1" customWidth="1"/>
    <col min="3" max="3" width="11.1796875" style="10"/>
    <col min="4" max="4" width="11" style="10" bestFit="1" customWidth="1"/>
    <col min="5" max="5" width="7.54296875" style="14" bestFit="1" customWidth="1"/>
    <col min="6" max="6" width="10" style="15" bestFit="1" customWidth="1"/>
    <col min="7" max="7" width="10.6328125" style="10" bestFit="1" customWidth="1"/>
    <col min="8" max="8" width="58.90625" style="10" bestFit="1" customWidth="1"/>
    <col min="9" max="9" width="14.54296875" style="10" bestFit="1" customWidth="1"/>
    <col min="10" max="10" width="5.90625" style="10" customWidth="1"/>
    <col min="11" max="12" width="3.6328125" style="14" bestFit="1" customWidth="1"/>
    <col min="13" max="13" width="13" style="14" bestFit="1" customWidth="1"/>
    <col min="14" max="15" width="3.6328125" style="14" customWidth="1"/>
    <col min="16" max="21" width="3.6328125" style="14" bestFit="1" customWidth="1"/>
    <col min="22" max="22" width="3.6328125" style="10" bestFit="1" customWidth="1"/>
    <col min="23" max="28" width="5.36328125" style="14" bestFit="1" customWidth="1"/>
    <col min="29" max="34" width="5.36328125" style="10" bestFit="1" customWidth="1"/>
    <col min="35" max="16384" width="11.1796875" style="10"/>
  </cols>
  <sheetData>
    <row r="1" spans="1:34">
      <c r="A1" s="23" t="s">
        <v>3776</v>
      </c>
      <c r="B1" s="5" t="s">
        <v>5</v>
      </c>
      <c r="C1" s="6" t="s">
        <v>3</v>
      </c>
      <c r="D1" s="6" t="s">
        <v>4</v>
      </c>
      <c r="E1" s="7" t="s">
        <v>6</v>
      </c>
      <c r="F1" s="9" t="s">
        <v>13</v>
      </c>
      <c r="G1" s="9" t="s">
        <v>7</v>
      </c>
      <c r="H1" s="9" t="s">
        <v>8</v>
      </c>
      <c r="I1" s="9" t="s">
        <v>139</v>
      </c>
      <c r="L1" s="72" t="s">
        <v>240</v>
      </c>
      <c r="M1" s="72" t="s">
        <v>4782</v>
      </c>
      <c r="N1" s="72" t="s">
        <v>470</v>
      </c>
      <c r="O1" s="72" t="s">
        <v>471</v>
      </c>
      <c r="P1" s="72" t="s">
        <v>472</v>
      </c>
      <c r="Q1" s="72" t="s">
        <v>473</v>
      </c>
      <c r="R1" s="72" t="s">
        <v>474</v>
      </c>
      <c r="S1" s="73" t="s">
        <v>475</v>
      </c>
    </row>
    <row r="2" spans="1:34">
      <c r="B2" s="11" t="s">
        <v>14</v>
      </c>
      <c r="C2" s="13" t="s">
        <v>80</v>
      </c>
      <c r="D2" s="18" t="s">
        <v>24</v>
      </c>
      <c r="E2" s="11"/>
      <c r="F2" s="12"/>
      <c r="G2" s="12" t="s">
        <v>81</v>
      </c>
      <c r="L2" s="36"/>
      <c r="M2" s="34"/>
      <c r="N2" s="36" t="str">
        <f>"EXEC sp_dropextendedproperty @name = N'MS_Description', @level0type=N'SCHEMA',@level0name=N'"&amp;$L$1&amp;"', @level1type=N'TABLE',@level1name=N'"&amp;$M$1&amp;"', @level2type=N'COLUMN',@level2name=N'"&amp;$C2&amp;"'"</f>
        <v>EXEC sp_dropextendedproperty @name = N'MS_Description', @level0type=N'SCHEMA',@level0name=N'dbo', @level1type=N'TABLE',@level1name=N'LifeInsActFactorCOI', @level2type=N'COLUMN',@level2name=N'PlanCode'</v>
      </c>
      <c r="O2" s="36" t="str">
        <f>"EXEC sp_dropextendedproperty @name = N'Rule', @level0type=N'SCHEMA',@level0name=N'"&amp;$L$1&amp;"', @level1type=N'TABLE',@level1name=N'"&amp;$M$1&amp;"', @level2type=N'COLUMN',@level2name=N'"&amp;$C2&amp;"'"</f>
        <v>EXEC sp_dropextendedproperty @name = N'Rule', @level0type=N'SCHEMA',@level0name=N'dbo', @level1type=N'TABLE',@level1name=N'LifeInsActFactorCOI', @level2type=N'COLUMN',@level2name=N'PlanCode'</v>
      </c>
      <c r="P2" s="36" t="str">
        <f>"EXEC sp_dropextendedproperty @name = N'Memo', @level0type=N'SCHEMA',@level0name=N'"&amp;$L$1&amp;"', @level1type=N'TABLE',@level1name=N'"&amp;$M$1&amp;"', @level2type=N'COLUMN',@level2name=N'"&amp;$C2&amp;"'"</f>
        <v>EXEC sp_dropextendedproperty @name = N'Memo', @level0type=N'SCHEMA',@level0name=N'dbo', @level1type=N'TABLE',@level1name=N'LifeInsActFactorCOI', @level2type=N'COLUMN',@level2name=N'PlanCode'</v>
      </c>
      <c r="Q2" s="36" t="str">
        <f>"set @OldWording = N'"&amp;SUBSTITUTE($G2,CHAR(10),"")&amp;"'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@level2type=N'COLUMN',@level2name=N'"&amp;$C2&amp;"'"</f>
        <v>set @OldWording = N'險種代碼' set @NewWording = REPLACE(@OldWording,'***',char(13)+char(10)) EXEC sys.sp_addextendedproperty @name=N'MS_Description', @value=@NewWording , @level0type=N'SCHEMA',@level0name=N'dbo', @level1type=N'TABLE',@level1name=N'LifeInsActFactorCOI', @level2type=N'COLUMN',@level2name=N'PlanCode'</v>
      </c>
      <c r="R2" s="32" t="str">
        <f>"set @OldWording = N'"&amp;SUBSTITUTE($H2,CHAR(10),"")&amp;"'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@name=N'Rule', @value=@NewWording , @level0type=N'SCHEMA',@level0name=N'dbo', @level1type=N'TABLE',@level1name=N'LifeInsActFactorCOI', @level2type=N'COLUMN',@level2name=N'PlanCode'</v>
      </c>
      <c r="S2" s="36" t="str">
        <f>"set @OldWording = N'"&amp;SUBSTITUTE($I2,CHAR(10),"")&amp;"' set @NewWording = REPLACE(@OldWording,'***',char(13)+char(10)) "&amp;"EXEC sys.sp_addextendedproperty @name=N'Memo',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@name=N'Memo', @value=@NewWording , @level0type=N'SCHEMA',@level0name=N'dbo', @level1type=N'TABLE',@level1name=N'LifeInsActFactorCOI', @level2type=N'COLUMN',@level2name=N'PlanCode'</v>
      </c>
      <c r="V2" s="14"/>
      <c r="AC2" s="14"/>
      <c r="AD2" s="14"/>
      <c r="AE2" s="14"/>
      <c r="AF2" s="14"/>
      <c r="AG2" s="14"/>
      <c r="AH2" s="14"/>
    </row>
    <row r="3" spans="1:34" ht="27.6">
      <c r="B3" s="11" t="s">
        <v>14</v>
      </c>
      <c r="C3" s="15" t="s">
        <v>3728</v>
      </c>
      <c r="D3" s="15" t="s">
        <v>21</v>
      </c>
      <c r="F3" s="10"/>
      <c r="G3" s="10" t="s">
        <v>78</v>
      </c>
      <c r="H3" s="16" t="s">
        <v>3652</v>
      </c>
      <c r="V3" s="14"/>
      <c r="AC3" s="14"/>
      <c r="AD3" s="14"/>
      <c r="AE3" s="14"/>
      <c r="AF3" s="14"/>
      <c r="AG3" s="14"/>
      <c r="AH3" s="14"/>
    </row>
    <row r="4" spans="1:34">
      <c r="B4" s="11" t="s">
        <v>14</v>
      </c>
      <c r="C4" s="12" t="s">
        <v>86</v>
      </c>
      <c r="D4" s="12" t="s">
        <v>34</v>
      </c>
      <c r="F4" s="13"/>
      <c r="G4" s="12" t="s">
        <v>87</v>
      </c>
      <c r="V4" s="14"/>
      <c r="AC4" s="14"/>
      <c r="AD4" s="14"/>
      <c r="AE4" s="14"/>
      <c r="AF4" s="14"/>
      <c r="AG4" s="14"/>
      <c r="AH4" s="14"/>
    </row>
    <row r="5" spans="1:34">
      <c r="B5" s="11" t="s">
        <v>14</v>
      </c>
      <c r="C5" s="12" t="s">
        <v>50</v>
      </c>
      <c r="D5" s="12" t="s">
        <v>21</v>
      </c>
      <c r="F5" s="13"/>
      <c r="G5" s="12" t="s">
        <v>52</v>
      </c>
      <c r="H5" s="16" t="s">
        <v>493</v>
      </c>
      <c r="I5" s="27" t="s">
        <v>267</v>
      </c>
      <c r="V5" s="14"/>
      <c r="AC5" s="14"/>
      <c r="AD5" s="14"/>
      <c r="AE5" s="14"/>
      <c r="AF5" s="14"/>
      <c r="AG5" s="14"/>
      <c r="AH5" s="14"/>
    </row>
    <row r="6" spans="1:34">
      <c r="B6" s="11" t="s">
        <v>14</v>
      </c>
      <c r="C6" s="10" t="s">
        <v>3593</v>
      </c>
      <c r="D6" s="12" t="s">
        <v>23</v>
      </c>
      <c r="F6" s="13"/>
      <c r="G6" s="10" t="s">
        <v>3594</v>
      </c>
      <c r="I6" s="27"/>
      <c r="J6" s="29"/>
      <c r="K6" s="29"/>
      <c r="L6" s="36"/>
      <c r="M6" s="36"/>
      <c r="N6" s="36"/>
      <c r="O6" s="36"/>
      <c r="P6" s="36"/>
      <c r="Q6" s="36"/>
      <c r="R6" s="32"/>
      <c r="S6" s="36"/>
      <c r="T6" s="32"/>
      <c r="U6" s="32"/>
      <c r="W6" s="10"/>
      <c r="X6" s="10"/>
      <c r="Y6" s="10"/>
      <c r="Z6" s="10"/>
      <c r="AA6" s="10"/>
      <c r="AB6" s="10"/>
    </row>
    <row r="7" spans="1:34">
      <c r="B7" s="11"/>
      <c r="C7" s="29" t="s">
        <v>3730</v>
      </c>
      <c r="D7" s="29" t="s">
        <v>126</v>
      </c>
      <c r="E7" s="28"/>
      <c r="F7" s="22"/>
      <c r="G7" s="22" t="s">
        <v>125</v>
      </c>
      <c r="H7" s="27" t="s">
        <v>127</v>
      </c>
      <c r="V7" s="14"/>
      <c r="AC7" s="14"/>
      <c r="AD7" s="14"/>
      <c r="AE7" s="14"/>
      <c r="AF7" s="14"/>
      <c r="AG7" s="14"/>
      <c r="AH7" s="14"/>
    </row>
    <row r="8" spans="1:34">
      <c r="B8" s="11"/>
      <c r="C8" s="29" t="s">
        <v>123</v>
      </c>
      <c r="D8" s="29" t="s">
        <v>126</v>
      </c>
      <c r="E8" s="28"/>
      <c r="F8" s="22"/>
      <c r="G8" s="22" t="s">
        <v>124</v>
      </c>
      <c r="H8" s="27" t="s">
        <v>127</v>
      </c>
      <c r="V8" s="14"/>
      <c r="AC8" s="14"/>
      <c r="AD8" s="14"/>
      <c r="AE8" s="14"/>
      <c r="AF8" s="14"/>
      <c r="AG8" s="14"/>
      <c r="AH8" s="14"/>
    </row>
    <row r="9" spans="1:34">
      <c r="C9" s="10" t="s">
        <v>603</v>
      </c>
      <c r="D9" s="32" t="s">
        <v>285</v>
      </c>
      <c r="E9" s="14" t="s">
        <v>93</v>
      </c>
      <c r="F9" s="13"/>
      <c r="G9" s="10" t="s">
        <v>483</v>
      </c>
      <c r="H9" s="16"/>
    </row>
    <row r="10" spans="1:34">
      <c r="C10" s="10" t="s">
        <v>604</v>
      </c>
      <c r="D10" s="32" t="s">
        <v>285</v>
      </c>
      <c r="E10" s="14" t="s">
        <v>93</v>
      </c>
      <c r="F10" s="13"/>
    </row>
    <row r="11" spans="1:34">
      <c r="C11" s="10" t="s">
        <v>605</v>
      </c>
      <c r="D11" s="32" t="s">
        <v>284</v>
      </c>
      <c r="E11" s="14" t="s">
        <v>93</v>
      </c>
      <c r="F11" s="13"/>
    </row>
    <row r="12" spans="1:34">
      <c r="C12" s="10" t="s">
        <v>606</v>
      </c>
      <c r="D12" s="32" t="s">
        <v>284</v>
      </c>
      <c r="E12" s="14" t="s">
        <v>93</v>
      </c>
      <c r="F12" s="13"/>
    </row>
    <row r="13" spans="1:34">
      <c r="C13" s="10" t="s">
        <v>607</v>
      </c>
      <c r="D13" s="32" t="s">
        <v>284</v>
      </c>
      <c r="E13" s="14" t="s">
        <v>93</v>
      </c>
      <c r="F13" s="13"/>
    </row>
    <row r="14" spans="1:34">
      <c r="C14" s="10" t="s">
        <v>608</v>
      </c>
      <c r="D14" s="32" t="s">
        <v>284</v>
      </c>
      <c r="E14" s="14" t="s">
        <v>93</v>
      </c>
      <c r="F14" s="13"/>
    </row>
    <row r="15" spans="1:34">
      <c r="C15" s="10" t="s">
        <v>609</v>
      </c>
      <c r="D15" s="32" t="s">
        <v>284</v>
      </c>
      <c r="E15" s="14" t="s">
        <v>93</v>
      </c>
      <c r="F15" s="13"/>
    </row>
    <row r="16" spans="1:34">
      <c r="C16" s="10" t="s">
        <v>610</v>
      </c>
      <c r="D16" s="32" t="s">
        <v>284</v>
      </c>
      <c r="E16" s="14" t="s">
        <v>93</v>
      </c>
      <c r="F16" s="13"/>
    </row>
    <row r="17" spans="3:6">
      <c r="C17" s="10" t="s">
        <v>611</v>
      </c>
      <c r="D17" s="32" t="s">
        <v>284</v>
      </c>
      <c r="E17" s="14" t="s">
        <v>93</v>
      </c>
      <c r="F17" s="13"/>
    </row>
    <row r="18" spans="3:6">
      <c r="C18" s="10" t="s">
        <v>612</v>
      </c>
      <c r="D18" s="32" t="s">
        <v>284</v>
      </c>
      <c r="E18" s="14" t="s">
        <v>93</v>
      </c>
      <c r="F18" s="13"/>
    </row>
    <row r="19" spans="3:6">
      <c r="C19" s="10" t="s">
        <v>613</v>
      </c>
      <c r="D19" s="32" t="s">
        <v>284</v>
      </c>
      <c r="E19" s="14" t="s">
        <v>93</v>
      </c>
      <c r="F19" s="13"/>
    </row>
    <row r="20" spans="3:6">
      <c r="C20" s="10" t="s">
        <v>614</v>
      </c>
      <c r="D20" s="32" t="s">
        <v>284</v>
      </c>
      <c r="E20" s="14" t="s">
        <v>93</v>
      </c>
      <c r="F20" s="13"/>
    </row>
    <row r="21" spans="3:6">
      <c r="C21" s="10" t="s">
        <v>615</v>
      </c>
      <c r="D21" s="32" t="s">
        <v>284</v>
      </c>
      <c r="E21" s="14" t="s">
        <v>93</v>
      </c>
      <c r="F21" s="13"/>
    </row>
    <row r="22" spans="3:6">
      <c r="C22" s="10" t="s">
        <v>616</v>
      </c>
      <c r="D22" s="32" t="s">
        <v>284</v>
      </c>
      <c r="E22" s="14" t="s">
        <v>93</v>
      </c>
      <c r="F22" s="13"/>
    </row>
    <row r="23" spans="3:6">
      <c r="C23" s="10" t="s">
        <v>617</v>
      </c>
      <c r="D23" s="32" t="s">
        <v>284</v>
      </c>
      <c r="E23" s="14" t="s">
        <v>93</v>
      </c>
      <c r="F23" s="13"/>
    </row>
    <row r="24" spans="3:6">
      <c r="C24" s="10" t="s">
        <v>618</v>
      </c>
      <c r="D24" s="32" t="s">
        <v>284</v>
      </c>
      <c r="E24" s="14" t="s">
        <v>93</v>
      </c>
      <c r="F24" s="13"/>
    </row>
    <row r="25" spans="3:6">
      <c r="C25" s="10" t="s">
        <v>619</v>
      </c>
      <c r="D25" s="32" t="s">
        <v>284</v>
      </c>
      <c r="E25" s="14" t="s">
        <v>93</v>
      </c>
      <c r="F25" s="13"/>
    </row>
    <row r="26" spans="3:6">
      <c r="C26" s="10" t="s">
        <v>620</v>
      </c>
      <c r="D26" s="32" t="s">
        <v>284</v>
      </c>
      <c r="E26" s="14" t="s">
        <v>93</v>
      </c>
      <c r="F26" s="13"/>
    </row>
    <row r="27" spans="3:6">
      <c r="C27" s="10" t="s">
        <v>621</v>
      </c>
      <c r="D27" s="32" t="s">
        <v>284</v>
      </c>
      <c r="E27" s="14" t="s">
        <v>93</v>
      </c>
      <c r="F27" s="13"/>
    </row>
    <row r="28" spans="3:6">
      <c r="C28" s="10" t="s">
        <v>622</v>
      </c>
      <c r="D28" s="32" t="s">
        <v>284</v>
      </c>
      <c r="E28" s="14" t="s">
        <v>93</v>
      </c>
      <c r="F28" s="13"/>
    </row>
    <row r="29" spans="3:6">
      <c r="C29" s="10" t="s">
        <v>623</v>
      </c>
      <c r="D29" s="32" t="s">
        <v>284</v>
      </c>
      <c r="E29" s="14" t="s">
        <v>93</v>
      </c>
      <c r="F29" s="13"/>
    </row>
    <row r="30" spans="3:6">
      <c r="C30" s="10" t="s">
        <v>624</v>
      </c>
      <c r="D30" s="32" t="s">
        <v>284</v>
      </c>
      <c r="E30" s="14" t="s">
        <v>93</v>
      </c>
      <c r="F30" s="13"/>
    </row>
    <row r="31" spans="3:6">
      <c r="C31" s="10" t="s">
        <v>625</v>
      </c>
      <c r="D31" s="32" t="s">
        <v>284</v>
      </c>
      <c r="E31" s="14" t="s">
        <v>93</v>
      </c>
      <c r="F31" s="13"/>
    </row>
    <row r="32" spans="3:6">
      <c r="C32" s="10" t="s">
        <v>626</v>
      </c>
      <c r="D32" s="32" t="s">
        <v>284</v>
      </c>
      <c r="E32" s="14" t="s">
        <v>93</v>
      </c>
      <c r="F32" s="13"/>
    </row>
    <row r="33" spans="3:6">
      <c r="C33" s="10" t="s">
        <v>627</v>
      </c>
      <c r="D33" s="32" t="s">
        <v>284</v>
      </c>
      <c r="E33" s="14" t="s">
        <v>93</v>
      </c>
      <c r="F33" s="13"/>
    </row>
    <row r="34" spans="3:6">
      <c r="C34" s="10" t="s">
        <v>628</v>
      </c>
      <c r="D34" s="32" t="s">
        <v>284</v>
      </c>
      <c r="E34" s="14" t="s">
        <v>93</v>
      </c>
      <c r="F34" s="13"/>
    </row>
    <row r="35" spans="3:6">
      <c r="C35" s="10" t="s">
        <v>629</v>
      </c>
      <c r="D35" s="32" t="s">
        <v>284</v>
      </c>
      <c r="E35" s="14" t="s">
        <v>93</v>
      </c>
      <c r="F35" s="13"/>
    </row>
    <row r="36" spans="3:6">
      <c r="C36" s="10" t="s">
        <v>630</v>
      </c>
      <c r="D36" s="32" t="s">
        <v>284</v>
      </c>
      <c r="E36" s="14" t="s">
        <v>93</v>
      </c>
      <c r="F36" s="13"/>
    </row>
    <row r="37" spans="3:6">
      <c r="C37" s="10" t="s">
        <v>631</v>
      </c>
      <c r="D37" s="32" t="s">
        <v>284</v>
      </c>
      <c r="E37" s="14" t="s">
        <v>93</v>
      </c>
      <c r="F37" s="13"/>
    </row>
    <row r="38" spans="3:6">
      <c r="C38" s="10" t="s">
        <v>632</v>
      </c>
      <c r="D38" s="32" t="s">
        <v>284</v>
      </c>
      <c r="E38" s="14" t="s">
        <v>93</v>
      </c>
      <c r="F38" s="13"/>
    </row>
    <row r="39" spans="3:6">
      <c r="C39" s="10" t="s">
        <v>633</v>
      </c>
      <c r="D39" s="32" t="s">
        <v>284</v>
      </c>
      <c r="E39" s="14" t="s">
        <v>93</v>
      </c>
      <c r="F39" s="13"/>
    </row>
    <row r="40" spans="3:6">
      <c r="C40" s="10" t="s">
        <v>634</v>
      </c>
      <c r="D40" s="32" t="s">
        <v>284</v>
      </c>
      <c r="E40" s="14" t="s">
        <v>93</v>
      </c>
      <c r="F40" s="13"/>
    </row>
    <row r="41" spans="3:6">
      <c r="C41" s="10" t="s">
        <v>635</v>
      </c>
      <c r="D41" s="32" t="s">
        <v>284</v>
      </c>
      <c r="E41" s="14" t="s">
        <v>93</v>
      </c>
      <c r="F41" s="13"/>
    </row>
    <row r="42" spans="3:6">
      <c r="C42" s="10" t="s">
        <v>636</v>
      </c>
      <c r="D42" s="32" t="s">
        <v>284</v>
      </c>
      <c r="E42" s="14" t="s">
        <v>93</v>
      </c>
      <c r="F42" s="13"/>
    </row>
    <row r="43" spans="3:6">
      <c r="C43" s="10" t="s">
        <v>637</v>
      </c>
      <c r="D43" s="32" t="s">
        <v>284</v>
      </c>
      <c r="E43" s="14" t="s">
        <v>93</v>
      </c>
      <c r="F43" s="13"/>
    </row>
    <row r="44" spans="3:6">
      <c r="C44" s="10" t="s">
        <v>638</v>
      </c>
      <c r="D44" s="32" t="s">
        <v>284</v>
      </c>
      <c r="E44" s="14" t="s">
        <v>93</v>
      </c>
      <c r="F44" s="13"/>
    </row>
    <row r="45" spans="3:6">
      <c r="C45" s="10" t="s">
        <v>639</v>
      </c>
      <c r="D45" s="32" t="s">
        <v>284</v>
      </c>
      <c r="E45" s="14" t="s">
        <v>93</v>
      </c>
      <c r="F45" s="13"/>
    </row>
    <row r="46" spans="3:6">
      <c r="C46" s="10" t="s">
        <v>640</v>
      </c>
      <c r="D46" s="32" t="s">
        <v>284</v>
      </c>
      <c r="E46" s="14" t="s">
        <v>93</v>
      </c>
      <c r="F46" s="13"/>
    </row>
    <row r="47" spans="3:6">
      <c r="C47" s="10" t="s">
        <v>641</v>
      </c>
      <c r="D47" s="32" t="s">
        <v>284</v>
      </c>
      <c r="E47" s="14" t="s">
        <v>93</v>
      </c>
      <c r="F47" s="13"/>
    </row>
    <row r="48" spans="3:6">
      <c r="C48" s="10" t="s">
        <v>642</v>
      </c>
      <c r="D48" s="32" t="s">
        <v>284</v>
      </c>
      <c r="E48" s="14" t="s">
        <v>93</v>
      </c>
      <c r="F48" s="13"/>
    </row>
    <row r="49" spans="3:6">
      <c r="C49" s="10" t="s">
        <v>643</v>
      </c>
      <c r="D49" s="32" t="s">
        <v>284</v>
      </c>
      <c r="E49" s="14" t="s">
        <v>93</v>
      </c>
      <c r="F49" s="13"/>
    </row>
    <row r="50" spans="3:6">
      <c r="C50" s="10" t="s">
        <v>644</v>
      </c>
      <c r="D50" s="32" t="s">
        <v>284</v>
      </c>
      <c r="E50" s="14" t="s">
        <v>93</v>
      </c>
      <c r="F50" s="13"/>
    </row>
    <row r="51" spans="3:6">
      <c r="C51" s="10" t="s">
        <v>645</v>
      </c>
      <c r="D51" s="32" t="s">
        <v>284</v>
      </c>
      <c r="E51" s="14" t="s">
        <v>93</v>
      </c>
      <c r="F51" s="13"/>
    </row>
    <row r="52" spans="3:6">
      <c r="C52" s="10" t="s">
        <v>646</v>
      </c>
      <c r="D52" s="32" t="s">
        <v>284</v>
      </c>
      <c r="E52" s="14" t="s">
        <v>93</v>
      </c>
      <c r="F52" s="13"/>
    </row>
    <row r="53" spans="3:6">
      <c r="C53" s="10" t="s">
        <v>647</v>
      </c>
      <c r="D53" s="32" t="s">
        <v>284</v>
      </c>
      <c r="E53" s="14" t="s">
        <v>93</v>
      </c>
      <c r="F53" s="13"/>
    </row>
    <row r="54" spans="3:6">
      <c r="C54" s="10" t="s">
        <v>648</v>
      </c>
      <c r="D54" s="32" t="s">
        <v>284</v>
      </c>
      <c r="E54" s="14" t="s">
        <v>93</v>
      </c>
      <c r="F54" s="13"/>
    </row>
    <row r="55" spans="3:6">
      <c r="C55" s="10" t="s">
        <v>649</v>
      </c>
      <c r="D55" s="32" t="s">
        <v>284</v>
      </c>
      <c r="E55" s="14" t="s">
        <v>93</v>
      </c>
      <c r="F55" s="13"/>
    </row>
    <row r="56" spans="3:6">
      <c r="C56" s="10" t="s">
        <v>650</v>
      </c>
      <c r="D56" s="32" t="s">
        <v>284</v>
      </c>
      <c r="E56" s="14" t="s">
        <v>93</v>
      </c>
      <c r="F56" s="13"/>
    </row>
    <row r="57" spans="3:6">
      <c r="C57" s="10" t="s">
        <v>651</v>
      </c>
      <c r="D57" s="32" t="s">
        <v>284</v>
      </c>
      <c r="E57" s="14" t="s">
        <v>93</v>
      </c>
      <c r="F57" s="13"/>
    </row>
    <row r="58" spans="3:6">
      <c r="C58" s="10" t="s">
        <v>652</v>
      </c>
      <c r="D58" s="32" t="s">
        <v>284</v>
      </c>
      <c r="E58" s="14" t="s">
        <v>93</v>
      </c>
      <c r="F58" s="13"/>
    </row>
    <row r="59" spans="3:6">
      <c r="C59" s="10" t="s">
        <v>653</v>
      </c>
      <c r="D59" s="32" t="s">
        <v>284</v>
      </c>
      <c r="E59" s="14" t="s">
        <v>93</v>
      </c>
      <c r="F59" s="13"/>
    </row>
    <row r="60" spans="3:6">
      <c r="C60" s="10" t="s">
        <v>654</v>
      </c>
      <c r="D60" s="32" t="s">
        <v>284</v>
      </c>
      <c r="E60" s="14" t="s">
        <v>93</v>
      </c>
      <c r="F60" s="13"/>
    </row>
    <row r="61" spans="3:6">
      <c r="C61" s="10" t="s">
        <v>655</v>
      </c>
      <c r="D61" s="32" t="s">
        <v>284</v>
      </c>
      <c r="E61" s="14" t="s">
        <v>93</v>
      </c>
      <c r="F61" s="13"/>
    </row>
    <row r="62" spans="3:6">
      <c r="C62" s="10" t="s">
        <v>656</v>
      </c>
      <c r="D62" s="32" t="s">
        <v>284</v>
      </c>
      <c r="E62" s="14" t="s">
        <v>93</v>
      </c>
      <c r="F62" s="13"/>
    </row>
    <row r="63" spans="3:6">
      <c r="C63" s="10" t="s">
        <v>657</v>
      </c>
      <c r="D63" s="32" t="s">
        <v>284</v>
      </c>
      <c r="E63" s="14" t="s">
        <v>93</v>
      </c>
      <c r="F63" s="13"/>
    </row>
    <row r="64" spans="3:6">
      <c r="C64" s="10" t="s">
        <v>658</v>
      </c>
      <c r="D64" s="32" t="s">
        <v>284</v>
      </c>
      <c r="E64" s="14" t="s">
        <v>93</v>
      </c>
      <c r="F64" s="13"/>
    </row>
    <row r="65" spans="3:6">
      <c r="C65" s="10" t="s">
        <v>659</v>
      </c>
      <c r="D65" s="32" t="s">
        <v>284</v>
      </c>
      <c r="E65" s="14" t="s">
        <v>93</v>
      </c>
      <c r="F65" s="13"/>
    </row>
    <row r="66" spans="3:6">
      <c r="C66" s="10" t="s">
        <v>660</v>
      </c>
      <c r="D66" s="32" t="s">
        <v>284</v>
      </c>
      <c r="E66" s="14" t="s">
        <v>93</v>
      </c>
      <c r="F66" s="13"/>
    </row>
    <row r="67" spans="3:6">
      <c r="C67" s="10" t="s">
        <v>661</v>
      </c>
      <c r="D67" s="32" t="s">
        <v>284</v>
      </c>
      <c r="E67" s="14" t="s">
        <v>93</v>
      </c>
      <c r="F67" s="13"/>
    </row>
    <row r="68" spans="3:6">
      <c r="C68" s="10" t="s">
        <v>662</v>
      </c>
      <c r="D68" s="32" t="s">
        <v>284</v>
      </c>
      <c r="E68" s="14" t="s">
        <v>93</v>
      </c>
      <c r="F68" s="13"/>
    </row>
    <row r="69" spans="3:6">
      <c r="C69" s="10" t="s">
        <v>663</v>
      </c>
      <c r="D69" s="32" t="s">
        <v>284</v>
      </c>
      <c r="E69" s="14" t="s">
        <v>93</v>
      </c>
      <c r="F69" s="13"/>
    </row>
    <row r="70" spans="3:6">
      <c r="C70" s="10" t="s">
        <v>664</v>
      </c>
      <c r="D70" s="32" t="s">
        <v>284</v>
      </c>
      <c r="E70" s="14" t="s">
        <v>93</v>
      </c>
      <c r="F70" s="13"/>
    </row>
    <row r="71" spans="3:6">
      <c r="C71" s="10" t="s">
        <v>665</v>
      </c>
      <c r="D71" s="32" t="s">
        <v>284</v>
      </c>
      <c r="E71" s="14" t="s">
        <v>93</v>
      </c>
      <c r="F71" s="13"/>
    </row>
    <row r="72" spans="3:6">
      <c r="C72" s="10" t="s">
        <v>666</v>
      </c>
      <c r="D72" s="32" t="s">
        <v>284</v>
      </c>
      <c r="E72" s="14" t="s">
        <v>93</v>
      </c>
      <c r="F72" s="13"/>
    </row>
    <row r="73" spans="3:6">
      <c r="C73" s="10" t="s">
        <v>667</v>
      </c>
      <c r="D73" s="32" t="s">
        <v>284</v>
      </c>
      <c r="E73" s="14" t="s">
        <v>93</v>
      </c>
      <c r="F73" s="13"/>
    </row>
    <row r="74" spans="3:6">
      <c r="C74" s="10" t="s">
        <v>668</v>
      </c>
      <c r="D74" s="32" t="s">
        <v>284</v>
      </c>
      <c r="E74" s="14" t="s">
        <v>93</v>
      </c>
      <c r="F74" s="13"/>
    </row>
    <row r="75" spans="3:6">
      <c r="C75" s="10" t="s">
        <v>669</v>
      </c>
      <c r="D75" s="32" t="s">
        <v>284</v>
      </c>
      <c r="E75" s="14" t="s">
        <v>93</v>
      </c>
      <c r="F75" s="13"/>
    </row>
    <row r="76" spans="3:6">
      <c r="C76" s="10" t="s">
        <v>670</v>
      </c>
      <c r="D76" s="32" t="s">
        <v>284</v>
      </c>
      <c r="E76" s="14" t="s">
        <v>93</v>
      </c>
      <c r="F76" s="13"/>
    </row>
    <row r="77" spans="3:6">
      <c r="C77" s="10" t="s">
        <v>671</v>
      </c>
      <c r="D77" s="32" t="s">
        <v>284</v>
      </c>
      <c r="E77" s="14" t="s">
        <v>93</v>
      </c>
      <c r="F77" s="13"/>
    </row>
    <row r="78" spans="3:6">
      <c r="C78" s="10" t="s">
        <v>672</v>
      </c>
      <c r="D78" s="32" t="s">
        <v>284</v>
      </c>
      <c r="E78" s="14" t="s">
        <v>93</v>
      </c>
      <c r="F78" s="13"/>
    </row>
    <row r="79" spans="3:6">
      <c r="C79" s="10" t="s">
        <v>673</v>
      </c>
      <c r="D79" s="32" t="s">
        <v>284</v>
      </c>
      <c r="E79" s="14" t="s">
        <v>93</v>
      </c>
      <c r="F79" s="13"/>
    </row>
    <row r="80" spans="3:6">
      <c r="C80" s="10" t="s">
        <v>674</v>
      </c>
      <c r="D80" s="32" t="s">
        <v>284</v>
      </c>
      <c r="E80" s="14" t="s">
        <v>93</v>
      </c>
      <c r="F80" s="13"/>
    </row>
    <row r="81" spans="3:7">
      <c r="C81" s="10" t="s">
        <v>675</v>
      </c>
      <c r="D81" s="32" t="s">
        <v>284</v>
      </c>
      <c r="E81" s="14" t="s">
        <v>93</v>
      </c>
      <c r="F81" s="13"/>
    </row>
    <row r="82" spans="3:7">
      <c r="C82" s="10" t="s">
        <v>676</v>
      </c>
      <c r="D82" s="32" t="s">
        <v>284</v>
      </c>
      <c r="E82" s="14" t="s">
        <v>93</v>
      </c>
      <c r="F82" s="13"/>
    </row>
    <row r="83" spans="3:7">
      <c r="C83" s="10" t="s">
        <v>677</v>
      </c>
      <c r="D83" s="32" t="s">
        <v>284</v>
      </c>
      <c r="E83" s="14" t="s">
        <v>93</v>
      </c>
      <c r="F83" s="13"/>
    </row>
    <row r="84" spans="3:7">
      <c r="C84" s="10" t="s">
        <v>678</v>
      </c>
      <c r="D84" s="32" t="s">
        <v>284</v>
      </c>
      <c r="E84" s="14" t="s">
        <v>93</v>
      </c>
      <c r="F84" s="13"/>
    </row>
    <row r="85" spans="3:7">
      <c r="C85" s="10" t="s">
        <v>679</v>
      </c>
      <c r="D85" s="32" t="s">
        <v>284</v>
      </c>
      <c r="E85" s="14" t="s">
        <v>93</v>
      </c>
      <c r="F85" s="13"/>
    </row>
    <row r="86" spans="3:7">
      <c r="C86" s="10" t="s">
        <v>680</v>
      </c>
      <c r="D86" s="32" t="s">
        <v>284</v>
      </c>
      <c r="E86" s="14" t="s">
        <v>93</v>
      </c>
      <c r="F86" s="13"/>
    </row>
    <row r="87" spans="3:7">
      <c r="C87" s="10" t="s">
        <v>681</v>
      </c>
      <c r="D87" s="32" t="s">
        <v>284</v>
      </c>
      <c r="E87" s="14" t="s">
        <v>93</v>
      </c>
      <c r="F87" s="13"/>
    </row>
    <row r="88" spans="3:7">
      <c r="C88" s="10" t="s">
        <v>682</v>
      </c>
      <c r="D88" s="32" t="s">
        <v>284</v>
      </c>
      <c r="E88" s="14" t="s">
        <v>93</v>
      </c>
      <c r="F88" s="13"/>
    </row>
    <row r="89" spans="3:7">
      <c r="C89" s="10" t="s">
        <v>683</v>
      </c>
      <c r="D89" s="32" t="s">
        <v>284</v>
      </c>
      <c r="E89" s="14" t="s">
        <v>93</v>
      </c>
      <c r="F89" s="13"/>
    </row>
    <row r="90" spans="3:7">
      <c r="C90" s="10" t="s">
        <v>684</v>
      </c>
      <c r="D90" s="32" t="s">
        <v>284</v>
      </c>
      <c r="E90" s="14" t="s">
        <v>93</v>
      </c>
      <c r="F90" s="13"/>
    </row>
    <row r="91" spans="3:7">
      <c r="C91" s="10" t="s">
        <v>685</v>
      </c>
      <c r="D91" s="32" t="s">
        <v>284</v>
      </c>
      <c r="E91" s="14" t="s">
        <v>93</v>
      </c>
      <c r="F91" s="13"/>
    </row>
    <row r="92" spans="3:7">
      <c r="C92" s="10" t="s">
        <v>686</v>
      </c>
      <c r="D92" s="32" t="s">
        <v>284</v>
      </c>
      <c r="E92" s="14" t="s">
        <v>93</v>
      </c>
      <c r="F92" s="13"/>
    </row>
    <row r="93" spans="3:7">
      <c r="C93" s="10" t="s">
        <v>687</v>
      </c>
      <c r="D93" s="32" t="s">
        <v>284</v>
      </c>
      <c r="E93" s="14" t="s">
        <v>93</v>
      </c>
      <c r="F93" s="13"/>
    </row>
    <row r="94" spans="3:7">
      <c r="C94" s="10" t="s">
        <v>688</v>
      </c>
      <c r="D94" s="32" t="s">
        <v>284</v>
      </c>
      <c r="E94" s="14" t="s">
        <v>93</v>
      </c>
      <c r="F94" s="13"/>
    </row>
    <row r="95" spans="3:7">
      <c r="C95" s="10" t="s">
        <v>689</v>
      </c>
      <c r="D95" s="32" t="s">
        <v>284</v>
      </c>
      <c r="E95" s="14" t="s">
        <v>93</v>
      </c>
      <c r="F95" s="13"/>
      <c r="G95" s="12"/>
    </row>
    <row r="96" spans="3:7">
      <c r="C96" s="10" t="s">
        <v>690</v>
      </c>
      <c r="D96" s="32" t="s">
        <v>284</v>
      </c>
      <c r="E96" s="14" t="s">
        <v>93</v>
      </c>
      <c r="F96" s="13"/>
      <c r="G96" s="12"/>
    </row>
    <row r="97" spans="3:7">
      <c r="C97" s="10" t="s">
        <v>691</v>
      </c>
      <c r="D97" s="32" t="s">
        <v>284</v>
      </c>
      <c r="E97" s="14" t="s">
        <v>93</v>
      </c>
      <c r="F97" s="13"/>
      <c r="G97" s="12"/>
    </row>
    <row r="98" spans="3:7">
      <c r="C98" s="10" t="s">
        <v>692</v>
      </c>
      <c r="D98" s="32" t="s">
        <v>284</v>
      </c>
      <c r="E98" s="14" t="s">
        <v>93</v>
      </c>
      <c r="F98" s="13"/>
      <c r="G98" s="12"/>
    </row>
    <row r="99" spans="3:7">
      <c r="C99" s="10" t="s">
        <v>693</v>
      </c>
      <c r="D99" s="32" t="s">
        <v>284</v>
      </c>
      <c r="E99" s="14" t="s">
        <v>93</v>
      </c>
    </row>
    <row r="100" spans="3:7">
      <c r="C100" s="10" t="s">
        <v>694</v>
      </c>
      <c r="D100" s="32" t="s">
        <v>284</v>
      </c>
      <c r="E100" s="14" t="s">
        <v>93</v>
      </c>
    </row>
    <row r="101" spans="3:7">
      <c r="C101" s="10" t="s">
        <v>695</v>
      </c>
      <c r="D101" s="32" t="s">
        <v>284</v>
      </c>
      <c r="E101" s="14" t="s">
        <v>93</v>
      </c>
    </row>
    <row r="102" spans="3:7">
      <c r="C102" s="10" t="s">
        <v>696</v>
      </c>
      <c r="D102" s="32" t="s">
        <v>284</v>
      </c>
      <c r="E102" s="14" t="s">
        <v>93</v>
      </c>
    </row>
    <row r="103" spans="3:7">
      <c r="C103" s="10" t="s">
        <v>697</v>
      </c>
      <c r="D103" s="32" t="s">
        <v>284</v>
      </c>
      <c r="E103" s="14" t="s">
        <v>93</v>
      </c>
    </row>
    <row r="104" spans="3:7">
      <c r="C104" s="10" t="s">
        <v>698</v>
      </c>
      <c r="D104" s="32" t="s">
        <v>284</v>
      </c>
      <c r="E104" s="14" t="s">
        <v>93</v>
      </c>
    </row>
    <row r="105" spans="3:7">
      <c r="C105" s="10" t="s">
        <v>699</v>
      </c>
      <c r="D105" s="32" t="s">
        <v>284</v>
      </c>
      <c r="E105" s="14" t="s">
        <v>93</v>
      </c>
    </row>
    <row r="106" spans="3:7">
      <c r="C106" s="10" t="s">
        <v>700</v>
      </c>
      <c r="D106" s="32" t="s">
        <v>284</v>
      </c>
      <c r="E106" s="14" t="s">
        <v>93</v>
      </c>
    </row>
    <row r="107" spans="3:7">
      <c r="C107" s="10" t="s">
        <v>701</v>
      </c>
      <c r="D107" s="32" t="s">
        <v>284</v>
      </c>
      <c r="E107" s="14" t="s">
        <v>93</v>
      </c>
    </row>
    <row r="108" spans="3:7">
      <c r="C108" s="10" t="s">
        <v>702</v>
      </c>
      <c r="D108" s="32" t="s">
        <v>284</v>
      </c>
      <c r="E108" s="14" t="s">
        <v>93</v>
      </c>
    </row>
    <row r="109" spans="3:7">
      <c r="C109" s="10" t="s">
        <v>703</v>
      </c>
      <c r="D109" s="32" t="s">
        <v>284</v>
      </c>
      <c r="E109" s="14" t="s">
        <v>93</v>
      </c>
    </row>
    <row r="110" spans="3:7">
      <c r="C110" s="10" t="s">
        <v>704</v>
      </c>
      <c r="D110" s="32" t="s">
        <v>284</v>
      </c>
      <c r="E110" s="14" t="s">
        <v>93</v>
      </c>
    </row>
    <row r="111" spans="3:7">
      <c r="C111" s="10" t="s">
        <v>705</v>
      </c>
      <c r="D111" s="32" t="s">
        <v>284</v>
      </c>
      <c r="E111" s="14" t="s">
        <v>93</v>
      </c>
    </row>
    <row r="112" spans="3:7">
      <c r="C112" s="10" t="s">
        <v>706</v>
      </c>
      <c r="D112" s="32" t="s">
        <v>284</v>
      </c>
      <c r="E112" s="14" t="s">
        <v>93</v>
      </c>
    </row>
    <row r="113" spans="3:7">
      <c r="C113" s="10" t="s">
        <v>707</v>
      </c>
      <c r="D113" s="32" t="s">
        <v>284</v>
      </c>
      <c r="E113" s="14" t="s">
        <v>93</v>
      </c>
    </row>
    <row r="114" spans="3:7">
      <c r="C114" s="10" t="s">
        <v>708</v>
      </c>
      <c r="D114" s="32" t="s">
        <v>284</v>
      </c>
      <c r="E114" s="14" t="s">
        <v>93</v>
      </c>
    </row>
    <row r="115" spans="3:7">
      <c r="C115" s="10" t="s">
        <v>709</v>
      </c>
      <c r="D115" s="32" t="s">
        <v>284</v>
      </c>
      <c r="E115" s="14" t="s">
        <v>93</v>
      </c>
    </row>
    <row r="116" spans="3:7">
      <c r="C116" s="10" t="s">
        <v>710</v>
      </c>
      <c r="D116" s="32" t="s">
        <v>284</v>
      </c>
      <c r="E116" s="14" t="s">
        <v>93</v>
      </c>
    </row>
    <row r="117" spans="3:7">
      <c r="C117" s="10" t="s">
        <v>711</v>
      </c>
      <c r="D117" s="32" t="s">
        <v>284</v>
      </c>
      <c r="E117" s="14" t="s">
        <v>93</v>
      </c>
    </row>
    <row r="118" spans="3:7">
      <c r="C118" s="10" t="s">
        <v>712</v>
      </c>
      <c r="D118" s="32" t="s">
        <v>284</v>
      </c>
      <c r="E118" s="14" t="s">
        <v>93</v>
      </c>
    </row>
    <row r="119" spans="3:7">
      <c r="C119" s="10" t="s">
        <v>713</v>
      </c>
      <c r="D119" s="32" t="s">
        <v>284</v>
      </c>
      <c r="E119" s="14" t="s">
        <v>93</v>
      </c>
    </row>
    <row r="120" spans="3:7">
      <c r="C120" s="10" t="s">
        <v>714</v>
      </c>
      <c r="D120" s="32" t="s">
        <v>284</v>
      </c>
      <c r="E120" s="14" t="s">
        <v>93</v>
      </c>
    </row>
    <row r="121" spans="3:7">
      <c r="C121" s="10" t="s">
        <v>715</v>
      </c>
      <c r="D121" s="32" t="s">
        <v>284</v>
      </c>
      <c r="E121" s="14" t="s">
        <v>93</v>
      </c>
    </row>
    <row r="122" spans="3:7">
      <c r="C122" s="10" t="s">
        <v>716</v>
      </c>
      <c r="D122" s="32" t="s">
        <v>284</v>
      </c>
      <c r="E122" s="14" t="s">
        <v>16</v>
      </c>
    </row>
    <row r="123" spans="3:7">
      <c r="C123" s="10" t="s">
        <v>717</v>
      </c>
      <c r="D123" s="32" t="s">
        <v>284</v>
      </c>
      <c r="E123" s="14" t="s">
        <v>16</v>
      </c>
    </row>
    <row r="124" spans="3:7">
      <c r="C124" s="10" t="s">
        <v>718</v>
      </c>
      <c r="D124" s="32" t="s">
        <v>284</v>
      </c>
      <c r="E124" s="14" t="s">
        <v>16</v>
      </c>
    </row>
    <row r="125" spans="3:7">
      <c r="C125" s="12" t="s">
        <v>0</v>
      </c>
      <c r="D125" s="12" t="s">
        <v>11</v>
      </c>
      <c r="E125" s="11" t="s">
        <v>16</v>
      </c>
      <c r="F125" s="13" t="s">
        <v>20</v>
      </c>
      <c r="G125" s="12" t="s">
        <v>30</v>
      </c>
    </row>
    <row r="126" spans="3:7">
      <c r="C126" s="12" t="s">
        <v>1</v>
      </c>
      <c r="D126" s="12" t="s">
        <v>37</v>
      </c>
      <c r="E126" s="11"/>
      <c r="F126" s="13"/>
      <c r="G126" s="12" t="s">
        <v>31</v>
      </c>
    </row>
    <row r="127" spans="3:7">
      <c r="C127" s="12" t="s">
        <v>19</v>
      </c>
      <c r="D127" s="12" t="s">
        <v>11</v>
      </c>
      <c r="E127" s="11" t="s">
        <v>16</v>
      </c>
      <c r="F127" s="13" t="s">
        <v>20</v>
      </c>
      <c r="G127" s="12" t="s">
        <v>32</v>
      </c>
    </row>
    <row r="128" spans="3:7">
      <c r="C128" s="12" t="s">
        <v>2</v>
      </c>
      <c r="D128" s="12" t="s">
        <v>37</v>
      </c>
      <c r="E128" s="11"/>
      <c r="F128" s="13"/>
      <c r="G128" s="12" t="s">
        <v>33</v>
      </c>
    </row>
  </sheetData>
  <phoneticPr fontId="3" type="noConversion"/>
  <hyperlinks>
    <hyperlink ref="A1" location="目錄!A1" display="回到目錄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X9"/>
  <sheetViews>
    <sheetView workbookViewId="0"/>
  </sheetViews>
  <sheetFormatPr defaultRowHeight="13.8"/>
  <cols>
    <col min="1" max="1" width="7.453125" style="39" bestFit="1" customWidth="1"/>
    <col min="2" max="2" width="8.54296875" style="39" bestFit="1" customWidth="1"/>
    <col min="3" max="3" width="8.81640625" style="39" bestFit="1" customWidth="1"/>
    <col min="4" max="4" width="8.08984375" style="39" bestFit="1" customWidth="1"/>
    <col min="5" max="5" width="3.90625" style="39" bestFit="1" customWidth="1"/>
    <col min="6" max="6" width="11.36328125" style="39" bestFit="1" customWidth="1"/>
    <col min="7" max="8" width="8.54296875" style="39" bestFit="1" customWidth="1"/>
    <col min="9" max="9" width="4.6328125" style="1" bestFit="1" customWidth="1"/>
    <col min="10" max="18" width="4.6328125" style="39" bestFit="1" customWidth="1"/>
    <col min="19" max="71" width="5.54296875" style="39" bestFit="1" customWidth="1"/>
    <col min="72" max="73" width="5.81640625" style="39" bestFit="1" customWidth="1"/>
    <col min="74" max="74" width="5.54296875" style="39" bestFit="1" customWidth="1"/>
    <col min="75" max="91" width="5.81640625" style="39" bestFit="1" customWidth="1"/>
    <col min="92" max="92" width="5.54296875" style="39" bestFit="1" customWidth="1"/>
    <col min="93" max="98" width="5.81640625" style="39" bestFit="1" customWidth="1"/>
    <col min="99" max="118" width="6.7265625" style="39" bestFit="1" customWidth="1"/>
    <col min="119" max="124" width="6.453125" style="39" bestFit="1" customWidth="1"/>
    <col min="125" max="125" width="10" style="39" bestFit="1" customWidth="1"/>
    <col min="126" max="126" width="7" style="39" bestFit="1" customWidth="1"/>
    <col min="127" max="127" width="10.36328125" style="39" bestFit="1" customWidth="1"/>
    <col min="128" max="128" width="7.81640625" style="39" bestFit="1" customWidth="1"/>
    <col min="129" max="16384" width="8.7265625" style="39"/>
  </cols>
  <sheetData>
    <row r="1" spans="1:128">
      <c r="A1" s="69" t="s">
        <v>36</v>
      </c>
      <c r="B1" s="92" t="s">
        <v>171</v>
      </c>
      <c r="C1" s="92" t="s">
        <v>3728</v>
      </c>
      <c r="D1" s="92" t="s">
        <v>528</v>
      </c>
      <c r="E1" s="92" t="s">
        <v>3014</v>
      </c>
      <c r="F1" s="92" t="s">
        <v>4916</v>
      </c>
      <c r="G1" s="92" t="s">
        <v>3730</v>
      </c>
      <c r="H1" s="92" t="s">
        <v>2924</v>
      </c>
      <c r="I1" s="92" t="s">
        <v>3058</v>
      </c>
      <c r="J1" s="92" t="s">
        <v>3059</v>
      </c>
      <c r="K1" s="92" t="s">
        <v>605</v>
      </c>
      <c r="L1" s="92" t="s">
        <v>606</v>
      </c>
      <c r="M1" s="92" t="s">
        <v>607</v>
      </c>
      <c r="N1" s="92" t="s">
        <v>608</v>
      </c>
      <c r="O1" s="92" t="s">
        <v>609</v>
      </c>
      <c r="P1" s="92" t="s">
        <v>610</v>
      </c>
      <c r="Q1" s="92" t="s">
        <v>611</v>
      </c>
      <c r="R1" s="92" t="s">
        <v>612</v>
      </c>
      <c r="S1" s="92" t="s">
        <v>613</v>
      </c>
      <c r="T1" s="92" t="s">
        <v>614</v>
      </c>
      <c r="U1" s="92" t="s">
        <v>615</v>
      </c>
      <c r="V1" s="92" t="s">
        <v>616</v>
      </c>
      <c r="W1" s="92" t="s">
        <v>617</v>
      </c>
      <c r="X1" s="92" t="s">
        <v>618</v>
      </c>
      <c r="Y1" s="92" t="s">
        <v>619</v>
      </c>
      <c r="Z1" s="92" t="s">
        <v>620</v>
      </c>
      <c r="AA1" s="92" t="s">
        <v>621</v>
      </c>
      <c r="AB1" s="92" t="s">
        <v>622</v>
      </c>
      <c r="AC1" s="92" t="s">
        <v>623</v>
      </c>
      <c r="AD1" s="92" t="s">
        <v>624</v>
      </c>
      <c r="AE1" s="92" t="s">
        <v>625</v>
      </c>
      <c r="AF1" s="92" t="s">
        <v>626</v>
      </c>
      <c r="AG1" s="92" t="s">
        <v>627</v>
      </c>
      <c r="AH1" s="92" t="s">
        <v>628</v>
      </c>
      <c r="AI1" s="92" t="s">
        <v>629</v>
      </c>
      <c r="AJ1" s="92" t="s">
        <v>630</v>
      </c>
      <c r="AK1" s="92" t="s">
        <v>631</v>
      </c>
      <c r="AL1" s="92" t="s">
        <v>632</v>
      </c>
      <c r="AM1" s="92" t="s">
        <v>633</v>
      </c>
      <c r="AN1" s="92" t="s">
        <v>634</v>
      </c>
      <c r="AO1" s="92" t="s">
        <v>635</v>
      </c>
      <c r="AP1" s="92" t="s">
        <v>636</v>
      </c>
      <c r="AQ1" s="92" t="s">
        <v>637</v>
      </c>
      <c r="AR1" s="92" t="s">
        <v>638</v>
      </c>
      <c r="AS1" s="92" t="s">
        <v>639</v>
      </c>
      <c r="AT1" s="92" t="s">
        <v>640</v>
      </c>
      <c r="AU1" s="92" t="s">
        <v>641</v>
      </c>
      <c r="AV1" s="92" t="s">
        <v>642</v>
      </c>
      <c r="AW1" s="92" t="s">
        <v>643</v>
      </c>
      <c r="AX1" s="92" t="s">
        <v>644</v>
      </c>
      <c r="AY1" s="92" t="s">
        <v>645</v>
      </c>
      <c r="AZ1" s="92" t="s">
        <v>646</v>
      </c>
      <c r="BA1" s="92" t="s">
        <v>647</v>
      </c>
      <c r="BB1" s="92" t="s">
        <v>648</v>
      </c>
      <c r="BC1" s="92" t="s">
        <v>649</v>
      </c>
      <c r="BD1" s="92" t="s">
        <v>650</v>
      </c>
      <c r="BE1" s="92" t="s">
        <v>651</v>
      </c>
      <c r="BF1" s="92" t="s">
        <v>652</v>
      </c>
      <c r="BG1" s="92" t="s">
        <v>653</v>
      </c>
      <c r="BH1" s="92" t="s">
        <v>654</v>
      </c>
      <c r="BI1" s="92" t="s">
        <v>655</v>
      </c>
      <c r="BJ1" s="92" t="s">
        <v>656</v>
      </c>
      <c r="BK1" s="92" t="s">
        <v>657</v>
      </c>
      <c r="BL1" s="92" t="s">
        <v>658</v>
      </c>
      <c r="BM1" s="92" t="s">
        <v>659</v>
      </c>
      <c r="BN1" s="92" t="s">
        <v>660</v>
      </c>
      <c r="BO1" s="92" t="s">
        <v>661</v>
      </c>
      <c r="BP1" s="92" t="s">
        <v>662</v>
      </c>
      <c r="BQ1" s="92" t="s">
        <v>663</v>
      </c>
      <c r="BR1" s="92" t="s">
        <v>664</v>
      </c>
      <c r="BS1" s="92" t="s">
        <v>665</v>
      </c>
      <c r="BT1" s="92" t="s">
        <v>666</v>
      </c>
      <c r="BU1" s="92" t="s">
        <v>667</v>
      </c>
      <c r="BV1" s="92" t="s">
        <v>668</v>
      </c>
      <c r="BW1" s="92" t="s">
        <v>669</v>
      </c>
      <c r="BX1" s="92" t="s">
        <v>670</v>
      </c>
      <c r="BY1" s="92" t="s">
        <v>671</v>
      </c>
      <c r="BZ1" s="92" t="s">
        <v>672</v>
      </c>
      <c r="CA1" s="92" t="s">
        <v>673</v>
      </c>
      <c r="CB1" s="92" t="s">
        <v>674</v>
      </c>
      <c r="CC1" s="92" t="s">
        <v>675</v>
      </c>
      <c r="CD1" s="92" t="s">
        <v>676</v>
      </c>
      <c r="CE1" s="92" t="s">
        <v>677</v>
      </c>
      <c r="CF1" s="92" t="s">
        <v>678</v>
      </c>
      <c r="CG1" s="92" t="s">
        <v>679</v>
      </c>
      <c r="CH1" s="92" t="s">
        <v>680</v>
      </c>
      <c r="CI1" s="92" t="s">
        <v>681</v>
      </c>
      <c r="CJ1" s="92" t="s">
        <v>682</v>
      </c>
      <c r="CK1" s="92" t="s">
        <v>683</v>
      </c>
      <c r="CL1" s="92" t="s">
        <v>684</v>
      </c>
      <c r="CM1" s="92" t="s">
        <v>685</v>
      </c>
      <c r="CN1" s="92" t="s">
        <v>686</v>
      </c>
      <c r="CO1" s="92" t="s">
        <v>687</v>
      </c>
      <c r="CP1" s="92" t="s">
        <v>688</v>
      </c>
      <c r="CQ1" s="92" t="s">
        <v>689</v>
      </c>
      <c r="CR1" s="92" t="s">
        <v>690</v>
      </c>
      <c r="CS1" s="92" t="s">
        <v>691</v>
      </c>
      <c r="CT1" s="92" t="s">
        <v>692</v>
      </c>
      <c r="CU1" s="92" t="s">
        <v>693</v>
      </c>
      <c r="CV1" s="92" t="s">
        <v>694</v>
      </c>
      <c r="CW1" s="92" t="s">
        <v>695</v>
      </c>
      <c r="CX1" s="92" t="s">
        <v>696</v>
      </c>
      <c r="CY1" s="92" t="s">
        <v>697</v>
      </c>
      <c r="CZ1" s="92" t="s">
        <v>698</v>
      </c>
      <c r="DA1" s="92" t="s">
        <v>699</v>
      </c>
      <c r="DB1" s="92" t="s">
        <v>700</v>
      </c>
      <c r="DC1" s="92" t="s">
        <v>701</v>
      </c>
      <c r="DD1" s="92" t="s">
        <v>702</v>
      </c>
      <c r="DE1" s="92" t="s">
        <v>703</v>
      </c>
      <c r="DF1" s="92" t="s">
        <v>704</v>
      </c>
      <c r="DG1" s="92" t="s">
        <v>705</v>
      </c>
      <c r="DH1" s="92" t="s">
        <v>706</v>
      </c>
      <c r="DI1" s="92" t="s">
        <v>707</v>
      </c>
      <c r="DJ1" s="92" t="s">
        <v>708</v>
      </c>
      <c r="DK1" s="92" t="s">
        <v>709</v>
      </c>
      <c r="DL1" s="92" t="s">
        <v>710</v>
      </c>
      <c r="DM1" s="92" t="s">
        <v>711</v>
      </c>
      <c r="DN1" s="92" t="s">
        <v>712</v>
      </c>
      <c r="DO1" s="92" t="s">
        <v>713</v>
      </c>
      <c r="DP1" s="92" t="s">
        <v>714</v>
      </c>
      <c r="DQ1" s="92" t="s">
        <v>715</v>
      </c>
      <c r="DR1" s="92" t="s">
        <v>716</v>
      </c>
      <c r="DS1" s="92" t="s">
        <v>717</v>
      </c>
      <c r="DT1" s="92" t="s">
        <v>718</v>
      </c>
      <c r="DU1" s="92" t="s">
        <v>0</v>
      </c>
      <c r="DV1" s="92" t="s">
        <v>1</v>
      </c>
      <c r="DW1" s="92" t="s">
        <v>19</v>
      </c>
      <c r="DX1" s="92" t="s">
        <v>2</v>
      </c>
    </row>
    <row r="2" spans="1:128">
      <c r="B2" s="39" t="s">
        <v>4704</v>
      </c>
      <c r="C2" s="39" t="s">
        <v>4705</v>
      </c>
      <c r="D2" s="39">
        <v>1</v>
      </c>
      <c r="E2" s="39" t="s">
        <v>4918</v>
      </c>
      <c r="F2" s="39">
        <v>1</v>
      </c>
      <c r="G2" s="39">
        <v>20200101</v>
      </c>
      <c r="H2" s="39">
        <v>99991231</v>
      </c>
      <c r="I2" s="1">
        <v>0</v>
      </c>
      <c r="J2" s="39">
        <v>0</v>
      </c>
      <c r="K2" s="39">
        <v>0</v>
      </c>
      <c r="L2" s="39">
        <v>0</v>
      </c>
      <c r="M2" s="39">
        <v>0</v>
      </c>
      <c r="N2" s="39">
        <v>0</v>
      </c>
      <c r="O2" s="39">
        <v>0</v>
      </c>
      <c r="P2" s="39">
        <v>0</v>
      </c>
      <c r="Q2" s="39">
        <v>0</v>
      </c>
      <c r="R2" s="39">
        <v>0</v>
      </c>
      <c r="S2" s="39">
        <v>0</v>
      </c>
      <c r="T2" s="39">
        <v>0</v>
      </c>
      <c r="U2" s="39">
        <v>0</v>
      </c>
      <c r="V2" s="39">
        <v>0</v>
      </c>
      <c r="W2" s="39">
        <v>0</v>
      </c>
      <c r="X2" s="39">
        <v>0.26</v>
      </c>
      <c r="Y2" s="39">
        <v>0.34</v>
      </c>
      <c r="Z2" s="39">
        <v>0.41</v>
      </c>
      <c r="AA2" s="39">
        <v>0.44</v>
      </c>
      <c r="AB2" s="39">
        <v>0.46</v>
      </c>
      <c r="AC2" s="39">
        <v>0.47</v>
      </c>
      <c r="AD2" s="39">
        <v>0.48</v>
      </c>
      <c r="AE2" s="39">
        <v>0.5</v>
      </c>
      <c r="AF2" s="39">
        <v>0.53</v>
      </c>
      <c r="AG2" s="39">
        <v>0.56999999999999995</v>
      </c>
      <c r="AH2" s="39">
        <v>0.62</v>
      </c>
      <c r="AI2" s="39">
        <v>0.66</v>
      </c>
      <c r="AJ2" s="39">
        <v>0.69</v>
      </c>
      <c r="AK2" s="39">
        <v>0.72</v>
      </c>
      <c r="AL2" s="39">
        <v>0.76</v>
      </c>
      <c r="AM2" s="39">
        <v>0.8</v>
      </c>
      <c r="AN2" s="39">
        <v>0.85</v>
      </c>
      <c r="AO2" s="39">
        <v>0.91</v>
      </c>
      <c r="AP2" s="39">
        <v>0.98</v>
      </c>
      <c r="AQ2" s="39">
        <v>1.06</v>
      </c>
      <c r="AR2" s="39">
        <v>1.1499999999999999</v>
      </c>
      <c r="AS2" s="39">
        <v>1.25</v>
      </c>
      <c r="AT2" s="39">
        <v>1.35</v>
      </c>
      <c r="AU2" s="39">
        <v>1.46</v>
      </c>
      <c r="AV2" s="39">
        <v>1.57</v>
      </c>
      <c r="AW2" s="39">
        <v>1.69</v>
      </c>
      <c r="AX2" s="39">
        <v>1.82</v>
      </c>
      <c r="AY2" s="39">
        <v>1.98</v>
      </c>
      <c r="AZ2" s="39">
        <v>2.16</v>
      </c>
      <c r="BA2" s="39">
        <v>2.35</v>
      </c>
      <c r="BB2" s="39">
        <v>2.56</v>
      </c>
      <c r="BC2" s="39">
        <v>2.79</v>
      </c>
      <c r="BD2" s="39">
        <v>3.02</v>
      </c>
      <c r="BE2" s="39">
        <v>3.29</v>
      </c>
      <c r="BF2" s="39">
        <v>3.57</v>
      </c>
      <c r="BG2" s="39">
        <v>3.85</v>
      </c>
      <c r="BH2" s="39">
        <v>4.1399999999999997</v>
      </c>
      <c r="BI2" s="39">
        <v>4.45</v>
      </c>
      <c r="BJ2" s="39">
        <v>4.76</v>
      </c>
      <c r="BK2" s="39">
        <v>5.07</v>
      </c>
      <c r="BL2" s="39">
        <v>5.39</v>
      </c>
      <c r="BM2" s="39">
        <v>5.77</v>
      </c>
      <c r="BN2" s="39">
        <v>6.24</v>
      </c>
      <c r="BO2" s="39">
        <v>6.81</v>
      </c>
      <c r="BP2" s="39">
        <v>7.53</v>
      </c>
      <c r="BQ2" s="39">
        <v>8.2100000000000009</v>
      </c>
      <c r="BR2" s="39">
        <v>8.76</v>
      </c>
      <c r="BS2" s="39">
        <v>9.44</v>
      </c>
      <c r="BT2" s="39">
        <v>10.27</v>
      </c>
      <c r="BU2" s="39">
        <v>11.24</v>
      </c>
      <c r="BV2" s="39">
        <v>12.3</v>
      </c>
      <c r="BW2" s="39">
        <v>13.42</v>
      </c>
      <c r="BX2" s="39">
        <v>14.62</v>
      </c>
      <c r="BY2" s="39">
        <v>15.99</v>
      </c>
      <c r="BZ2" s="39">
        <v>17.52</v>
      </c>
      <c r="CA2" s="39">
        <v>19.170000000000002</v>
      </c>
      <c r="CB2" s="39">
        <v>20.97</v>
      </c>
      <c r="CC2" s="39">
        <v>22.89</v>
      </c>
      <c r="CD2" s="39">
        <v>24.97</v>
      </c>
      <c r="CE2" s="39">
        <v>27.2</v>
      </c>
      <c r="CF2" s="39">
        <v>29.61</v>
      </c>
      <c r="CG2" s="39">
        <v>32.18</v>
      </c>
      <c r="CH2" s="39">
        <v>34.97</v>
      </c>
      <c r="CI2" s="39">
        <v>38</v>
      </c>
      <c r="CJ2" s="39">
        <v>41.32</v>
      </c>
      <c r="CK2" s="39">
        <v>44.96</v>
      </c>
      <c r="CL2" s="39">
        <v>48.94</v>
      </c>
      <c r="CM2" s="39">
        <v>53.23</v>
      </c>
      <c r="CN2" s="39">
        <v>57.9</v>
      </c>
      <c r="CO2" s="39">
        <v>62.89</v>
      </c>
      <c r="CP2" s="39">
        <v>68.290000000000006</v>
      </c>
      <c r="CQ2" s="39">
        <v>74.16</v>
      </c>
      <c r="CR2" s="39">
        <v>80.510000000000005</v>
      </c>
      <c r="CS2" s="39">
        <v>87.55</v>
      </c>
      <c r="CT2" s="39">
        <v>95.4</v>
      </c>
      <c r="CU2" s="39">
        <v>104.43</v>
      </c>
      <c r="CV2" s="39">
        <v>114.87</v>
      </c>
      <c r="CW2" s="39">
        <v>125.22</v>
      </c>
      <c r="CX2" s="39">
        <v>136.51</v>
      </c>
      <c r="CY2" s="39">
        <v>148.81</v>
      </c>
      <c r="CZ2" s="39">
        <v>162.22</v>
      </c>
      <c r="DA2" s="39">
        <v>176.84</v>
      </c>
      <c r="DB2" s="39">
        <v>192.78</v>
      </c>
      <c r="DC2" s="39">
        <v>210.15</v>
      </c>
      <c r="DD2" s="39">
        <v>229.09</v>
      </c>
      <c r="DE2" s="39">
        <v>249.74</v>
      </c>
      <c r="DF2" s="39">
        <v>272.24</v>
      </c>
      <c r="DG2" s="39">
        <v>296.77999999999997</v>
      </c>
      <c r="DH2" s="39">
        <v>323.52999999999997</v>
      </c>
      <c r="DI2" s="39">
        <v>352.68</v>
      </c>
      <c r="DJ2" s="39">
        <v>384.47</v>
      </c>
      <c r="DK2" s="39">
        <v>419.12</v>
      </c>
      <c r="DL2" s="39">
        <v>456.89</v>
      </c>
      <c r="DM2" s="39">
        <v>498.07</v>
      </c>
      <c r="DN2" s="39">
        <v>542.96</v>
      </c>
      <c r="DO2" s="39">
        <v>750</v>
      </c>
      <c r="DP2" s="39">
        <v>750</v>
      </c>
      <c r="DQ2" s="39" t="s">
        <v>546</v>
      </c>
      <c r="DR2" s="39" t="s">
        <v>546</v>
      </c>
      <c r="DS2" s="39" t="s">
        <v>546</v>
      </c>
      <c r="DT2" s="39" t="s">
        <v>546</v>
      </c>
      <c r="DV2" s="39" t="s">
        <v>4917</v>
      </c>
      <c r="DX2" s="39" t="s">
        <v>4917</v>
      </c>
    </row>
    <row r="3" spans="1:128">
      <c r="B3" s="39" t="s">
        <v>4704</v>
      </c>
      <c r="C3" s="39" t="s">
        <v>4705</v>
      </c>
      <c r="D3" s="39">
        <v>1</v>
      </c>
      <c r="E3" s="39" t="s">
        <v>4919</v>
      </c>
      <c r="F3" s="39">
        <v>1</v>
      </c>
      <c r="G3" s="39">
        <v>20200101</v>
      </c>
      <c r="H3" s="39">
        <v>99991231</v>
      </c>
      <c r="I3" s="1">
        <v>0</v>
      </c>
      <c r="J3" s="39">
        <v>0</v>
      </c>
      <c r="K3" s="39">
        <v>0</v>
      </c>
      <c r="L3" s="39">
        <v>0</v>
      </c>
      <c r="M3" s="39">
        <v>0</v>
      </c>
      <c r="N3" s="39">
        <v>0</v>
      </c>
      <c r="O3" s="39">
        <v>0</v>
      </c>
      <c r="P3" s="39">
        <v>0</v>
      </c>
      <c r="Q3" s="39">
        <v>0</v>
      </c>
      <c r="R3" s="39">
        <v>0</v>
      </c>
      <c r="S3" s="39">
        <v>0</v>
      </c>
      <c r="T3" s="39">
        <v>0</v>
      </c>
      <c r="U3" s="39">
        <v>0</v>
      </c>
      <c r="V3" s="39">
        <v>0</v>
      </c>
      <c r="W3" s="39">
        <v>0</v>
      </c>
      <c r="X3" s="39">
        <v>0.14000000000000001</v>
      </c>
      <c r="Y3" s="39">
        <v>0.15</v>
      </c>
      <c r="Z3" s="39">
        <v>0.17</v>
      </c>
      <c r="AA3" s="39">
        <v>0.18</v>
      </c>
      <c r="AB3" s="39">
        <v>0.19</v>
      </c>
      <c r="AC3" s="39">
        <v>0.19</v>
      </c>
      <c r="AD3" s="39">
        <v>0.19</v>
      </c>
      <c r="AE3" s="39">
        <v>0.2</v>
      </c>
      <c r="AF3" s="39">
        <v>0.22</v>
      </c>
      <c r="AG3" s="39">
        <v>0.24</v>
      </c>
      <c r="AH3" s="39">
        <v>0.27</v>
      </c>
      <c r="AI3" s="39">
        <v>0.28000000000000003</v>
      </c>
      <c r="AJ3" s="39">
        <v>0.28000000000000003</v>
      </c>
      <c r="AK3" s="39">
        <v>0.28999999999999998</v>
      </c>
      <c r="AL3" s="39">
        <v>0.28999999999999998</v>
      </c>
      <c r="AM3" s="39">
        <v>0.3</v>
      </c>
      <c r="AN3" s="39">
        <v>0.31</v>
      </c>
      <c r="AO3" s="39">
        <v>0.33</v>
      </c>
      <c r="AP3" s="39">
        <v>0.36</v>
      </c>
      <c r="AQ3" s="39">
        <v>0.39</v>
      </c>
      <c r="AR3" s="39">
        <v>0.42</v>
      </c>
      <c r="AS3" s="39">
        <v>0.45</v>
      </c>
      <c r="AT3" s="39">
        <v>0.48</v>
      </c>
      <c r="AU3" s="39">
        <v>0.52</v>
      </c>
      <c r="AV3" s="39">
        <v>0.56999999999999995</v>
      </c>
      <c r="AW3" s="39">
        <v>0.62</v>
      </c>
      <c r="AX3" s="39">
        <v>0.67</v>
      </c>
      <c r="AY3" s="39">
        <v>0.71</v>
      </c>
      <c r="AZ3" s="39">
        <v>0.77</v>
      </c>
      <c r="BA3" s="39">
        <v>0.84</v>
      </c>
      <c r="BB3" s="39">
        <v>0.92</v>
      </c>
      <c r="BC3" s="39">
        <v>1.02</v>
      </c>
      <c r="BD3" s="39">
        <v>1.1200000000000001</v>
      </c>
      <c r="BE3" s="39">
        <v>1.23</v>
      </c>
      <c r="BF3" s="39">
        <v>1.35</v>
      </c>
      <c r="BG3" s="39">
        <v>1.49</v>
      </c>
      <c r="BH3" s="39">
        <v>1.66</v>
      </c>
      <c r="BI3" s="39">
        <v>1.81</v>
      </c>
      <c r="BJ3" s="39">
        <v>1.97</v>
      </c>
      <c r="BK3" s="39">
        <v>2.11</v>
      </c>
      <c r="BL3" s="39">
        <v>2.27</v>
      </c>
      <c r="BM3" s="39">
        <v>2.46</v>
      </c>
      <c r="BN3" s="39">
        <v>2.7</v>
      </c>
      <c r="BO3" s="39">
        <v>3</v>
      </c>
      <c r="BP3" s="39">
        <v>3.35</v>
      </c>
      <c r="BQ3" s="39">
        <v>3.74</v>
      </c>
      <c r="BR3" s="39">
        <v>4.1100000000000003</v>
      </c>
      <c r="BS3" s="39">
        <v>4.49</v>
      </c>
      <c r="BT3" s="39">
        <v>4.92</v>
      </c>
      <c r="BU3" s="39">
        <v>5.41</v>
      </c>
      <c r="BV3" s="39">
        <v>5.99</v>
      </c>
      <c r="BW3" s="39">
        <v>6.67</v>
      </c>
      <c r="BX3" s="39">
        <v>7.46</v>
      </c>
      <c r="BY3" s="39">
        <v>8.3699999999999992</v>
      </c>
      <c r="BZ3" s="39">
        <v>9.41</v>
      </c>
      <c r="CA3" s="39">
        <v>10.56</v>
      </c>
      <c r="CB3" s="39">
        <v>11.83</v>
      </c>
      <c r="CC3" s="39">
        <v>13.15</v>
      </c>
      <c r="CD3" s="39">
        <v>14.65</v>
      </c>
      <c r="CE3" s="39">
        <v>16.309999999999999</v>
      </c>
      <c r="CF3" s="39">
        <v>18.2</v>
      </c>
      <c r="CG3" s="39">
        <v>20.32</v>
      </c>
      <c r="CH3" s="39">
        <v>22.65</v>
      </c>
      <c r="CI3" s="39">
        <v>25.25</v>
      </c>
      <c r="CJ3" s="39">
        <v>28.1</v>
      </c>
      <c r="CK3" s="39">
        <v>31.22</v>
      </c>
      <c r="CL3" s="39">
        <v>34.659999999999997</v>
      </c>
      <c r="CM3" s="39">
        <v>38.43</v>
      </c>
      <c r="CN3" s="39">
        <v>42.6</v>
      </c>
      <c r="CO3" s="39">
        <v>47.18</v>
      </c>
      <c r="CP3" s="39">
        <v>52.21</v>
      </c>
      <c r="CQ3" s="39">
        <v>57.9</v>
      </c>
      <c r="CR3" s="39">
        <v>64.099999999999994</v>
      </c>
      <c r="CS3" s="39">
        <v>71.09</v>
      </c>
      <c r="CT3" s="39">
        <v>78.77</v>
      </c>
      <c r="CU3" s="39">
        <v>87.55</v>
      </c>
      <c r="CV3" s="39">
        <v>98.11</v>
      </c>
      <c r="CW3" s="39">
        <v>111.11</v>
      </c>
      <c r="CX3" s="39">
        <v>123.79</v>
      </c>
      <c r="CY3" s="39">
        <v>137.91</v>
      </c>
      <c r="CZ3" s="39">
        <v>153.63999999999999</v>
      </c>
      <c r="DA3" s="39">
        <v>171.16</v>
      </c>
      <c r="DB3" s="39">
        <v>190.68</v>
      </c>
      <c r="DC3" s="39">
        <v>212.43</v>
      </c>
      <c r="DD3" s="39">
        <v>236.66</v>
      </c>
      <c r="DE3" s="39">
        <v>263.64999999999998</v>
      </c>
      <c r="DF3" s="39">
        <v>293.72000000000003</v>
      </c>
      <c r="DG3" s="39">
        <v>327.22000000000003</v>
      </c>
      <c r="DH3" s="39">
        <v>364.54</v>
      </c>
      <c r="DI3" s="39">
        <v>406.11</v>
      </c>
      <c r="DJ3" s="39">
        <v>452.43</v>
      </c>
      <c r="DK3" s="39">
        <v>504.03</v>
      </c>
      <c r="DL3" s="39">
        <v>561.52</v>
      </c>
      <c r="DM3" s="39">
        <v>625.55999999999995</v>
      </c>
      <c r="DN3" s="39">
        <v>696.91</v>
      </c>
      <c r="DO3" s="39">
        <v>750</v>
      </c>
      <c r="DP3" s="39">
        <v>750</v>
      </c>
      <c r="DQ3" s="39" t="s">
        <v>546</v>
      </c>
      <c r="DR3" s="39" t="s">
        <v>546</v>
      </c>
      <c r="DS3" s="39" t="s">
        <v>546</v>
      </c>
      <c r="DT3" s="39" t="s">
        <v>546</v>
      </c>
      <c r="DV3" s="39" t="s">
        <v>4917</v>
      </c>
      <c r="DX3" s="39" t="s">
        <v>4917</v>
      </c>
    </row>
    <row r="4" spans="1:128">
      <c r="B4" s="39" t="s">
        <v>4704</v>
      </c>
      <c r="C4" s="39" t="s">
        <v>3154</v>
      </c>
      <c r="D4" s="39">
        <v>1</v>
      </c>
      <c r="E4" s="39" t="s">
        <v>4918</v>
      </c>
      <c r="F4" s="39">
        <v>1</v>
      </c>
      <c r="G4" s="39">
        <v>20200101</v>
      </c>
      <c r="H4" s="39">
        <v>99991231</v>
      </c>
      <c r="I4" s="1">
        <v>0</v>
      </c>
      <c r="J4" s="39">
        <v>0</v>
      </c>
      <c r="K4" s="39">
        <v>0</v>
      </c>
      <c r="L4" s="39">
        <v>0</v>
      </c>
      <c r="M4" s="39">
        <v>0</v>
      </c>
      <c r="N4" s="39">
        <v>0</v>
      </c>
      <c r="O4" s="39">
        <v>0</v>
      </c>
      <c r="P4" s="39">
        <v>0</v>
      </c>
      <c r="Q4" s="39">
        <v>0</v>
      </c>
      <c r="R4" s="39">
        <v>0</v>
      </c>
      <c r="S4" s="39">
        <v>0</v>
      </c>
      <c r="T4" s="39">
        <v>0</v>
      </c>
      <c r="U4" s="39">
        <v>0</v>
      </c>
      <c r="V4" s="39">
        <v>0</v>
      </c>
      <c r="W4" s="39">
        <v>0</v>
      </c>
      <c r="X4" s="39">
        <v>0.26</v>
      </c>
      <c r="Y4" s="39">
        <v>0.34</v>
      </c>
      <c r="Z4" s="39">
        <v>0.41</v>
      </c>
      <c r="AA4" s="39">
        <v>0.44</v>
      </c>
      <c r="AB4" s="39">
        <v>0.46</v>
      </c>
      <c r="AC4" s="39">
        <v>0.47</v>
      </c>
      <c r="AD4" s="39">
        <v>0.48</v>
      </c>
      <c r="AE4" s="39">
        <v>0.5</v>
      </c>
      <c r="AF4" s="39">
        <v>0.53</v>
      </c>
      <c r="AG4" s="39">
        <v>0.56999999999999995</v>
      </c>
      <c r="AH4" s="39">
        <v>0.62</v>
      </c>
      <c r="AI4" s="39">
        <v>0.66</v>
      </c>
      <c r="AJ4" s="39">
        <v>0.69</v>
      </c>
      <c r="AK4" s="39">
        <v>0.72</v>
      </c>
      <c r="AL4" s="39">
        <v>0.76</v>
      </c>
      <c r="AM4" s="39">
        <v>0.8</v>
      </c>
      <c r="AN4" s="39">
        <v>0.85</v>
      </c>
      <c r="AO4" s="39">
        <v>0.91</v>
      </c>
      <c r="AP4" s="39">
        <v>0.98</v>
      </c>
      <c r="AQ4" s="39">
        <v>1.06</v>
      </c>
      <c r="AR4" s="39">
        <v>1.1499999999999999</v>
      </c>
      <c r="AS4" s="39">
        <v>1.25</v>
      </c>
      <c r="AT4" s="39">
        <v>1.35</v>
      </c>
      <c r="AU4" s="39">
        <v>1.46</v>
      </c>
      <c r="AV4" s="39">
        <v>1.57</v>
      </c>
      <c r="AW4" s="39">
        <v>1.69</v>
      </c>
      <c r="AX4" s="39">
        <v>1.82</v>
      </c>
      <c r="AY4" s="39">
        <v>1.98</v>
      </c>
      <c r="AZ4" s="39">
        <v>2.16</v>
      </c>
      <c r="BA4" s="39">
        <v>2.35</v>
      </c>
      <c r="BB4" s="39">
        <v>2.56</v>
      </c>
      <c r="BC4" s="39">
        <v>2.79</v>
      </c>
      <c r="BD4" s="39">
        <v>3.02</v>
      </c>
      <c r="BE4" s="39">
        <v>3.29</v>
      </c>
      <c r="BF4" s="39">
        <v>3.57</v>
      </c>
      <c r="BG4" s="39">
        <v>3.85</v>
      </c>
      <c r="BH4" s="39">
        <v>4.1399999999999997</v>
      </c>
      <c r="BI4" s="39">
        <v>4.45</v>
      </c>
      <c r="BJ4" s="39">
        <v>4.76</v>
      </c>
      <c r="BK4" s="39">
        <v>5.07</v>
      </c>
      <c r="BL4" s="39">
        <v>5.39</v>
      </c>
      <c r="BM4" s="39">
        <v>5.77</v>
      </c>
      <c r="BN4" s="39">
        <v>6.24</v>
      </c>
      <c r="BO4" s="39">
        <v>6.81</v>
      </c>
      <c r="BP4" s="39">
        <v>7.53</v>
      </c>
      <c r="BQ4" s="39">
        <v>8.2100000000000009</v>
      </c>
      <c r="BR4" s="39">
        <v>8.76</v>
      </c>
      <c r="BS4" s="39">
        <v>9.44</v>
      </c>
      <c r="BT4" s="39">
        <v>10.27</v>
      </c>
      <c r="BU4" s="39">
        <v>11.24</v>
      </c>
      <c r="BV4" s="39">
        <v>12.3</v>
      </c>
      <c r="BW4" s="39">
        <v>13.42</v>
      </c>
      <c r="BX4" s="39">
        <v>14.62</v>
      </c>
      <c r="BY4" s="39">
        <v>15.99</v>
      </c>
      <c r="BZ4" s="39">
        <v>17.52</v>
      </c>
      <c r="CA4" s="39">
        <v>19.170000000000002</v>
      </c>
      <c r="CB4" s="39">
        <v>20.97</v>
      </c>
      <c r="CC4" s="39">
        <v>22.89</v>
      </c>
      <c r="CD4" s="39">
        <v>24.97</v>
      </c>
      <c r="CE4" s="39">
        <v>27.2</v>
      </c>
      <c r="CF4" s="39">
        <v>29.61</v>
      </c>
      <c r="CG4" s="39">
        <v>32.18</v>
      </c>
      <c r="CH4" s="39">
        <v>34.97</v>
      </c>
      <c r="CI4" s="39">
        <v>38</v>
      </c>
      <c r="CJ4" s="39">
        <v>41.32</v>
      </c>
      <c r="CK4" s="39">
        <v>44.96</v>
      </c>
      <c r="CL4" s="39">
        <v>48.94</v>
      </c>
      <c r="CM4" s="39">
        <v>53.23</v>
      </c>
      <c r="CN4" s="39">
        <v>57.9</v>
      </c>
      <c r="CO4" s="39">
        <v>62.89</v>
      </c>
      <c r="CP4" s="39">
        <v>68.290000000000006</v>
      </c>
      <c r="CQ4" s="39">
        <v>74.16</v>
      </c>
      <c r="CR4" s="39">
        <v>80.510000000000005</v>
      </c>
      <c r="CS4" s="39">
        <v>87.55</v>
      </c>
      <c r="CT4" s="39">
        <v>95.4</v>
      </c>
      <c r="CU4" s="39">
        <v>104.43</v>
      </c>
      <c r="CV4" s="39">
        <v>114.87</v>
      </c>
      <c r="CW4" s="39">
        <v>125.22</v>
      </c>
      <c r="CX4" s="39">
        <v>136.51</v>
      </c>
      <c r="CY4" s="39">
        <v>148.81</v>
      </c>
      <c r="CZ4" s="39">
        <v>162.22</v>
      </c>
      <c r="DA4" s="39">
        <v>176.84</v>
      </c>
      <c r="DB4" s="39">
        <v>192.78</v>
      </c>
      <c r="DC4" s="39">
        <v>210.15</v>
      </c>
      <c r="DD4" s="39">
        <v>229.09</v>
      </c>
      <c r="DE4" s="39">
        <v>249.74</v>
      </c>
      <c r="DF4" s="39">
        <v>272.24</v>
      </c>
      <c r="DG4" s="39">
        <v>296.77999999999997</v>
      </c>
      <c r="DH4" s="39">
        <v>323.52999999999997</v>
      </c>
      <c r="DI4" s="39">
        <v>352.68</v>
      </c>
      <c r="DJ4" s="39">
        <v>384.47</v>
      </c>
      <c r="DK4" s="39">
        <v>419.12</v>
      </c>
      <c r="DL4" s="39">
        <v>456.89</v>
      </c>
      <c r="DM4" s="39">
        <v>498.07</v>
      </c>
      <c r="DN4" s="39">
        <v>542.96</v>
      </c>
      <c r="DO4" s="39">
        <v>750</v>
      </c>
      <c r="DP4" s="39">
        <v>750</v>
      </c>
      <c r="DQ4" s="39" t="s">
        <v>546</v>
      </c>
      <c r="DR4" s="39" t="s">
        <v>546</v>
      </c>
      <c r="DS4" s="39" t="s">
        <v>546</v>
      </c>
      <c r="DT4" s="39" t="s">
        <v>546</v>
      </c>
      <c r="DV4" s="39" t="s">
        <v>4917</v>
      </c>
      <c r="DX4" s="39" t="s">
        <v>4917</v>
      </c>
    </row>
    <row r="5" spans="1:128">
      <c r="B5" s="39" t="s">
        <v>4704</v>
      </c>
      <c r="C5" s="39" t="s">
        <v>4920</v>
      </c>
      <c r="D5" s="39">
        <v>1</v>
      </c>
      <c r="E5" s="39" t="s">
        <v>4919</v>
      </c>
      <c r="F5" s="39">
        <v>1</v>
      </c>
      <c r="G5" s="39">
        <v>20200101</v>
      </c>
      <c r="H5" s="39">
        <v>99991231</v>
      </c>
      <c r="I5" s="1">
        <v>0</v>
      </c>
      <c r="J5" s="39">
        <v>0</v>
      </c>
      <c r="K5" s="39">
        <v>0</v>
      </c>
      <c r="L5" s="39">
        <v>0</v>
      </c>
      <c r="M5" s="39">
        <v>0</v>
      </c>
      <c r="N5" s="39">
        <v>0</v>
      </c>
      <c r="O5" s="39">
        <v>0</v>
      </c>
      <c r="P5" s="39">
        <v>0</v>
      </c>
      <c r="Q5" s="39">
        <v>0</v>
      </c>
      <c r="R5" s="39">
        <v>0</v>
      </c>
      <c r="S5" s="39">
        <v>0</v>
      </c>
      <c r="T5" s="39">
        <v>0</v>
      </c>
      <c r="U5" s="39">
        <v>0</v>
      </c>
      <c r="V5" s="39">
        <v>0</v>
      </c>
      <c r="W5" s="39">
        <v>0</v>
      </c>
      <c r="X5" s="39">
        <v>0.14000000000000001</v>
      </c>
      <c r="Y5" s="39">
        <v>0.15</v>
      </c>
      <c r="Z5" s="39">
        <v>0.17</v>
      </c>
      <c r="AA5" s="39">
        <v>0.18</v>
      </c>
      <c r="AB5" s="39">
        <v>0.19</v>
      </c>
      <c r="AC5" s="39">
        <v>0.19</v>
      </c>
      <c r="AD5" s="39">
        <v>0.19</v>
      </c>
      <c r="AE5" s="39">
        <v>0.2</v>
      </c>
      <c r="AF5" s="39">
        <v>0.22</v>
      </c>
      <c r="AG5" s="39">
        <v>0.24</v>
      </c>
      <c r="AH5" s="39">
        <v>0.27</v>
      </c>
      <c r="AI5" s="39">
        <v>0.28000000000000003</v>
      </c>
      <c r="AJ5" s="39">
        <v>0.28000000000000003</v>
      </c>
      <c r="AK5" s="39">
        <v>0.28999999999999998</v>
      </c>
      <c r="AL5" s="39">
        <v>0.28999999999999998</v>
      </c>
      <c r="AM5" s="39">
        <v>0.3</v>
      </c>
      <c r="AN5" s="39">
        <v>0.31</v>
      </c>
      <c r="AO5" s="39">
        <v>0.33</v>
      </c>
      <c r="AP5" s="39">
        <v>0.36</v>
      </c>
      <c r="AQ5" s="39">
        <v>0.39</v>
      </c>
      <c r="AR5" s="39">
        <v>0.42</v>
      </c>
      <c r="AS5" s="39">
        <v>0.45</v>
      </c>
      <c r="AT5" s="39">
        <v>0.48</v>
      </c>
      <c r="AU5" s="39">
        <v>0.52</v>
      </c>
      <c r="AV5" s="39">
        <v>0.56999999999999995</v>
      </c>
      <c r="AW5" s="39">
        <v>0.62</v>
      </c>
      <c r="AX5" s="39">
        <v>0.67</v>
      </c>
      <c r="AY5" s="39">
        <v>0.71</v>
      </c>
      <c r="AZ5" s="39">
        <v>0.77</v>
      </c>
      <c r="BA5" s="39">
        <v>0.84</v>
      </c>
      <c r="BB5" s="39">
        <v>0.92</v>
      </c>
      <c r="BC5" s="39">
        <v>1.02</v>
      </c>
      <c r="BD5" s="39">
        <v>1.1200000000000001</v>
      </c>
      <c r="BE5" s="39">
        <v>1.23</v>
      </c>
      <c r="BF5" s="39">
        <v>1.35</v>
      </c>
      <c r="BG5" s="39">
        <v>1.49</v>
      </c>
      <c r="BH5" s="39">
        <v>1.66</v>
      </c>
      <c r="BI5" s="39">
        <v>1.81</v>
      </c>
      <c r="BJ5" s="39">
        <v>1.97</v>
      </c>
      <c r="BK5" s="39">
        <v>2.11</v>
      </c>
      <c r="BL5" s="39">
        <v>2.27</v>
      </c>
      <c r="BM5" s="39">
        <v>2.46</v>
      </c>
      <c r="BN5" s="39">
        <v>2.7</v>
      </c>
      <c r="BO5" s="39">
        <v>3</v>
      </c>
      <c r="BP5" s="39">
        <v>3.35</v>
      </c>
      <c r="BQ5" s="39">
        <v>3.74</v>
      </c>
      <c r="BR5" s="39">
        <v>4.1100000000000003</v>
      </c>
      <c r="BS5" s="39">
        <v>4.49</v>
      </c>
      <c r="BT5" s="39">
        <v>4.92</v>
      </c>
      <c r="BU5" s="39">
        <v>5.41</v>
      </c>
      <c r="BV5" s="39">
        <v>5.99</v>
      </c>
      <c r="BW5" s="39">
        <v>6.67</v>
      </c>
      <c r="BX5" s="39">
        <v>7.46</v>
      </c>
      <c r="BY5" s="39">
        <v>8.3699999999999992</v>
      </c>
      <c r="BZ5" s="39">
        <v>9.41</v>
      </c>
      <c r="CA5" s="39">
        <v>10.56</v>
      </c>
      <c r="CB5" s="39">
        <v>11.83</v>
      </c>
      <c r="CC5" s="39">
        <v>13.15</v>
      </c>
      <c r="CD5" s="39">
        <v>14.65</v>
      </c>
      <c r="CE5" s="39">
        <v>16.309999999999999</v>
      </c>
      <c r="CF5" s="39">
        <v>18.2</v>
      </c>
      <c r="CG5" s="39">
        <v>20.32</v>
      </c>
      <c r="CH5" s="39">
        <v>22.65</v>
      </c>
      <c r="CI5" s="39">
        <v>25.25</v>
      </c>
      <c r="CJ5" s="39">
        <v>28.1</v>
      </c>
      <c r="CK5" s="39">
        <v>31.22</v>
      </c>
      <c r="CL5" s="39">
        <v>34.659999999999997</v>
      </c>
      <c r="CM5" s="39">
        <v>38.43</v>
      </c>
      <c r="CN5" s="39">
        <v>42.6</v>
      </c>
      <c r="CO5" s="39">
        <v>47.18</v>
      </c>
      <c r="CP5" s="39">
        <v>52.21</v>
      </c>
      <c r="CQ5" s="39">
        <v>57.9</v>
      </c>
      <c r="CR5" s="39">
        <v>64.099999999999994</v>
      </c>
      <c r="CS5" s="39">
        <v>71.09</v>
      </c>
      <c r="CT5" s="39">
        <v>78.77</v>
      </c>
      <c r="CU5" s="39">
        <v>87.55</v>
      </c>
      <c r="CV5" s="39">
        <v>98.11</v>
      </c>
      <c r="CW5" s="39">
        <v>111.11</v>
      </c>
      <c r="CX5" s="39">
        <v>123.79</v>
      </c>
      <c r="CY5" s="39">
        <v>137.91</v>
      </c>
      <c r="CZ5" s="39">
        <v>153.63999999999999</v>
      </c>
      <c r="DA5" s="39">
        <v>171.16</v>
      </c>
      <c r="DB5" s="39">
        <v>190.68</v>
      </c>
      <c r="DC5" s="39">
        <v>212.43</v>
      </c>
      <c r="DD5" s="39">
        <v>236.66</v>
      </c>
      <c r="DE5" s="39">
        <v>263.64999999999998</v>
      </c>
      <c r="DF5" s="39">
        <v>293.72000000000003</v>
      </c>
      <c r="DG5" s="39">
        <v>327.22000000000003</v>
      </c>
      <c r="DH5" s="39">
        <v>364.54</v>
      </c>
      <c r="DI5" s="39">
        <v>406.11</v>
      </c>
      <c r="DJ5" s="39">
        <v>452.43</v>
      </c>
      <c r="DK5" s="39">
        <v>504.03</v>
      </c>
      <c r="DL5" s="39">
        <v>561.52</v>
      </c>
      <c r="DM5" s="39">
        <v>625.55999999999995</v>
      </c>
      <c r="DN5" s="39">
        <v>696.91</v>
      </c>
      <c r="DO5" s="39">
        <v>750</v>
      </c>
      <c r="DP5" s="39">
        <v>750</v>
      </c>
      <c r="DQ5" s="39" t="s">
        <v>546</v>
      </c>
      <c r="DR5" s="39" t="s">
        <v>546</v>
      </c>
      <c r="DS5" s="39" t="s">
        <v>546</v>
      </c>
      <c r="DT5" s="39" t="s">
        <v>546</v>
      </c>
      <c r="DV5" s="39" t="s">
        <v>4917</v>
      </c>
      <c r="DX5" s="39" t="s">
        <v>4917</v>
      </c>
    </row>
    <row r="6" spans="1:128">
      <c r="B6" s="39" t="s">
        <v>4945</v>
      </c>
      <c r="C6" s="39" t="s">
        <v>4705</v>
      </c>
      <c r="D6" s="39">
        <v>1</v>
      </c>
      <c r="E6" s="39" t="s">
        <v>4918</v>
      </c>
      <c r="F6" s="39">
        <v>1</v>
      </c>
      <c r="G6" s="39">
        <v>20200101</v>
      </c>
      <c r="H6" s="39">
        <v>99991231</v>
      </c>
      <c r="I6" s="1">
        <v>0</v>
      </c>
      <c r="J6" s="39">
        <v>0</v>
      </c>
      <c r="K6" s="39">
        <v>0</v>
      </c>
      <c r="L6" s="39">
        <v>0</v>
      </c>
      <c r="M6" s="39">
        <v>0</v>
      </c>
      <c r="N6" s="39">
        <v>0</v>
      </c>
      <c r="O6" s="39">
        <v>0</v>
      </c>
      <c r="P6" s="39">
        <v>0</v>
      </c>
      <c r="Q6" s="39">
        <v>0</v>
      </c>
      <c r="R6" s="39">
        <v>0</v>
      </c>
      <c r="S6" s="39">
        <v>0</v>
      </c>
      <c r="T6" s="39">
        <v>0</v>
      </c>
      <c r="U6" s="39">
        <v>0</v>
      </c>
      <c r="V6" s="39">
        <v>0</v>
      </c>
      <c r="W6" s="39">
        <v>0</v>
      </c>
      <c r="X6" s="39">
        <v>0.25</v>
      </c>
      <c r="Y6" s="39">
        <v>0.28000000000000003</v>
      </c>
      <c r="Z6" s="39">
        <v>0.32</v>
      </c>
      <c r="AA6" s="39">
        <v>0.34</v>
      </c>
      <c r="AB6" s="39">
        <v>0.36</v>
      </c>
      <c r="AC6" s="39">
        <v>0.36</v>
      </c>
      <c r="AD6" s="39">
        <v>0.37</v>
      </c>
      <c r="AE6" s="39">
        <v>0.38</v>
      </c>
      <c r="AF6" s="39">
        <v>0.39</v>
      </c>
      <c r="AG6" s="39">
        <v>0.39</v>
      </c>
      <c r="AH6" s="39">
        <v>0.41</v>
      </c>
      <c r="AI6" s="39">
        <v>0.42</v>
      </c>
      <c r="AJ6" s="39">
        <v>0.43</v>
      </c>
      <c r="AK6" s="39">
        <v>0.45</v>
      </c>
      <c r="AL6" s="39">
        <v>0.47</v>
      </c>
      <c r="AM6" s="39">
        <v>0.55000000000000004</v>
      </c>
      <c r="AN6" s="39">
        <v>0.57999999999999996</v>
      </c>
      <c r="AO6" s="39">
        <v>0.62</v>
      </c>
      <c r="AP6" s="39">
        <v>0.67</v>
      </c>
      <c r="AQ6" s="39">
        <v>0.73</v>
      </c>
      <c r="AR6" s="39">
        <v>0.81</v>
      </c>
      <c r="AS6" s="39">
        <v>0.89</v>
      </c>
      <c r="AT6" s="39">
        <v>0.97</v>
      </c>
      <c r="AU6" s="39">
        <v>1.06</v>
      </c>
      <c r="AV6" s="39">
        <v>1.1599999999999999</v>
      </c>
      <c r="AW6" s="39">
        <v>1.27</v>
      </c>
      <c r="AX6" s="39">
        <v>1.39</v>
      </c>
      <c r="AY6" s="39">
        <v>1.51</v>
      </c>
      <c r="AZ6" s="39">
        <v>1.64</v>
      </c>
      <c r="BA6" s="39">
        <v>1.78</v>
      </c>
      <c r="BB6" s="39">
        <v>2.0099999999999998</v>
      </c>
      <c r="BC6" s="39">
        <v>2.17</v>
      </c>
      <c r="BD6" s="39">
        <v>2.34</v>
      </c>
      <c r="BE6" s="39">
        <v>2.52</v>
      </c>
      <c r="BF6" s="39">
        <v>2.71</v>
      </c>
      <c r="BG6" s="39">
        <v>2.89</v>
      </c>
      <c r="BH6" s="39">
        <v>3.1</v>
      </c>
      <c r="BI6" s="39">
        <v>3.32</v>
      </c>
      <c r="BJ6" s="39">
        <v>3.56</v>
      </c>
      <c r="BK6" s="39">
        <v>3.82</v>
      </c>
      <c r="BL6" s="39">
        <v>4.22</v>
      </c>
      <c r="BM6" s="39">
        <v>4.51</v>
      </c>
      <c r="BN6" s="39">
        <v>4.84</v>
      </c>
      <c r="BO6" s="39">
        <v>5.19</v>
      </c>
      <c r="BP6" s="39">
        <v>5.57</v>
      </c>
      <c r="BQ6" s="39">
        <v>6.22</v>
      </c>
      <c r="BR6" s="39">
        <v>6.67</v>
      </c>
      <c r="BS6" s="39">
        <v>7.18</v>
      </c>
      <c r="BT6" s="39">
        <v>7.74</v>
      </c>
      <c r="BU6" s="39">
        <v>8.3699999999999992</v>
      </c>
      <c r="BV6" s="39">
        <v>9.39</v>
      </c>
      <c r="BW6" s="39">
        <v>10.19</v>
      </c>
      <c r="BX6" s="39">
        <v>11.12</v>
      </c>
      <c r="BY6" s="39">
        <v>12.18</v>
      </c>
      <c r="BZ6" s="39">
        <v>13.36</v>
      </c>
      <c r="CA6" s="39">
        <v>15.42</v>
      </c>
      <c r="CB6" s="39">
        <v>16.86</v>
      </c>
      <c r="CC6" s="39">
        <v>18.43</v>
      </c>
      <c r="CD6" s="39">
        <v>20.14</v>
      </c>
      <c r="CE6" s="39">
        <v>22.02</v>
      </c>
      <c r="CF6" s="39">
        <v>23.9</v>
      </c>
      <c r="CG6" s="39">
        <v>26.17</v>
      </c>
      <c r="CH6" s="39">
        <v>28.66</v>
      </c>
      <c r="CI6" s="39">
        <v>31.41</v>
      </c>
      <c r="CJ6" s="39">
        <v>34.4</v>
      </c>
      <c r="CK6" s="39">
        <v>37.65</v>
      </c>
      <c r="CL6" s="39">
        <v>41.15</v>
      </c>
      <c r="CM6" s="39">
        <v>44.93</v>
      </c>
      <c r="CN6" s="39">
        <v>49.04</v>
      </c>
      <c r="CO6" s="39">
        <v>53.53</v>
      </c>
      <c r="CP6" s="39">
        <v>58.46</v>
      </c>
      <c r="CQ6" s="39">
        <v>63.9</v>
      </c>
      <c r="CR6" s="39">
        <v>69.89</v>
      </c>
      <c r="CS6" s="39">
        <v>76.25</v>
      </c>
      <c r="CT6" s="39">
        <v>82.96</v>
      </c>
      <c r="CU6" s="39">
        <v>90.68</v>
      </c>
      <c r="CV6" s="39">
        <v>99.6</v>
      </c>
      <c r="CW6" s="39">
        <v>108.45</v>
      </c>
      <c r="CX6" s="39">
        <v>118.1</v>
      </c>
      <c r="CY6" s="39">
        <v>128.61000000000001</v>
      </c>
      <c r="CZ6" s="39">
        <v>140.07</v>
      </c>
      <c r="DA6" s="39">
        <v>152.57</v>
      </c>
      <c r="DB6" s="39">
        <v>166.19</v>
      </c>
      <c r="DC6" s="39">
        <v>181.04</v>
      </c>
      <c r="DD6" s="39">
        <v>197.23</v>
      </c>
      <c r="DE6" s="39">
        <v>214.87</v>
      </c>
      <c r="DF6" s="39">
        <v>233.56</v>
      </c>
      <c r="DG6" s="39">
        <v>252.82</v>
      </c>
      <c r="DH6" s="39">
        <v>273.27999999999997</v>
      </c>
      <c r="DI6" s="39">
        <v>294.95</v>
      </c>
      <c r="DJ6" s="39">
        <v>317.8</v>
      </c>
      <c r="DK6" s="39">
        <v>352.52</v>
      </c>
      <c r="DL6" s="39">
        <v>390.26</v>
      </c>
      <c r="DM6" s="39">
        <v>427.12</v>
      </c>
      <c r="DN6" s="39">
        <v>465.49</v>
      </c>
      <c r="DO6" s="39">
        <v>833.33</v>
      </c>
      <c r="DP6" s="39">
        <v>833.33</v>
      </c>
      <c r="DQ6" s="39" t="s">
        <v>546</v>
      </c>
      <c r="DR6" s="39" t="s">
        <v>546</v>
      </c>
      <c r="DS6" s="39" t="s">
        <v>546</v>
      </c>
      <c r="DT6" s="39" t="s">
        <v>546</v>
      </c>
      <c r="DV6" s="39" t="s">
        <v>523</v>
      </c>
      <c r="DX6" s="39" t="s">
        <v>523</v>
      </c>
    </row>
    <row r="7" spans="1:128">
      <c r="B7" s="39" t="s">
        <v>4945</v>
      </c>
      <c r="C7" s="39" t="s">
        <v>4705</v>
      </c>
      <c r="D7" s="39">
        <v>1</v>
      </c>
      <c r="E7" s="39" t="s">
        <v>4919</v>
      </c>
      <c r="F7" s="39">
        <v>1</v>
      </c>
      <c r="G7" s="39">
        <v>20200101</v>
      </c>
      <c r="H7" s="39">
        <v>99991231</v>
      </c>
      <c r="I7" s="1">
        <v>0</v>
      </c>
      <c r="J7" s="39">
        <v>0</v>
      </c>
      <c r="K7" s="39">
        <v>0</v>
      </c>
      <c r="L7" s="39">
        <v>0</v>
      </c>
      <c r="M7" s="39">
        <v>0</v>
      </c>
      <c r="N7" s="39">
        <v>0</v>
      </c>
      <c r="O7" s="39">
        <v>0</v>
      </c>
      <c r="P7" s="39">
        <v>0</v>
      </c>
      <c r="Q7" s="39">
        <v>0</v>
      </c>
      <c r="R7" s="39">
        <v>0</v>
      </c>
      <c r="S7" s="39">
        <v>0</v>
      </c>
      <c r="T7" s="39">
        <v>0</v>
      </c>
      <c r="U7" s="39">
        <v>0</v>
      </c>
      <c r="V7" s="39">
        <v>0</v>
      </c>
      <c r="W7" s="39">
        <v>0</v>
      </c>
      <c r="X7" s="39">
        <v>0.11</v>
      </c>
      <c r="Y7" s="39">
        <v>0.12</v>
      </c>
      <c r="Z7" s="39">
        <v>0.13</v>
      </c>
      <c r="AA7" s="39">
        <v>0.14000000000000001</v>
      </c>
      <c r="AB7" s="39">
        <v>0.15</v>
      </c>
      <c r="AC7" s="39">
        <v>0.15</v>
      </c>
      <c r="AD7" s="39">
        <v>0.16</v>
      </c>
      <c r="AE7" s="39">
        <v>0.16</v>
      </c>
      <c r="AF7" s="39">
        <v>0.17</v>
      </c>
      <c r="AG7" s="39">
        <v>0.17</v>
      </c>
      <c r="AH7" s="39">
        <v>0.2</v>
      </c>
      <c r="AI7" s="39">
        <v>0.21</v>
      </c>
      <c r="AJ7" s="39">
        <v>0.22</v>
      </c>
      <c r="AK7" s="39">
        <v>0.23</v>
      </c>
      <c r="AL7" s="39">
        <v>0.24</v>
      </c>
      <c r="AM7" s="39">
        <v>0.26</v>
      </c>
      <c r="AN7" s="39">
        <v>0.28000000000000003</v>
      </c>
      <c r="AO7" s="39">
        <v>0.3</v>
      </c>
      <c r="AP7" s="39">
        <v>0.32</v>
      </c>
      <c r="AQ7" s="39">
        <v>0.34</v>
      </c>
      <c r="AR7" s="39">
        <v>0.37</v>
      </c>
      <c r="AS7" s="39">
        <v>0.4</v>
      </c>
      <c r="AT7" s="39">
        <v>0.43</v>
      </c>
      <c r="AU7" s="39">
        <v>0.46</v>
      </c>
      <c r="AV7" s="39">
        <v>0.5</v>
      </c>
      <c r="AW7" s="39">
        <v>0.55000000000000004</v>
      </c>
      <c r="AX7" s="39">
        <v>0.59</v>
      </c>
      <c r="AY7" s="39">
        <v>0.64</v>
      </c>
      <c r="AZ7" s="39">
        <v>0.69</v>
      </c>
      <c r="BA7" s="39">
        <v>0.74</v>
      </c>
      <c r="BB7" s="39">
        <v>0.85</v>
      </c>
      <c r="BC7" s="39">
        <v>0.91</v>
      </c>
      <c r="BD7" s="39">
        <v>0.98</v>
      </c>
      <c r="BE7" s="39">
        <v>1.05</v>
      </c>
      <c r="BF7" s="39">
        <v>1.1299999999999999</v>
      </c>
      <c r="BG7" s="39">
        <v>1.19</v>
      </c>
      <c r="BH7" s="39">
        <v>1.27</v>
      </c>
      <c r="BI7" s="39">
        <v>1.37</v>
      </c>
      <c r="BJ7" s="39">
        <v>1.46</v>
      </c>
      <c r="BK7" s="39">
        <v>1.56</v>
      </c>
      <c r="BL7" s="39">
        <v>1.8</v>
      </c>
      <c r="BM7" s="39">
        <v>1.92</v>
      </c>
      <c r="BN7" s="39">
        <v>2.06</v>
      </c>
      <c r="BO7" s="39">
        <v>2.2200000000000002</v>
      </c>
      <c r="BP7" s="39">
        <v>2.41</v>
      </c>
      <c r="BQ7" s="39">
        <v>2.77</v>
      </c>
      <c r="BR7" s="39">
        <v>3</v>
      </c>
      <c r="BS7" s="39">
        <v>3.27</v>
      </c>
      <c r="BT7" s="39">
        <v>3.57</v>
      </c>
      <c r="BU7" s="39">
        <v>3.91</v>
      </c>
      <c r="BV7" s="39">
        <v>4.67</v>
      </c>
      <c r="BW7" s="39">
        <v>5.12</v>
      </c>
      <c r="BX7" s="39">
        <v>5.66</v>
      </c>
      <c r="BY7" s="39">
        <v>6.27</v>
      </c>
      <c r="BZ7" s="39">
        <v>6.97</v>
      </c>
      <c r="CA7" s="39">
        <v>8.1</v>
      </c>
      <c r="CB7" s="39">
        <v>9</v>
      </c>
      <c r="CC7" s="39">
        <v>10.039999999999999</v>
      </c>
      <c r="CD7" s="39">
        <v>11.21</v>
      </c>
      <c r="CE7" s="39">
        <v>12.54</v>
      </c>
      <c r="CF7" s="39">
        <v>13.61</v>
      </c>
      <c r="CG7" s="39">
        <v>15.26</v>
      </c>
      <c r="CH7" s="39">
        <v>17.12</v>
      </c>
      <c r="CI7" s="39">
        <v>19.18</v>
      </c>
      <c r="CJ7" s="39">
        <v>21.47</v>
      </c>
      <c r="CK7" s="39">
        <v>23.99</v>
      </c>
      <c r="CL7" s="39">
        <v>26.76</v>
      </c>
      <c r="CM7" s="39">
        <v>29.82</v>
      </c>
      <c r="CN7" s="39">
        <v>33.22</v>
      </c>
      <c r="CO7" s="39">
        <v>37.01</v>
      </c>
      <c r="CP7" s="39">
        <v>41.28</v>
      </c>
      <c r="CQ7" s="39">
        <v>46.09</v>
      </c>
      <c r="CR7" s="39">
        <v>51.51</v>
      </c>
      <c r="CS7" s="39">
        <v>57.6</v>
      </c>
      <c r="CT7" s="39">
        <v>64.400000000000006</v>
      </c>
      <c r="CU7" s="39">
        <v>71.989999999999995</v>
      </c>
      <c r="CV7" s="39">
        <v>80.42</v>
      </c>
      <c r="CW7" s="39">
        <v>89.76</v>
      </c>
      <c r="CX7" s="39">
        <v>100.11</v>
      </c>
      <c r="CY7" s="39">
        <v>111.53</v>
      </c>
      <c r="CZ7" s="39">
        <v>124.14</v>
      </c>
      <c r="DA7" s="39">
        <v>138.04</v>
      </c>
      <c r="DB7" s="39">
        <v>153.31</v>
      </c>
      <c r="DC7" s="39">
        <v>170.05</v>
      </c>
      <c r="DD7" s="39">
        <v>188.36</v>
      </c>
      <c r="DE7" s="39">
        <v>208.32</v>
      </c>
      <c r="DF7" s="39">
        <v>229.99</v>
      </c>
      <c r="DG7" s="39">
        <v>253.43</v>
      </c>
      <c r="DH7" s="39">
        <v>278.66000000000003</v>
      </c>
      <c r="DI7" s="39">
        <v>305.67</v>
      </c>
      <c r="DJ7" s="39">
        <v>334.39</v>
      </c>
      <c r="DK7" s="39">
        <v>374.03</v>
      </c>
      <c r="DL7" s="39">
        <v>415.61</v>
      </c>
      <c r="DM7" s="39">
        <v>463.77</v>
      </c>
      <c r="DN7" s="39">
        <v>516.22</v>
      </c>
      <c r="DO7" s="39">
        <v>833.33</v>
      </c>
      <c r="DP7" s="39">
        <v>833.33</v>
      </c>
      <c r="DQ7" s="39" t="s">
        <v>546</v>
      </c>
      <c r="DR7" s="39" t="s">
        <v>546</v>
      </c>
      <c r="DS7" s="39" t="s">
        <v>546</v>
      </c>
      <c r="DT7" s="39" t="s">
        <v>546</v>
      </c>
      <c r="DV7" s="39" t="s">
        <v>523</v>
      </c>
      <c r="DX7" s="39" t="s">
        <v>523</v>
      </c>
    </row>
    <row r="8" spans="1:128">
      <c r="B8" s="39" t="s">
        <v>4945</v>
      </c>
      <c r="C8" s="39" t="s">
        <v>3154</v>
      </c>
      <c r="D8" s="39">
        <v>1</v>
      </c>
      <c r="E8" s="39" t="s">
        <v>4918</v>
      </c>
      <c r="F8" s="39">
        <v>1</v>
      </c>
      <c r="G8" s="39">
        <v>20200101</v>
      </c>
      <c r="H8" s="39">
        <v>99991231</v>
      </c>
      <c r="I8" s="1">
        <v>0</v>
      </c>
      <c r="J8" s="39">
        <v>0</v>
      </c>
      <c r="K8" s="39">
        <v>0</v>
      </c>
      <c r="L8" s="39">
        <v>0</v>
      </c>
      <c r="M8" s="39">
        <v>0</v>
      </c>
      <c r="N8" s="39">
        <v>0</v>
      </c>
      <c r="O8" s="39">
        <v>0</v>
      </c>
      <c r="P8" s="39">
        <v>0</v>
      </c>
      <c r="Q8" s="39">
        <v>0</v>
      </c>
      <c r="R8" s="39">
        <v>0</v>
      </c>
      <c r="S8" s="39">
        <v>0</v>
      </c>
      <c r="T8" s="39">
        <v>0</v>
      </c>
      <c r="U8" s="39">
        <v>0</v>
      </c>
      <c r="V8" s="39">
        <v>0</v>
      </c>
      <c r="W8" s="39">
        <v>0</v>
      </c>
      <c r="X8" s="39">
        <v>0.25</v>
      </c>
      <c r="Y8" s="39">
        <v>0.28000000000000003</v>
      </c>
      <c r="Z8" s="39">
        <v>0.32</v>
      </c>
      <c r="AA8" s="39">
        <v>0.34</v>
      </c>
      <c r="AB8" s="39">
        <v>0.36</v>
      </c>
      <c r="AC8" s="39">
        <v>0.36</v>
      </c>
      <c r="AD8" s="39">
        <v>0.37</v>
      </c>
      <c r="AE8" s="39">
        <v>0.38</v>
      </c>
      <c r="AF8" s="39">
        <v>0.39</v>
      </c>
      <c r="AG8" s="39">
        <v>0.39</v>
      </c>
      <c r="AH8" s="39">
        <v>0.41</v>
      </c>
      <c r="AI8" s="39">
        <v>0.42</v>
      </c>
      <c r="AJ8" s="39">
        <v>0.43</v>
      </c>
      <c r="AK8" s="39">
        <v>0.45</v>
      </c>
      <c r="AL8" s="39">
        <v>0.47</v>
      </c>
      <c r="AM8" s="39">
        <v>0.55000000000000004</v>
      </c>
      <c r="AN8" s="39">
        <v>0.57999999999999996</v>
      </c>
      <c r="AO8" s="39">
        <v>0.62</v>
      </c>
      <c r="AP8" s="39">
        <v>0.67</v>
      </c>
      <c r="AQ8" s="39">
        <v>0.73</v>
      </c>
      <c r="AR8" s="39">
        <v>0.81</v>
      </c>
      <c r="AS8" s="39">
        <v>0.89</v>
      </c>
      <c r="AT8" s="39">
        <v>0.97</v>
      </c>
      <c r="AU8" s="39">
        <v>1.06</v>
      </c>
      <c r="AV8" s="39">
        <v>1.1599999999999999</v>
      </c>
      <c r="AW8" s="39">
        <v>1.27</v>
      </c>
      <c r="AX8" s="39">
        <v>1.39</v>
      </c>
      <c r="AY8" s="39">
        <v>1.51</v>
      </c>
      <c r="AZ8" s="39">
        <v>1.64</v>
      </c>
      <c r="BA8" s="39">
        <v>1.78</v>
      </c>
      <c r="BB8" s="39">
        <v>2.0099999999999998</v>
      </c>
      <c r="BC8" s="39">
        <v>2.17</v>
      </c>
      <c r="BD8" s="39">
        <v>2.34</v>
      </c>
      <c r="BE8" s="39">
        <v>2.52</v>
      </c>
      <c r="BF8" s="39">
        <v>2.71</v>
      </c>
      <c r="BG8" s="39">
        <v>2.89</v>
      </c>
      <c r="BH8" s="39">
        <v>3.1</v>
      </c>
      <c r="BI8" s="39">
        <v>3.32</v>
      </c>
      <c r="BJ8" s="39">
        <v>3.56</v>
      </c>
      <c r="BK8" s="39">
        <v>3.82</v>
      </c>
      <c r="BL8" s="39">
        <v>4.22</v>
      </c>
      <c r="BM8" s="39">
        <v>4.51</v>
      </c>
      <c r="BN8" s="39">
        <v>4.84</v>
      </c>
      <c r="BO8" s="39">
        <v>5.19</v>
      </c>
      <c r="BP8" s="39">
        <v>5.57</v>
      </c>
      <c r="BQ8" s="39">
        <v>6.22</v>
      </c>
      <c r="BR8" s="39">
        <v>6.67</v>
      </c>
      <c r="BS8" s="39">
        <v>7.18</v>
      </c>
      <c r="BT8" s="39">
        <v>7.74</v>
      </c>
      <c r="BU8" s="39">
        <v>8.3699999999999992</v>
      </c>
      <c r="BV8" s="39">
        <v>9.39</v>
      </c>
      <c r="BW8" s="39">
        <v>10.19</v>
      </c>
      <c r="BX8" s="39">
        <v>11.12</v>
      </c>
      <c r="BY8" s="39">
        <v>12.18</v>
      </c>
      <c r="BZ8" s="39">
        <v>13.36</v>
      </c>
      <c r="CA8" s="39">
        <v>15.42</v>
      </c>
      <c r="CB8" s="39">
        <v>16.86</v>
      </c>
      <c r="CC8" s="39">
        <v>18.43</v>
      </c>
      <c r="CD8" s="39">
        <v>20.14</v>
      </c>
      <c r="CE8" s="39">
        <v>22.02</v>
      </c>
      <c r="CF8" s="39">
        <v>23.9</v>
      </c>
      <c r="CG8" s="39">
        <v>26.17</v>
      </c>
      <c r="CH8" s="39">
        <v>28.66</v>
      </c>
      <c r="CI8" s="39">
        <v>31.41</v>
      </c>
      <c r="CJ8" s="39">
        <v>34.4</v>
      </c>
      <c r="CK8" s="39">
        <v>37.65</v>
      </c>
      <c r="CL8" s="39">
        <v>41.15</v>
      </c>
      <c r="CM8" s="39">
        <v>44.93</v>
      </c>
      <c r="CN8" s="39">
        <v>49.04</v>
      </c>
      <c r="CO8" s="39">
        <v>53.53</v>
      </c>
      <c r="CP8" s="39">
        <v>58.46</v>
      </c>
      <c r="CQ8" s="39">
        <v>63.9</v>
      </c>
      <c r="CR8" s="39">
        <v>69.89</v>
      </c>
      <c r="CS8" s="39">
        <v>76.25</v>
      </c>
      <c r="CT8" s="39">
        <v>82.96</v>
      </c>
      <c r="CU8" s="39">
        <v>90.68</v>
      </c>
      <c r="CV8" s="39">
        <v>99.6</v>
      </c>
      <c r="CW8" s="39">
        <v>108.45</v>
      </c>
      <c r="CX8" s="39">
        <v>118.1</v>
      </c>
      <c r="CY8" s="39">
        <v>128.61000000000001</v>
      </c>
      <c r="CZ8" s="39">
        <v>140.07</v>
      </c>
      <c r="DA8" s="39">
        <v>152.57</v>
      </c>
      <c r="DB8" s="39">
        <v>166.19</v>
      </c>
      <c r="DC8" s="39">
        <v>181.04</v>
      </c>
      <c r="DD8" s="39">
        <v>197.23</v>
      </c>
      <c r="DE8" s="39">
        <v>214.87</v>
      </c>
      <c r="DF8" s="39">
        <v>233.56</v>
      </c>
      <c r="DG8" s="39">
        <v>252.82</v>
      </c>
      <c r="DH8" s="39">
        <v>273.27999999999997</v>
      </c>
      <c r="DI8" s="39">
        <v>294.95</v>
      </c>
      <c r="DJ8" s="39">
        <v>317.8</v>
      </c>
      <c r="DK8" s="39">
        <v>352.52</v>
      </c>
      <c r="DL8" s="39">
        <v>390.26</v>
      </c>
      <c r="DM8" s="39">
        <v>427.12</v>
      </c>
      <c r="DN8" s="39">
        <v>465.49</v>
      </c>
      <c r="DO8" s="39">
        <v>833.33</v>
      </c>
      <c r="DP8" s="39">
        <v>833.33</v>
      </c>
      <c r="DQ8" s="39" t="s">
        <v>546</v>
      </c>
      <c r="DR8" s="39" t="s">
        <v>546</v>
      </c>
      <c r="DS8" s="39" t="s">
        <v>546</v>
      </c>
      <c r="DT8" s="39" t="s">
        <v>546</v>
      </c>
      <c r="DV8" s="39" t="s">
        <v>523</v>
      </c>
      <c r="DX8" s="39" t="s">
        <v>523</v>
      </c>
    </row>
    <row r="9" spans="1:128">
      <c r="B9" s="39" t="s">
        <v>4945</v>
      </c>
      <c r="C9" s="39" t="s">
        <v>4792</v>
      </c>
      <c r="D9" s="39">
        <v>1</v>
      </c>
      <c r="E9" s="39" t="s">
        <v>4919</v>
      </c>
      <c r="F9" s="39">
        <v>1</v>
      </c>
      <c r="G9" s="39">
        <v>20200101</v>
      </c>
      <c r="H9" s="39">
        <v>99991231</v>
      </c>
      <c r="I9" s="1">
        <v>0</v>
      </c>
      <c r="J9" s="39">
        <v>0</v>
      </c>
      <c r="K9" s="39">
        <v>0</v>
      </c>
      <c r="L9" s="39">
        <v>0</v>
      </c>
      <c r="M9" s="39">
        <v>0</v>
      </c>
      <c r="N9" s="39">
        <v>0</v>
      </c>
      <c r="O9" s="39">
        <v>0</v>
      </c>
      <c r="P9" s="39">
        <v>0</v>
      </c>
      <c r="Q9" s="39">
        <v>0</v>
      </c>
      <c r="R9" s="39">
        <v>0</v>
      </c>
      <c r="S9" s="39">
        <v>0</v>
      </c>
      <c r="T9" s="39">
        <v>0</v>
      </c>
      <c r="U9" s="39">
        <v>0</v>
      </c>
      <c r="V9" s="39">
        <v>0</v>
      </c>
      <c r="W9" s="39">
        <v>0</v>
      </c>
      <c r="X9" s="39">
        <v>0.11</v>
      </c>
      <c r="Y9" s="39">
        <v>0.12</v>
      </c>
      <c r="Z9" s="39">
        <v>0.13</v>
      </c>
      <c r="AA9" s="39">
        <v>0.14000000000000001</v>
      </c>
      <c r="AB9" s="39">
        <v>0.15</v>
      </c>
      <c r="AC9" s="39">
        <v>0.15</v>
      </c>
      <c r="AD9" s="39">
        <v>0.16</v>
      </c>
      <c r="AE9" s="39">
        <v>0.16</v>
      </c>
      <c r="AF9" s="39">
        <v>0.17</v>
      </c>
      <c r="AG9" s="39">
        <v>0.17</v>
      </c>
      <c r="AH9" s="39">
        <v>0.2</v>
      </c>
      <c r="AI9" s="39">
        <v>0.21</v>
      </c>
      <c r="AJ9" s="39">
        <v>0.22</v>
      </c>
      <c r="AK9" s="39">
        <v>0.23</v>
      </c>
      <c r="AL9" s="39">
        <v>0.24</v>
      </c>
      <c r="AM9" s="39">
        <v>0.26</v>
      </c>
      <c r="AN9" s="39">
        <v>0.28000000000000003</v>
      </c>
      <c r="AO9" s="39">
        <v>0.3</v>
      </c>
      <c r="AP9" s="39">
        <v>0.32</v>
      </c>
      <c r="AQ9" s="39">
        <v>0.34</v>
      </c>
      <c r="AR9" s="39">
        <v>0.37</v>
      </c>
      <c r="AS9" s="39">
        <v>0.4</v>
      </c>
      <c r="AT9" s="39">
        <v>0.43</v>
      </c>
      <c r="AU9" s="39">
        <v>0.46</v>
      </c>
      <c r="AV9" s="39">
        <v>0.5</v>
      </c>
      <c r="AW9" s="39">
        <v>0.55000000000000004</v>
      </c>
      <c r="AX9" s="39">
        <v>0.59</v>
      </c>
      <c r="AY9" s="39">
        <v>0.64</v>
      </c>
      <c r="AZ9" s="39">
        <v>0.69</v>
      </c>
      <c r="BA9" s="39">
        <v>0.74</v>
      </c>
      <c r="BB9" s="39">
        <v>0.85</v>
      </c>
      <c r="BC9" s="39">
        <v>0.91</v>
      </c>
      <c r="BD9" s="39">
        <v>0.98</v>
      </c>
      <c r="BE9" s="39">
        <v>1.05</v>
      </c>
      <c r="BF9" s="39">
        <v>1.1299999999999999</v>
      </c>
      <c r="BG9" s="39">
        <v>1.19</v>
      </c>
      <c r="BH9" s="39">
        <v>1.27</v>
      </c>
      <c r="BI9" s="39">
        <v>1.37</v>
      </c>
      <c r="BJ9" s="39">
        <v>1.46</v>
      </c>
      <c r="BK9" s="39">
        <v>1.56</v>
      </c>
      <c r="BL9" s="39">
        <v>1.8</v>
      </c>
      <c r="BM9" s="39">
        <v>1.92</v>
      </c>
      <c r="BN9" s="39">
        <v>2.06</v>
      </c>
      <c r="BO9" s="39">
        <v>2.2200000000000002</v>
      </c>
      <c r="BP9" s="39">
        <v>2.41</v>
      </c>
      <c r="BQ9" s="39">
        <v>2.77</v>
      </c>
      <c r="BR9" s="39">
        <v>3</v>
      </c>
      <c r="BS9" s="39">
        <v>3.27</v>
      </c>
      <c r="BT9" s="39">
        <v>3.57</v>
      </c>
      <c r="BU9" s="39">
        <v>3.91</v>
      </c>
      <c r="BV9" s="39">
        <v>4.67</v>
      </c>
      <c r="BW9" s="39">
        <v>5.12</v>
      </c>
      <c r="BX9" s="39">
        <v>5.66</v>
      </c>
      <c r="BY9" s="39">
        <v>6.27</v>
      </c>
      <c r="BZ9" s="39">
        <v>6.97</v>
      </c>
      <c r="CA9" s="39">
        <v>8.1</v>
      </c>
      <c r="CB9" s="39">
        <v>9</v>
      </c>
      <c r="CC9" s="39">
        <v>10.039999999999999</v>
      </c>
      <c r="CD9" s="39">
        <v>11.21</v>
      </c>
      <c r="CE9" s="39">
        <v>12.54</v>
      </c>
      <c r="CF9" s="39">
        <v>13.61</v>
      </c>
      <c r="CG9" s="39">
        <v>15.26</v>
      </c>
      <c r="CH9" s="39">
        <v>17.12</v>
      </c>
      <c r="CI9" s="39">
        <v>19.18</v>
      </c>
      <c r="CJ9" s="39">
        <v>21.47</v>
      </c>
      <c r="CK9" s="39">
        <v>23.99</v>
      </c>
      <c r="CL9" s="39">
        <v>26.76</v>
      </c>
      <c r="CM9" s="39">
        <v>29.82</v>
      </c>
      <c r="CN9" s="39">
        <v>33.22</v>
      </c>
      <c r="CO9" s="39">
        <v>37.01</v>
      </c>
      <c r="CP9" s="39">
        <v>41.28</v>
      </c>
      <c r="CQ9" s="39">
        <v>46.09</v>
      </c>
      <c r="CR9" s="39">
        <v>51.51</v>
      </c>
      <c r="CS9" s="39">
        <v>57.6</v>
      </c>
      <c r="CT9" s="39">
        <v>64.400000000000006</v>
      </c>
      <c r="CU9" s="39">
        <v>71.989999999999995</v>
      </c>
      <c r="CV9" s="39">
        <v>80.42</v>
      </c>
      <c r="CW9" s="39">
        <v>89.76</v>
      </c>
      <c r="CX9" s="39">
        <v>100.11</v>
      </c>
      <c r="CY9" s="39">
        <v>111.53</v>
      </c>
      <c r="CZ9" s="39">
        <v>124.14</v>
      </c>
      <c r="DA9" s="39">
        <v>138.04</v>
      </c>
      <c r="DB9" s="39">
        <v>153.31</v>
      </c>
      <c r="DC9" s="39">
        <v>170.05</v>
      </c>
      <c r="DD9" s="39">
        <v>188.36</v>
      </c>
      <c r="DE9" s="39">
        <v>208.32</v>
      </c>
      <c r="DF9" s="39">
        <v>229.99</v>
      </c>
      <c r="DG9" s="39">
        <v>253.43</v>
      </c>
      <c r="DH9" s="39">
        <v>278.66000000000003</v>
      </c>
      <c r="DI9" s="39">
        <v>305.67</v>
      </c>
      <c r="DJ9" s="39">
        <v>334.39</v>
      </c>
      <c r="DK9" s="39">
        <v>374.03</v>
      </c>
      <c r="DL9" s="39">
        <v>415.61</v>
      </c>
      <c r="DM9" s="39">
        <v>463.77</v>
      </c>
      <c r="DN9" s="39">
        <v>516.22</v>
      </c>
      <c r="DO9" s="39">
        <v>833.33</v>
      </c>
      <c r="DP9" s="39">
        <v>833.33</v>
      </c>
      <c r="DQ9" s="39" t="s">
        <v>546</v>
      </c>
      <c r="DR9" s="39" t="s">
        <v>546</v>
      </c>
      <c r="DS9" s="39" t="s">
        <v>546</v>
      </c>
      <c r="DT9" s="39" t="s">
        <v>546</v>
      </c>
      <c r="DV9" s="39" t="s">
        <v>523</v>
      </c>
      <c r="DX9" s="39" t="s">
        <v>523</v>
      </c>
    </row>
  </sheetData>
  <phoneticPr fontId="3" type="noConversion"/>
  <hyperlinks>
    <hyperlink ref="A1" location="目錄!A1" display="回到目錄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28"/>
  <sheetViews>
    <sheetView topLeftCell="A118" workbookViewId="0">
      <selection activeCell="C2" sqref="C2:C128"/>
    </sheetView>
  </sheetViews>
  <sheetFormatPr defaultColWidth="11.1796875" defaultRowHeight="13.8"/>
  <cols>
    <col min="1" max="1" width="7.453125" style="10" bestFit="1" customWidth="1"/>
    <col min="2" max="2" width="4.36328125" style="10" bestFit="1" customWidth="1"/>
    <col min="3" max="3" width="11.1796875" style="10"/>
    <col min="4" max="4" width="11" style="10" bestFit="1" customWidth="1"/>
    <col min="5" max="5" width="7.54296875" style="14" bestFit="1" customWidth="1"/>
    <col min="6" max="6" width="10" style="15" bestFit="1" customWidth="1"/>
    <col min="7" max="7" width="10.6328125" style="10" bestFit="1" customWidth="1"/>
    <col min="8" max="8" width="58.90625" style="10" bestFit="1" customWidth="1"/>
    <col min="9" max="9" width="14.54296875" style="10" bestFit="1" customWidth="1"/>
    <col min="10" max="10" width="5.90625" style="10" customWidth="1"/>
    <col min="11" max="12" width="3.6328125" style="14" bestFit="1" customWidth="1"/>
    <col min="13" max="13" width="13" style="14" bestFit="1" customWidth="1"/>
    <col min="14" max="15" width="3.6328125" style="14" customWidth="1"/>
    <col min="16" max="21" width="3.6328125" style="14" bestFit="1" customWidth="1"/>
    <col min="22" max="22" width="3.6328125" style="10" bestFit="1" customWidth="1"/>
    <col min="23" max="28" width="5.36328125" style="14" bestFit="1" customWidth="1"/>
    <col min="29" max="34" width="5.36328125" style="10" bestFit="1" customWidth="1"/>
    <col min="35" max="16384" width="11.1796875" style="10"/>
  </cols>
  <sheetData>
    <row r="1" spans="1:34">
      <c r="A1" s="23" t="s">
        <v>3776</v>
      </c>
      <c r="B1" s="5" t="s">
        <v>5</v>
      </c>
      <c r="C1" s="6" t="s">
        <v>3</v>
      </c>
      <c r="D1" s="6" t="s">
        <v>4</v>
      </c>
      <c r="E1" s="7" t="s">
        <v>6</v>
      </c>
      <c r="F1" s="9" t="s">
        <v>13</v>
      </c>
      <c r="G1" s="9" t="s">
        <v>7</v>
      </c>
      <c r="H1" s="9" t="s">
        <v>8</v>
      </c>
      <c r="I1" s="9" t="s">
        <v>139</v>
      </c>
      <c r="L1" s="72" t="s">
        <v>240</v>
      </c>
      <c r="M1" s="72" t="s">
        <v>4783</v>
      </c>
      <c r="N1" s="72" t="s">
        <v>470</v>
      </c>
      <c r="O1" s="72" t="s">
        <v>471</v>
      </c>
      <c r="P1" s="72" t="s">
        <v>472</v>
      </c>
      <c r="Q1" s="72" t="s">
        <v>473</v>
      </c>
      <c r="R1" s="72" t="s">
        <v>474</v>
      </c>
      <c r="S1" s="73" t="s">
        <v>475</v>
      </c>
    </row>
    <row r="2" spans="1:34">
      <c r="B2" s="11" t="s">
        <v>14</v>
      </c>
      <c r="C2" s="13" t="s">
        <v>80</v>
      </c>
      <c r="D2" s="18" t="s">
        <v>24</v>
      </c>
      <c r="E2" s="11"/>
      <c r="F2" s="12"/>
      <c r="G2" s="12" t="s">
        <v>81</v>
      </c>
      <c r="L2" s="36"/>
      <c r="M2" s="34"/>
      <c r="N2" s="36" t="str">
        <f>"EXEC sp_dropextendedproperty @name = N'MS_Description', @level0type=N'SCHEMA',@level0name=N'"&amp;$L$1&amp;"', @level1type=N'TABLE',@level1name=N'"&amp;$M$1&amp;"', @level2type=N'COLUMN',@level2name=N'"&amp;$C2&amp;"'"</f>
        <v>EXEC sp_dropextendedproperty @name = N'MS_Description', @level0type=N'SCHEMA',@level0name=N'dbo', @level1type=N'TABLE',@level1name=N'LifeInsActFactorAnnuity', @level2type=N'COLUMN',@level2name=N'PlanCode'</v>
      </c>
      <c r="O2" s="36" t="str">
        <f>"EXEC sp_dropextendedproperty @name = N'Rule', @level0type=N'SCHEMA',@level0name=N'"&amp;$L$1&amp;"', @level1type=N'TABLE',@level1name=N'"&amp;$M$1&amp;"', @level2type=N'COLUMN',@level2name=N'"&amp;$C2&amp;"'"</f>
        <v>EXEC sp_dropextendedproperty @name = N'Rule', @level0type=N'SCHEMA',@level0name=N'dbo', @level1type=N'TABLE',@level1name=N'LifeInsActFactorAnnuity', @level2type=N'COLUMN',@level2name=N'PlanCode'</v>
      </c>
      <c r="P2" s="36" t="str">
        <f>"EXEC sp_dropextendedproperty @name = N'Memo', @level0type=N'SCHEMA',@level0name=N'"&amp;$L$1&amp;"', @level1type=N'TABLE',@level1name=N'"&amp;$M$1&amp;"', @level2type=N'COLUMN',@level2name=N'"&amp;$C2&amp;"'"</f>
        <v>EXEC sp_dropextendedproperty @name = N'Memo', @level0type=N'SCHEMA',@level0name=N'dbo', @level1type=N'TABLE',@level1name=N'LifeInsActFactorAnnuity', @level2type=N'COLUMN',@level2name=N'PlanCode'</v>
      </c>
      <c r="Q2" s="36" t="str">
        <f>"set @OldWording = N'"&amp;SUBSTITUTE($G2,CHAR(10),"")&amp;"'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@level2type=N'COLUMN',@level2name=N'"&amp;$C2&amp;"'"</f>
        <v>set @OldWording = N'險種代碼' set @NewWording = REPLACE(@OldWording,'***',char(13)+char(10)) EXEC sys.sp_addextendedproperty @name=N'MS_Description', @value=@NewWording , @level0type=N'SCHEMA',@level0name=N'dbo', @level1type=N'TABLE',@level1name=N'LifeInsActFactorAnnuity', @level2type=N'COLUMN',@level2name=N'PlanCode'</v>
      </c>
      <c r="R2" s="32" t="str">
        <f>"set @OldWording = N'"&amp;SUBSTITUTE($H2,CHAR(10),"")&amp;"'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@name=N'Rule', @value=@NewWording , @level0type=N'SCHEMA',@level0name=N'dbo', @level1type=N'TABLE',@level1name=N'LifeInsActFactorAnnuity', @level2type=N'COLUMN',@level2name=N'PlanCode'</v>
      </c>
      <c r="S2" s="36" t="str">
        <f>"set @OldWording = N'"&amp;SUBSTITUTE($I2,CHAR(10),"")&amp;"' set @NewWording = REPLACE(@OldWording,'***',char(13)+char(10)) "&amp;"EXEC sys.sp_addextendedproperty @name=N'Memo',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@name=N'Memo', @value=@NewWording , @level0type=N'SCHEMA',@level0name=N'dbo', @level1type=N'TABLE',@level1name=N'LifeInsActFactorAnnuity', @level2type=N'COLUMN',@level2name=N'PlanCode'</v>
      </c>
      <c r="V2" s="14"/>
      <c r="AC2" s="14"/>
      <c r="AD2" s="14"/>
      <c r="AE2" s="14"/>
      <c r="AF2" s="14"/>
      <c r="AG2" s="14"/>
      <c r="AH2" s="14"/>
    </row>
    <row r="3" spans="1:34" ht="27.6">
      <c r="B3" s="11" t="s">
        <v>14</v>
      </c>
      <c r="C3" s="15" t="s">
        <v>3728</v>
      </c>
      <c r="D3" s="15" t="s">
        <v>21</v>
      </c>
      <c r="F3" s="10"/>
      <c r="G3" s="10" t="s">
        <v>78</v>
      </c>
      <c r="H3" s="16" t="s">
        <v>3652</v>
      </c>
      <c r="V3" s="14"/>
      <c r="AC3" s="14"/>
      <c r="AD3" s="14"/>
      <c r="AE3" s="14"/>
      <c r="AF3" s="14"/>
      <c r="AG3" s="14"/>
      <c r="AH3" s="14"/>
    </row>
    <row r="4" spans="1:34">
      <c r="B4" s="11" t="s">
        <v>14</v>
      </c>
      <c r="C4" s="12" t="s">
        <v>86</v>
      </c>
      <c r="D4" s="12" t="s">
        <v>34</v>
      </c>
      <c r="F4" s="13"/>
      <c r="G4" s="12" t="s">
        <v>87</v>
      </c>
      <c r="V4" s="14"/>
      <c r="AC4" s="14"/>
      <c r="AD4" s="14"/>
      <c r="AE4" s="14"/>
      <c r="AF4" s="14"/>
      <c r="AG4" s="14"/>
      <c r="AH4" s="14"/>
    </row>
    <row r="5" spans="1:34">
      <c r="B5" s="11" t="s">
        <v>14</v>
      </c>
      <c r="C5" s="12" t="s">
        <v>50</v>
      </c>
      <c r="D5" s="12" t="s">
        <v>21</v>
      </c>
      <c r="F5" s="13"/>
      <c r="G5" s="12" t="s">
        <v>52</v>
      </c>
      <c r="H5" s="16" t="s">
        <v>493</v>
      </c>
      <c r="I5" s="27" t="s">
        <v>267</v>
      </c>
      <c r="V5" s="14"/>
      <c r="AC5" s="14"/>
      <c r="AD5" s="14"/>
      <c r="AE5" s="14"/>
      <c r="AF5" s="14"/>
      <c r="AG5" s="14"/>
      <c r="AH5" s="14"/>
    </row>
    <row r="6" spans="1:34">
      <c r="B6" s="11" t="s">
        <v>14</v>
      </c>
      <c r="C6" s="10" t="s">
        <v>3593</v>
      </c>
      <c r="D6" s="12" t="s">
        <v>23</v>
      </c>
      <c r="F6" s="13"/>
      <c r="G6" s="10" t="s">
        <v>3594</v>
      </c>
      <c r="I6" s="27"/>
      <c r="J6" s="29"/>
      <c r="K6" s="29"/>
      <c r="L6" s="36"/>
      <c r="M6" s="36"/>
      <c r="N6" s="36"/>
      <c r="O6" s="36"/>
      <c r="P6" s="36"/>
      <c r="Q6" s="36"/>
      <c r="R6" s="32"/>
      <c r="S6" s="36"/>
      <c r="T6" s="32"/>
      <c r="U6" s="32"/>
      <c r="W6" s="10"/>
      <c r="X6" s="10"/>
      <c r="Y6" s="10"/>
      <c r="Z6" s="10"/>
      <c r="AA6" s="10"/>
      <c r="AB6" s="10"/>
    </row>
    <row r="7" spans="1:34">
      <c r="B7" s="11"/>
      <c r="C7" s="29" t="s">
        <v>3730</v>
      </c>
      <c r="D7" s="29" t="s">
        <v>126</v>
      </c>
      <c r="E7" s="28"/>
      <c r="F7" s="22"/>
      <c r="G7" s="22" t="s">
        <v>125</v>
      </c>
      <c r="H7" s="27" t="s">
        <v>127</v>
      </c>
      <c r="V7" s="14"/>
      <c r="AC7" s="14"/>
      <c r="AD7" s="14"/>
      <c r="AE7" s="14"/>
      <c r="AF7" s="14"/>
      <c r="AG7" s="14"/>
      <c r="AH7" s="14"/>
    </row>
    <row r="8" spans="1:34">
      <c r="B8" s="11"/>
      <c r="C8" s="29" t="s">
        <v>123</v>
      </c>
      <c r="D8" s="29" t="s">
        <v>126</v>
      </c>
      <c r="E8" s="28"/>
      <c r="F8" s="22"/>
      <c r="G8" s="22" t="s">
        <v>124</v>
      </c>
      <c r="H8" s="27" t="s">
        <v>127</v>
      </c>
      <c r="V8" s="14"/>
      <c r="AC8" s="14"/>
      <c r="AD8" s="14"/>
      <c r="AE8" s="14"/>
      <c r="AF8" s="14"/>
      <c r="AG8" s="14"/>
      <c r="AH8" s="14"/>
    </row>
    <row r="9" spans="1:34">
      <c r="C9" s="10" t="s">
        <v>603</v>
      </c>
      <c r="D9" s="32" t="s">
        <v>285</v>
      </c>
      <c r="E9" s="14" t="s">
        <v>93</v>
      </c>
      <c r="F9" s="13"/>
      <c r="G9" s="10" t="s">
        <v>483</v>
      </c>
      <c r="H9" s="16"/>
    </row>
    <row r="10" spans="1:34">
      <c r="C10" s="10" t="s">
        <v>604</v>
      </c>
      <c r="D10" s="32" t="s">
        <v>285</v>
      </c>
      <c r="E10" s="14" t="s">
        <v>93</v>
      </c>
      <c r="F10" s="13"/>
    </row>
    <row r="11" spans="1:34">
      <c r="C11" s="10" t="s">
        <v>605</v>
      </c>
      <c r="D11" s="32" t="s">
        <v>284</v>
      </c>
      <c r="E11" s="14" t="s">
        <v>93</v>
      </c>
      <c r="F11" s="13"/>
    </row>
    <row r="12" spans="1:34">
      <c r="C12" s="10" t="s">
        <v>606</v>
      </c>
      <c r="D12" s="32" t="s">
        <v>284</v>
      </c>
      <c r="E12" s="14" t="s">
        <v>93</v>
      </c>
      <c r="F12" s="13"/>
    </row>
    <row r="13" spans="1:34">
      <c r="C13" s="10" t="s">
        <v>607</v>
      </c>
      <c r="D13" s="32" t="s">
        <v>284</v>
      </c>
      <c r="E13" s="14" t="s">
        <v>93</v>
      </c>
      <c r="F13" s="13"/>
    </row>
    <row r="14" spans="1:34">
      <c r="C14" s="10" t="s">
        <v>608</v>
      </c>
      <c r="D14" s="32" t="s">
        <v>284</v>
      </c>
      <c r="E14" s="14" t="s">
        <v>93</v>
      </c>
      <c r="F14" s="13"/>
    </row>
    <row r="15" spans="1:34">
      <c r="C15" s="10" t="s">
        <v>609</v>
      </c>
      <c r="D15" s="32" t="s">
        <v>284</v>
      </c>
      <c r="E15" s="14" t="s">
        <v>93</v>
      </c>
      <c r="F15" s="13"/>
    </row>
    <row r="16" spans="1:34">
      <c r="C16" s="10" t="s">
        <v>610</v>
      </c>
      <c r="D16" s="32" t="s">
        <v>284</v>
      </c>
      <c r="E16" s="14" t="s">
        <v>93</v>
      </c>
      <c r="F16" s="13"/>
    </row>
    <row r="17" spans="3:6">
      <c r="C17" s="10" t="s">
        <v>611</v>
      </c>
      <c r="D17" s="32" t="s">
        <v>284</v>
      </c>
      <c r="E17" s="14" t="s">
        <v>93</v>
      </c>
      <c r="F17" s="13"/>
    </row>
    <row r="18" spans="3:6">
      <c r="C18" s="10" t="s">
        <v>612</v>
      </c>
      <c r="D18" s="32" t="s">
        <v>284</v>
      </c>
      <c r="E18" s="14" t="s">
        <v>93</v>
      </c>
      <c r="F18" s="13"/>
    </row>
    <row r="19" spans="3:6">
      <c r="C19" s="10" t="s">
        <v>613</v>
      </c>
      <c r="D19" s="32" t="s">
        <v>284</v>
      </c>
      <c r="E19" s="14" t="s">
        <v>93</v>
      </c>
      <c r="F19" s="13"/>
    </row>
    <row r="20" spans="3:6">
      <c r="C20" s="10" t="s">
        <v>614</v>
      </c>
      <c r="D20" s="32" t="s">
        <v>284</v>
      </c>
      <c r="E20" s="14" t="s">
        <v>93</v>
      </c>
      <c r="F20" s="13"/>
    </row>
    <row r="21" spans="3:6">
      <c r="C21" s="10" t="s">
        <v>615</v>
      </c>
      <c r="D21" s="32" t="s">
        <v>284</v>
      </c>
      <c r="E21" s="14" t="s">
        <v>93</v>
      </c>
      <c r="F21" s="13"/>
    </row>
    <row r="22" spans="3:6">
      <c r="C22" s="10" t="s">
        <v>616</v>
      </c>
      <c r="D22" s="32" t="s">
        <v>284</v>
      </c>
      <c r="E22" s="14" t="s">
        <v>93</v>
      </c>
      <c r="F22" s="13"/>
    </row>
    <row r="23" spans="3:6">
      <c r="C23" s="10" t="s">
        <v>617</v>
      </c>
      <c r="D23" s="32" t="s">
        <v>284</v>
      </c>
      <c r="E23" s="14" t="s">
        <v>93</v>
      </c>
      <c r="F23" s="13"/>
    </row>
    <row r="24" spans="3:6">
      <c r="C24" s="10" t="s">
        <v>618</v>
      </c>
      <c r="D24" s="32" t="s">
        <v>284</v>
      </c>
      <c r="E24" s="14" t="s">
        <v>93</v>
      </c>
      <c r="F24" s="13"/>
    </row>
    <row r="25" spans="3:6">
      <c r="C25" s="10" t="s">
        <v>619</v>
      </c>
      <c r="D25" s="32" t="s">
        <v>284</v>
      </c>
      <c r="E25" s="14" t="s">
        <v>93</v>
      </c>
      <c r="F25" s="13"/>
    </row>
    <row r="26" spans="3:6">
      <c r="C26" s="10" t="s">
        <v>620</v>
      </c>
      <c r="D26" s="32" t="s">
        <v>284</v>
      </c>
      <c r="E26" s="14" t="s">
        <v>93</v>
      </c>
      <c r="F26" s="13"/>
    </row>
    <row r="27" spans="3:6">
      <c r="C27" s="10" t="s">
        <v>621</v>
      </c>
      <c r="D27" s="32" t="s">
        <v>284</v>
      </c>
      <c r="E27" s="14" t="s">
        <v>93</v>
      </c>
      <c r="F27" s="13"/>
    </row>
    <row r="28" spans="3:6">
      <c r="C28" s="10" t="s">
        <v>622</v>
      </c>
      <c r="D28" s="32" t="s">
        <v>284</v>
      </c>
      <c r="E28" s="14" t="s">
        <v>93</v>
      </c>
      <c r="F28" s="13"/>
    </row>
    <row r="29" spans="3:6">
      <c r="C29" s="10" t="s">
        <v>623</v>
      </c>
      <c r="D29" s="32" t="s">
        <v>284</v>
      </c>
      <c r="E29" s="14" t="s">
        <v>93</v>
      </c>
      <c r="F29" s="13"/>
    </row>
    <row r="30" spans="3:6">
      <c r="C30" s="10" t="s">
        <v>624</v>
      </c>
      <c r="D30" s="32" t="s">
        <v>284</v>
      </c>
      <c r="E30" s="14" t="s">
        <v>93</v>
      </c>
      <c r="F30" s="13"/>
    </row>
    <row r="31" spans="3:6">
      <c r="C31" s="10" t="s">
        <v>625</v>
      </c>
      <c r="D31" s="32" t="s">
        <v>284</v>
      </c>
      <c r="E31" s="14" t="s">
        <v>93</v>
      </c>
      <c r="F31" s="13"/>
    </row>
    <row r="32" spans="3:6">
      <c r="C32" s="10" t="s">
        <v>626</v>
      </c>
      <c r="D32" s="32" t="s">
        <v>284</v>
      </c>
      <c r="E32" s="14" t="s">
        <v>93</v>
      </c>
      <c r="F32" s="13"/>
    </row>
    <row r="33" spans="3:6">
      <c r="C33" s="10" t="s">
        <v>627</v>
      </c>
      <c r="D33" s="32" t="s">
        <v>284</v>
      </c>
      <c r="E33" s="14" t="s">
        <v>93</v>
      </c>
      <c r="F33" s="13"/>
    </row>
    <row r="34" spans="3:6">
      <c r="C34" s="10" t="s">
        <v>628</v>
      </c>
      <c r="D34" s="32" t="s">
        <v>284</v>
      </c>
      <c r="E34" s="14" t="s">
        <v>93</v>
      </c>
      <c r="F34" s="13"/>
    </row>
    <row r="35" spans="3:6">
      <c r="C35" s="10" t="s">
        <v>629</v>
      </c>
      <c r="D35" s="32" t="s">
        <v>284</v>
      </c>
      <c r="E35" s="14" t="s">
        <v>93</v>
      </c>
      <c r="F35" s="13"/>
    </row>
    <row r="36" spans="3:6">
      <c r="C36" s="10" t="s">
        <v>630</v>
      </c>
      <c r="D36" s="32" t="s">
        <v>284</v>
      </c>
      <c r="E36" s="14" t="s">
        <v>93</v>
      </c>
      <c r="F36" s="13"/>
    </row>
    <row r="37" spans="3:6">
      <c r="C37" s="10" t="s">
        <v>631</v>
      </c>
      <c r="D37" s="32" t="s">
        <v>284</v>
      </c>
      <c r="E37" s="14" t="s">
        <v>93</v>
      </c>
      <c r="F37" s="13"/>
    </row>
    <row r="38" spans="3:6">
      <c r="C38" s="10" t="s">
        <v>632</v>
      </c>
      <c r="D38" s="32" t="s">
        <v>284</v>
      </c>
      <c r="E38" s="14" t="s">
        <v>93</v>
      </c>
      <c r="F38" s="13"/>
    </row>
    <row r="39" spans="3:6">
      <c r="C39" s="10" t="s">
        <v>633</v>
      </c>
      <c r="D39" s="32" t="s">
        <v>284</v>
      </c>
      <c r="E39" s="14" t="s">
        <v>93</v>
      </c>
      <c r="F39" s="13"/>
    </row>
    <row r="40" spans="3:6">
      <c r="C40" s="10" t="s">
        <v>634</v>
      </c>
      <c r="D40" s="32" t="s">
        <v>284</v>
      </c>
      <c r="E40" s="14" t="s">
        <v>93</v>
      </c>
      <c r="F40" s="13"/>
    </row>
    <row r="41" spans="3:6">
      <c r="C41" s="10" t="s">
        <v>635</v>
      </c>
      <c r="D41" s="32" t="s">
        <v>284</v>
      </c>
      <c r="E41" s="14" t="s">
        <v>93</v>
      </c>
      <c r="F41" s="13"/>
    </row>
    <row r="42" spans="3:6">
      <c r="C42" s="10" t="s">
        <v>636</v>
      </c>
      <c r="D42" s="32" t="s">
        <v>284</v>
      </c>
      <c r="E42" s="14" t="s">
        <v>93</v>
      </c>
      <c r="F42" s="13"/>
    </row>
    <row r="43" spans="3:6">
      <c r="C43" s="10" t="s">
        <v>637</v>
      </c>
      <c r="D43" s="32" t="s">
        <v>284</v>
      </c>
      <c r="E43" s="14" t="s">
        <v>93</v>
      </c>
      <c r="F43" s="13"/>
    </row>
    <row r="44" spans="3:6">
      <c r="C44" s="10" t="s">
        <v>638</v>
      </c>
      <c r="D44" s="32" t="s">
        <v>284</v>
      </c>
      <c r="E44" s="14" t="s">
        <v>93</v>
      </c>
      <c r="F44" s="13"/>
    </row>
    <row r="45" spans="3:6">
      <c r="C45" s="10" t="s">
        <v>639</v>
      </c>
      <c r="D45" s="32" t="s">
        <v>284</v>
      </c>
      <c r="E45" s="14" t="s">
        <v>93</v>
      </c>
      <c r="F45" s="13"/>
    </row>
    <row r="46" spans="3:6">
      <c r="C46" s="10" t="s">
        <v>640</v>
      </c>
      <c r="D46" s="32" t="s">
        <v>284</v>
      </c>
      <c r="E46" s="14" t="s">
        <v>93</v>
      </c>
      <c r="F46" s="13"/>
    </row>
    <row r="47" spans="3:6">
      <c r="C47" s="10" t="s">
        <v>641</v>
      </c>
      <c r="D47" s="32" t="s">
        <v>284</v>
      </c>
      <c r="E47" s="14" t="s">
        <v>93</v>
      </c>
      <c r="F47" s="13"/>
    </row>
    <row r="48" spans="3:6">
      <c r="C48" s="10" t="s">
        <v>642</v>
      </c>
      <c r="D48" s="32" t="s">
        <v>284</v>
      </c>
      <c r="E48" s="14" t="s">
        <v>93</v>
      </c>
      <c r="F48" s="13"/>
    </row>
    <row r="49" spans="3:6">
      <c r="C49" s="10" t="s">
        <v>643</v>
      </c>
      <c r="D49" s="32" t="s">
        <v>284</v>
      </c>
      <c r="E49" s="14" t="s">
        <v>93</v>
      </c>
      <c r="F49" s="13"/>
    </row>
    <row r="50" spans="3:6">
      <c r="C50" s="10" t="s">
        <v>644</v>
      </c>
      <c r="D50" s="32" t="s">
        <v>284</v>
      </c>
      <c r="E50" s="14" t="s">
        <v>93</v>
      </c>
      <c r="F50" s="13"/>
    </row>
    <row r="51" spans="3:6">
      <c r="C51" s="10" t="s">
        <v>645</v>
      </c>
      <c r="D51" s="32" t="s">
        <v>284</v>
      </c>
      <c r="E51" s="14" t="s">
        <v>93</v>
      </c>
      <c r="F51" s="13"/>
    </row>
    <row r="52" spans="3:6">
      <c r="C52" s="10" t="s">
        <v>646</v>
      </c>
      <c r="D52" s="32" t="s">
        <v>284</v>
      </c>
      <c r="E52" s="14" t="s">
        <v>93</v>
      </c>
      <c r="F52" s="13"/>
    </row>
    <row r="53" spans="3:6">
      <c r="C53" s="10" t="s">
        <v>647</v>
      </c>
      <c r="D53" s="32" t="s">
        <v>284</v>
      </c>
      <c r="E53" s="14" t="s">
        <v>93</v>
      </c>
      <c r="F53" s="13"/>
    </row>
    <row r="54" spans="3:6">
      <c r="C54" s="10" t="s">
        <v>648</v>
      </c>
      <c r="D54" s="32" t="s">
        <v>284</v>
      </c>
      <c r="E54" s="14" t="s">
        <v>93</v>
      </c>
      <c r="F54" s="13"/>
    </row>
    <row r="55" spans="3:6">
      <c r="C55" s="10" t="s">
        <v>649</v>
      </c>
      <c r="D55" s="32" t="s">
        <v>284</v>
      </c>
      <c r="E55" s="14" t="s">
        <v>93</v>
      </c>
      <c r="F55" s="13"/>
    </row>
    <row r="56" spans="3:6">
      <c r="C56" s="10" t="s">
        <v>650</v>
      </c>
      <c r="D56" s="32" t="s">
        <v>284</v>
      </c>
      <c r="E56" s="14" t="s">
        <v>93</v>
      </c>
      <c r="F56" s="13"/>
    </row>
    <row r="57" spans="3:6">
      <c r="C57" s="10" t="s">
        <v>651</v>
      </c>
      <c r="D57" s="32" t="s">
        <v>284</v>
      </c>
      <c r="E57" s="14" t="s">
        <v>93</v>
      </c>
      <c r="F57" s="13"/>
    </row>
    <row r="58" spans="3:6">
      <c r="C58" s="10" t="s">
        <v>652</v>
      </c>
      <c r="D58" s="32" t="s">
        <v>284</v>
      </c>
      <c r="E58" s="14" t="s">
        <v>93</v>
      </c>
      <c r="F58" s="13"/>
    </row>
    <row r="59" spans="3:6">
      <c r="C59" s="10" t="s">
        <v>653</v>
      </c>
      <c r="D59" s="32" t="s">
        <v>284</v>
      </c>
      <c r="E59" s="14" t="s">
        <v>93</v>
      </c>
      <c r="F59" s="13"/>
    </row>
    <row r="60" spans="3:6">
      <c r="C60" s="10" t="s">
        <v>654</v>
      </c>
      <c r="D60" s="32" t="s">
        <v>284</v>
      </c>
      <c r="E60" s="14" t="s">
        <v>93</v>
      </c>
      <c r="F60" s="13"/>
    </row>
    <row r="61" spans="3:6">
      <c r="C61" s="10" t="s">
        <v>655</v>
      </c>
      <c r="D61" s="32" t="s">
        <v>284</v>
      </c>
      <c r="E61" s="14" t="s">
        <v>93</v>
      </c>
      <c r="F61" s="13"/>
    </row>
    <row r="62" spans="3:6">
      <c r="C62" s="10" t="s">
        <v>656</v>
      </c>
      <c r="D62" s="32" t="s">
        <v>284</v>
      </c>
      <c r="E62" s="14" t="s">
        <v>93</v>
      </c>
      <c r="F62" s="13"/>
    </row>
    <row r="63" spans="3:6">
      <c r="C63" s="10" t="s">
        <v>657</v>
      </c>
      <c r="D63" s="32" t="s">
        <v>284</v>
      </c>
      <c r="E63" s="14" t="s">
        <v>93</v>
      </c>
      <c r="F63" s="13"/>
    </row>
    <row r="64" spans="3:6">
      <c r="C64" s="10" t="s">
        <v>658</v>
      </c>
      <c r="D64" s="32" t="s">
        <v>284</v>
      </c>
      <c r="E64" s="14" t="s">
        <v>93</v>
      </c>
      <c r="F64" s="13"/>
    </row>
    <row r="65" spans="3:6">
      <c r="C65" s="10" t="s">
        <v>659</v>
      </c>
      <c r="D65" s="32" t="s">
        <v>284</v>
      </c>
      <c r="E65" s="14" t="s">
        <v>93</v>
      </c>
      <c r="F65" s="13"/>
    </row>
    <row r="66" spans="3:6">
      <c r="C66" s="10" t="s">
        <v>660</v>
      </c>
      <c r="D66" s="32" t="s">
        <v>284</v>
      </c>
      <c r="E66" s="14" t="s">
        <v>93</v>
      </c>
      <c r="F66" s="13"/>
    </row>
    <row r="67" spans="3:6">
      <c r="C67" s="10" t="s">
        <v>661</v>
      </c>
      <c r="D67" s="32" t="s">
        <v>284</v>
      </c>
      <c r="E67" s="14" t="s">
        <v>93</v>
      </c>
      <c r="F67" s="13"/>
    </row>
    <row r="68" spans="3:6">
      <c r="C68" s="10" t="s">
        <v>662</v>
      </c>
      <c r="D68" s="32" t="s">
        <v>284</v>
      </c>
      <c r="E68" s="14" t="s">
        <v>93</v>
      </c>
      <c r="F68" s="13"/>
    </row>
    <row r="69" spans="3:6">
      <c r="C69" s="10" t="s">
        <v>663</v>
      </c>
      <c r="D69" s="32" t="s">
        <v>284</v>
      </c>
      <c r="E69" s="14" t="s">
        <v>93</v>
      </c>
      <c r="F69" s="13"/>
    </row>
    <row r="70" spans="3:6">
      <c r="C70" s="10" t="s">
        <v>664</v>
      </c>
      <c r="D70" s="32" t="s">
        <v>284</v>
      </c>
      <c r="E70" s="14" t="s">
        <v>93</v>
      </c>
      <c r="F70" s="13"/>
    </row>
    <row r="71" spans="3:6">
      <c r="C71" s="10" t="s">
        <v>665</v>
      </c>
      <c r="D71" s="32" t="s">
        <v>284</v>
      </c>
      <c r="E71" s="14" t="s">
        <v>93</v>
      </c>
      <c r="F71" s="13"/>
    </row>
    <row r="72" spans="3:6">
      <c r="C72" s="10" t="s">
        <v>666</v>
      </c>
      <c r="D72" s="32" t="s">
        <v>284</v>
      </c>
      <c r="E72" s="14" t="s">
        <v>93</v>
      </c>
      <c r="F72" s="13"/>
    </row>
    <row r="73" spans="3:6">
      <c r="C73" s="10" t="s">
        <v>667</v>
      </c>
      <c r="D73" s="32" t="s">
        <v>284</v>
      </c>
      <c r="E73" s="14" t="s">
        <v>93</v>
      </c>
      <c r="F73" s="13"/>
    </row>
    <row r="74" spans="3:6">
      <c r="C74" s="10" t="s">
        <v>668</v>
      </c>
      <c r="D74" s="32" t="s">
        <v>284</v>
      </c>
      <c r="E74" s="14" t="s">
        <v>93</v>
      </c>
      <c r="F74" s="13"/>
    </row>
    <row r="75" spans="3:6">
      <c r="C75" s="10" t="s">
        <v>669</v>
      </c>
      <c r="D75" s="32" t="s">
        <v>284</v>
      </c>
      <c r="E75" s="14" t="s">
        <v>93</v>
      </c>
      <c r="F75" s="13"/>
    </row>
    <row r="76" spans="3:6">
      <c r="C76" s="10" t="s">
        <v>670</v>
      </c>
      <c r="D76" s="32" t="s">
        <v>284</v>
      </c>
      <c r="E76" s="14" t="s">
        <v>93</v>
      </c>
      <c r="F76" s="13"/>
    </row>
    <row r="77" spans="3:6">
      <c r="C77" s="10" t="s">
        <v>671</v>
      </c>
      <c r="D77" s="32" t="s">
        <v>284</v>
      </c>
      <c r="E77" s="14" t="s">
        <v>93</v>
      </c>
      <c r="F77" s="13"/>
    </row>
    <row r="78" spans="3:6">
      <c r="C78" s="10" t="s">
        <v>672</v>
      </c>
      <c r="D78" s="32" t="s">
        <v>284</v>
      </c>
      <c r="E78" s="14" t="s">
        <v>93</v>
      </c>
      <c r="F78" s="13"/>
    </row>
    <row r="79" spans="3:6">
      <c r="C79" s="10" t="s">
        <v>673</v>
      </c>
      <c r="D79" s="32" t="s">
        <v>284</v>
      </c>
      <c r="E79" s="14" t="s">
        <v>93</v>
      </c>
      <c r="F79" s="13"/>
    </row>
    <row r="80" spans="3:6">
      <c r="C80" s="10" t="s">
        <v>674</v>
      </c>
      <c r="D80" s="32" t="s">
        <v>284</v>
      </c>
      <c r="E80" s="14" t="s">
        <v>93</v>
      </c>
      <c r="F80" s="13"/>
    </row>
    <row r="81" spans="3:7">
      <c r="C81" s="10" t="s">
        <v>675</v>
      </c>
      <c r="D81" s="32" t="s">
        <v>284</v>
      </c>
      <c r="E81" s="14" t="s">
        <v>93</v>
      </c>
      <c r="F81" s="13"/>
    </row>
    <row r="82" spans="3:7">
      <c r="C82" s="10" t="s">
        <v>676</v>
      </c>
      <c r="D82" s="32" t="s">
        <v>284</v>
      </c>
      <c r="E82" s="14" t="s">
        <v>93</v>
      </c>
      <c r="F82" s="13"/>
    </row>
    <row r="83" spans="3:7">
      <c r="C83" s="10" t="s">
        <v>677</v>
      </c>
      <c r="D83" s="32" t="s">
        <v>284</v>
      </c>
      <c r="E83" s="14" t="s">
        <v>93</v>
      </c>
      <c r="F83" s="13"/>
    </row>
    <row r="84" spans="3:7">
      <c r="C84" s="10" t="s">
        <v>678</v>
      </c>
      <c r="D84" s="32" t="s">
        <v>284</v>
      </c>
      <c r="E84" s="14" t="s">
        <v>93</v>
      </c>
      <c r="F84" s="13"/>
    </row>
    <row r="85" spans="3:7">
      <c r="C85" s="10" t="s">
        <v>679</v>
      </c>
      <c r="D85" s="32" t="s">
        <v>284</v>
      </c>
      <c r="E85" s="14" t="s">
        <v>93</v>
      </c>
      <c r="F85" s="13"/>
    </row>
    <row r="86" spans="3:7">
      <c r="C86" s="10" t="s">
        <v>680</v>
      </c>
      <c r="D86" s="32" t="s">
        <v>284</v>
      </c>
      <c r="E86" s="14" t="s">
        <v>93</v>
      </c>
      <c r="F86" s="13"/>
    </row>
    <row r="87" spans="3:7">
      <c r="C87" s="10" t="s">
        <v>681</v>
      </c>
      <c r="D87" s="32" t="s">
        <v>284</v>
      </c>
      <c r="E87" s="14" t="s">
        <v>93</v>
      </c>
      <c r="F87" s="13"/>
    </row>
    <row r="88" spans="3:7">
      <c r="C88" s="10" t="s">
        <v>682</v>
      </c>
      <c r="D88" s="32" t="s">
        <v>284</v>
      </c>
      <c r="E88" s="14" t="s">
        <v>93</v>
      </c>
      <c r="F88" s="13"/>
    </row>
    <row r="89" spans="3:7">
      <c r="C89" s="10" t="s">
        <v>683</v>
      </c>
      <c r="D89" s="32" t="s">
        <v>284</v>
      </c>
      <c r="E89" s="14" t="s">
        <v>93</v>
      </c>
      <c r="F89" s="13"/>
    </row>
    <row r="90" spans="3:7">
      <c r="C90" s="10" t="s">
        <v>684</v>
      </c>
      <c r="D90" s="32" t="s">
        <v>284</v>
      </c>
      <c r="E90" s="14" t="s">
        <v>93</v>
      </c>
      <c r="F90" s="13"/>
    </row>
    <row r="91" spans="3:7">
      <c r="C91" s="10" t="s">
        <v>685</v>
      </c>
      <c r="D91" s="32" t="s">
        <v>284</v>
      </c>
      <c r="E91" s="14" t="s">
        <v>93</v>
      </c>
      <c r="F91" s="13"/>
    </row>
    <row r="92" spans="3:7">
      <c r="C92" s="10" t="s">
        <v>686</v>
      </c>
      <c r="D92" s="32" t="s">
        <v>284</v>
      </c>
      <c r="E92" s="14" t="s">
        <v>93</v>
      </c>
      <c r="F92" s="13"/>
    </row>
    <row r="93" spans="3:7">
      <c r="C93" s="10" t="s">
        <v>687</v>
      </c>
      <c r="D93" s="32" t="s">
        <v>284</v>
      </c>
      <c r="E93" s="14" t="s">
        <v>93</v>
      </c>
      <c r="F93" s="13"/>
    </row>
    <row r="94" spans="3:7">
      <c r="C94" s="10" t="s">
        <v>688</v>
      </c>
      <c r="D94" s="32" t="s">
        <v>284</v>
      </c>
      <c r="E94" s="14" t="s">
        <v>93</v>
      </c>
      <c r="F94" s="13"/>
    </row>
    <row r="95" spans="3:7">
      <c r="C95" s="10" t="s">
        <v>689</v>
      </c>
      <c r="D95" s="32" t="s">
        <v>284</v>
      </c>
      <c r="E95" s="14" t="s">
        <v>93</v>
      </c>
      <c r="F95" s="13"/>
      <c r="G95" s="12"/>
    </row>
    <row r="96" spans="3:7">
      <c r="C96" s="10" t="s">
        <v>690</v>
      </c>
      <c r="D96" s="32" t="s">
        <v>284</v>
      </c>
      <c r="E96" s="14" t="s">
        <v>93</v>
      </c>
      <c r="F96" s="13"/>
      <c r="G96" s="12"/>
    </row>
    <row r="97" spans="3:7">
      <c r="C97" s="10" t="s">
        <v>691</v>
      </c>
      <c r="D97" s="32" t="s">
        <v>284</v>
      </c>
      <c r="E97" s="14" t="s">
        <v>93</v>
      </c>
      <c r="F97" s="13"/>
      <c r="G97" s="12"/>
    </row>
    <row r="98" spans="3:7">
      <c r="C98" s="10" t="s">
        <v>692</v>
      </c>
      <c r="D98" s="32" t="s">
        <v>284</v>
      </c>
      <c r="E98" s="14" t="s">
        <v>93</v>
      </c>
      <c r="F98" s="13"/>
      <c r="G98" s="12"/>
    </row>
    <row r="99" spans="3:7">
      <c r="C99" s="10" t="s">
        <v>693</v>
      </c>
      <c r="D99" s="32" t="s">
        <v>284</v>
      </c>
      <c r="E99" s="14" t="s">
        <v>93</v>
      </c>
    </row>
    <row r="100" spans="3:7">
      <c r="C100" s="10" t="s">
        <v>694</v>
      </c>
      <c r="D100" s="32" t="s">
        <v>284</v>
      </c>
      <c r="E100" s="14" t="s">
        <v>93</v>
      </c>
    </row>
    <row r="101" spans="3:7">
      <c r="C101" s="10" t="s">
        <v>695</v>
      </c>
      <c r="D101" s="32" t="s">
        <v>284</v>
      </c>
      <c r="E101" s="14" t="s">
        <v>93</v>
      </c>
    </row>
    <row r="102" spans="3:7">
      <c r="C102" s="10" t="s">
        <v>696</v>
      </c>
      <c r="D102" s="32" t="s">
        <v>284</v>
      </c>
      <c r="E102" s="14" t="s">
        <v>93</v>
      </c>
    </row>
    <row r="103" spans="3:7">
      <c r="C103" s="10" t="s">
        <v>697</v>
      </c>
      <c r="D103" s="32" t="s">
        <v>284</v>
      </c>
      <c r="E103" s="14" t="s">
        <v>93</v>
      </c>
    </row>
    <row r="104" spans="3:7">
      <c r="C104" s="10" t="s">
        <v>698</v>
      </c>
      <c r="D104" s="32" t="s">
        <v>284</v>
      </c>
      <c r="E104" s="14" t="s">
        <v>93</v>
      </c>
    </row>
    <row r="105" spans="3:7">
      <c r="C105" s="10" t="s">
        <v>699</v>
      </c>
      <c r="D105" s="32" t="s">
        <v>284</v>
      </c>
      <c r="E105" s="14" t="s">
        <v>93</v>
      </c>
    </row>
    <row r="106" spans="3:7">
      <c r="C106" s="10" t="s">
        <v>700</v>
      </c>
      <c r="D106" s="32" t="s">
        <v>284</v>
      </c>
      <c r="E106" s="14" t="s">
        <v>93</v>
      </c>
    </row>
    <row r="107" spans="3:7">
      <c r="C107" s="10" t="s">
        <v>701</v>
      </c>
      <c r="D107" s="32" t="s">
        <v>284</v>
      </c>
      <c r="E107" s="14" t="s">
        <v>93</v>
      </c>
    </row>
    <row r="108" spans="3:7">
      <c r="C108" s="10" t="s">
        <v>702</v>
      </c>
      <c r="D108" s="32" t="s">
        <v>284</v>
      </c>
      <c r="E108" s="14" t="s">
        <v>93</v>
      </c>
    </row>
    <row r="109" spans="3:7">
      <c r="C109" s="10" t="s">
        <v>703</v>
      </c>
      <c r="D109" s="32" t="s">
        <v>284</v>
      </c>
      <c r="E109" s="14" t="s">
        <v>93</v>
      </c>
    </row>
    <row r="110" spans="3:7">
      <c r="C110" s="10" t="s">
        <v>704</v>
      </c>
      <c r="D110" s="32" t="s">
        <v>284</v>
      </c>
      <c r="E110" s="14" t="s">
        <v>93</v>
      </c>
    </row>
    <row r="111" spans="3:7">
      <c r="C111" s="10" t="s">
        <v>705</v>
      </c>
      <c r="D111" s="32" t="s">
        <v>284</v>
      </c>
      <c r="E111" s="14" t="s">
        <v>93</v>
      </c>
    </row>
    <row r="112" spans="3:7">
      <c r="C112" s="10" t="s">
        <v>706</v>
      </c>
      <c r="D112" s="32" t="s">
        <v>284</v>
      </c>
      <c r="E112" s="14" t="s">
        <v>93</v>
      </c>
    </row>
    <row r="113" spans="3:7">
      <c r="C113" s="10" t="s">
        <v>707</v>
      </c>
      <c r="D113" s="32" t="s">
        <v>284</v>
      </c>
      <c r="E113" s="14" t="s">
        <v>93</v>
      </c>
    </row>
    <row r="114" spans="3:7">
      <c r="C114" s="10" t="s">
        <v>708</v>
      </c>
      <c r="D114" s="32" t="s">
        <v>284</v>
      </c>
      <c r="E114" s="14" t="s">
        <v>93</v>
      </c>
    </row>
    <row r="115" spans="3:7">
      <c r="C115" s="10" t="s">
        <v>709</v>
      </c>
      <c r="D115" s="32" t="s">
        <v>284</v>
      </c>
      <c r="E115" s="14" t="s">
        <v>93</v>
      </c>
    </row>
    <row r="116" spans="3:7">
      <c r="C116" s="10" t="s">
        <v>710</v>
      </c>
      <c r="D116" s="32" t="s">
        <v>284</v>
      </c>
      <c r="E116" s="14" t="s">
        <v>93</v>
      </c>
    </row>
    <row r="117" spans="3:7">
      <c r="C117" s="10" t="s">
        <v>711</v>
      </c>
      <c r="D117" s="32" t="s">
        <v>284</v>
      </c>
      <c r="E117" s="14" t="s">
        <v>93</v>
      </c>
    </row>
    <row r="118" spans="3:7">
      <c r="C118" s="10" t="s">
        <v>712</v>
      </c>
      <c r="D118" s="32" t="s">
        <v>284</v>
      </c>
      <c r="E118" s="14" t="s">
        <v>93</v>
      </c>
    </row>
    <row r="119" spans="3:7">
      <c r="C119" s="10" t="s">
        <v>713</v>
      </c>
      <c r="D119" s="32" t="s">
        <v>284</v>
      </c>
      <c r="E119" s="14" t="s">
        <v>93</v>
      </c>
    </row>
    <row r="120" spans="3:7">
      <c r="C120" s="10" t="s">
        <v>714</v>
      </c>
      <c r="D120" s="32" t="s">
        <v>284</v>
      </c>
      <c r="E120" s="14" t="s">
        <v>93</v>
      </c>
    </row>
    <row r="121" spans="3:7">
      <c r="C121" s="10" t="s">
        <v>715</v>
      </c>
      <c r="D121" s="32" t="s">
        <v>284</v>
      </c>
      <c r="E121" s="14" t="s">
        <v>93</v>
      </c>
    </row>
    <row r="122" spans="3:7">
      <c r="C122" s="10" t="s">
        <v>716</v>
      </c>
      <c r="D122" s="32" t="s">
        <v>284</v>
      </c>
      <c r="E122" s="14" t="s">
        <v>16</v>
      </c>
    </row>
    <row r="123" spans="3:7">
      <c r="C123" s="10" t="s">
        <v>717</v>
      </c>
      <c r="D123" s="32" t="s">
        <v>284</v>
      </c>
      <c r="E123" s="14" t="s">
        <v>16</v>
      </c>
    </row>
    <row r="124" spans="3:7">
      <c r="C124" s="10" t="s">
        <v>718</v>
      </c>
      <c r="D124" s="32" t="s">
        <v>284</v>
      </c>
      <c r="E124" s="14" t="s">
        <v>16</v>
      </c>
    </row>
    <row r="125" spans="3:7">
      <c r="C125" s="12" t="s">
        <v>0</v>
      </c>
      <c r="D125" s="12" t="s">
        <v>11</v>
      </c>
      <c r="E125" s="11" t="s">
        <v>16</v>
      </c>
      <c r="F125" s="13" t="s">
        <v>20</v>
      </c>
      <c r="G125" s="12" t="s">
        <v>30</v>
      </c>
    </row>
    <row r="126" spans="3:7">
      <c r="C126" s="12" t="s">
        <v>1</v>
      </c>
      <c r="D126" s="12" t="s">
        <v>37</v>
      </c>
      <c r="E126" s="11"/>
      <c r="F126" s="13"/>
      <c r="G126" s="12" t="s">
        <v>31</v>
      </c>
    </row>
    <row r="127" spans="3:7">
      <c r="C127" s="12" t="s">
        <v>19</v>
      </c>
      <c r="D127" s="12" t="s">
        <v>11</v>
      </c>
      <c r="E127" s="11" t="s">
        <v>16</v>
      </c>
      <c r="F127" s="13" t="s">
        <v>20</v>
      </c>
      <c r="G127" s="12" t="s">
        <v>32</v>
      </c>
    </row>
    <row r="128" spans="3:7">
      <c r="C128" s="12" t="s">
        <v>2</v>
      </c>
      <c r="D128" s="12" t="s">
        <v>37</v>
      </c>
      <c r="E128" s="11"/>
      <c r="F128" s="13"/>
      <c r="G128" s="12" t="s">
        <v>33</v>
      </c>
    </row>
  </sheetData>
  <phoneticPr fontId="3" type="noConversion"/>
  <hyperlinks>
    <hyperlink ref="A1" location="目錄!A1" display="回到目錄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X7"/>
  <sheetViews>
    <sheetView workbookViewId="0"/>
  </sheetViews>
  <sheetFormatPr defaultRowHeight="13.8"/>
  <cols>
    <col min="1" max="1" width="7.453125" style="39" bestFit="1" customWidth="1"/>
    <col min="2" max="2" width="8.54296875" style="39" bestFit="1" customWidth="1"/>
    <col min="3" max="3" width="8.81640625" style="39" bestFit="1" customWidth="1"/>
    <col min="4" max="4" width="8.08984375" style="39" bestFit="1" customWidth="1"/>
    <col min="5" max="5" width="3.90625" style="39" bestFit="1" customWidth="1"/>
    <col min="6" max="6" width="11.36328125" style="39" bestFit="1" customWidth="1"/>
    <col min="7" max="8" width="8.54296875" style="39" bestFit="1" customWidth="1"/>
    <col min="9" max="9" width="8.54296875" style="1" bestFit="1" customWidth="1"/>
    <col min="10" max="96" width="8.54296875" style="39" bestFit="1" customWidth="1"/>
    <col min="97" max="97" width="7.6328125" style="39" bestFit="1" customWidth="1"/>
    <col min="98" max="118" width="8.54296875" style="39" bestFit="1" customWidth="1"/>
    <col min="119" max="124" width="6.453125" style="39" bestFit="1" customWidth="1"/>
    <col min="125" max="125" width="10" style="39" bestFit="1" customWidth="1"/>
    <col min="126" max="126" width="7" style="39" bestFit="1" customWidth="1"/>
    <col min="127" max="127" width="10.36328125" style="39" bestFit="1" customWidth="1"/>
    <col min="128" max="128" width="7.81640625" style="39" bestFit="1" customWidth="1"/>
    <col min="129" max="16384" width="8.7265625" style="39"/>
  </cols>
  <sheetData>
    <row r="1" spans="1:128">
      <c r="A1" s="69" t="s">
        <v>36</v>
      </c>
      <c r="B1" s="92" t="s">
        <v>171</v>
      </c>
      <c r="C1" s="92" t="s">
        <v>3728</v>
      </c>
      <c r="D1" s="92" t="s">
        <v>528</v>
      </c>
      <c r="E1" s="92" t="s">
        <v>3014</v>
      </c>
      <c r="F1" s="92" t="s">
        <v>4916</v>
      </c>
      <c r="G1" s="92" t="s">
        <v>3730</v>
      </c>
      <c r="H1" s="92" t="s">
        <v>2924</v>
      </c>
      <c r="I1" s="92" t="s">
        <v>3058</v>
      </c>
      <c r="J1" s="92" t="s">
        <v>3059</v>
      </c>
      <c r="K1" s="92" t="s">
        <v>605</v>
      </c>
      <c r="L1" s="92" t="s">
        <v>606</v>
      </c>
      <c r="M1" s="92" t="s">
        <v>607</v>
      </c>
      <c r="N1" s="92" t="s">
        <v>608</v>
      </c>
      <c r="O1" s="92" t="s">
        <v>609</v>
      </c>
      <c r="P1" s="92" t="s">
        <v>610</v>
      </c>
      <c r="Q1" s="92" t="s">
        <v>611</v>
      </c>
      <c r="R1" s="92" t="s">
        <v>612</v>
      </c>
      <c r="S1" s="92" t="s">
        <v>613</v>
      </c>
      <c r="T1" s="92" t="s">
        <v>614</v>
      </c>
      <c r="U1" s="92" t="s">
        <v>615</v>
      </c>
      <c r="V1" s="92" t="s">
        <v>616</v>
      </c>
      <c r="W1" s="92" t="s">
        <v>617</v>
      </c>
      <c r="X1" s="92" t="s">
        <v>618</v>
      </c>
      <c r="Y1" s="92" t="s">
        <v>619</v>
      </c>
      <c r="Z1" s="92" t="s">
        <v>620</v>
      </c>
      <c r="AA1" s="92" t="s">
        <v>621</v>
      </c>
      <c r="AB1" s="92" t="s">
        <v>622</v>
      </c>
      <c r="AC1" s="92" t="s">
        <v>623</v>
      </c>
      <c r="AD1" s="92" t="s">
        <v>624</v>
      </c>
      <c r="AE1" s="92" t="s">
        <v>625</v>
      </c>
      <c r="AF1" s="92" t="s">
        <v>626</v>
      </c>
      <c r="AG1" s="92" t="s">
        <v>627</v>
      </c>
      <c r="AH1" s="92" t="s">
        <v>628</v>
      </c>
      <c r="AI1" s="92" t="s">
        <v>629</v>
      </c>
      <c r="AJ1" s="92" t="s">
        <v>630</v>
      </c>
      <c r="AK1" s="92" t="s">
        <v>631</v>
      </c>
      <c r="AL1" s="92" t="s">
        <v>632</v>
      </c>
      <c r="AM1" s="92" t="s">
        <v>633</v>
      </c>
      <c r="AN1" s="92" t="s">
        <v>634</v>
      </c>
      <c r="AO1" s="92" t="s">
        <v>635</v>
      </c>
      <c r="AP1" s="92" t="s">
        <v>636</v>
      </c>
      <c r="AQ1" s="92" t="s">
        <v>637</v>
      </c>
      <c r="AR1" s="92" t="s">
        <v>638</v>
      </c>
      <c r="AS1" s="92" t="s">
        <v>639</v>
      </c>
      <c r="AT1" s="92" t="s">
        <v>640</v>
      </c>
      <c r="AU1" s="92" t="s">
        <v>641</v>
      </c>
      <c r="AV1" s="92" t="s">
        <v>642</v>
      </c>
      <c r="AW1" s="92" t="s">
        <v>643</v>
      </c>
      <c r="AX1" s="92" t="s">
        <v>644</v>
      </c>
      <c r="AY1" s="92" t="s">
        <v>645</v>
      </c>
      <c r="AZ1" s="92" t="s">
        <v>646</v>
      </c>
      <c r="BA1" s="92" t="s">
        <v>647</v>
      </c>
      <c r="BB1" s="92" t="s">
        <v>648</v>
      </c>
      <c r="BC1" s="92" t="s">
        <v>649</v>
      </c>
      <c r="BD1" s="92" t="s">
        <v>650</v>
      </c>
      <c r="BE1" s="92" t="s">
        <v>651</v>
      </c>
      <c r="BF1" s="92" t="s">
        <v>652</v>
      </c>
      <c r="BG1" s="92" t="s">
        <v>653</v>
      </c>
      <c r="BH1" s="92" t="s">
        <v>654</v>
      </c>
      <c r="BI1" s="92" t="s">
        <v>655</v>
      </c>
      <c r="BJ1" s="92" t="s">
        <v>656</v>
      </c>
      <c r="BK1" s="92" t="s">
        <v>657</v>
      </c>
      <c r="BL1" s="92" t="s">
        <v>658</v>
      </c>
      <c r="BM1" s="92" t="s">
        <v>659</v>
      </c>
      <c r="BN1" s="92" t="s">
        <v>660</v>
      </c>
      <c r="BO1" s="92" t="s">
        <v>661</v>
      </c>
      <c r="BP1" s="92" t="s">
        <v>662</v>
      </c>
      <c r="BQ1" s="92" t="s">
        <v>663</v>
      </c>
      <c r="BR1" s="92" t="s">
        <v>664</v>
      </c>
      <c r="BS1" s="92" t="s">
        <v>665</v>
      </c>
      <c r="BT1" s="92" t="s">
        <v>666</v>
      </c>
      <c r="BU1" s="92" t="s">
        <v>667</v>
      </c>
      <c r="BV1" s="92" t="s">
        <v>668</v>
      </c>
      <c r="BW1" s="92" t="s">
        <v>669</v>
      </c>
      <c r="BX1" s="92" t="s">
        <v>670</v>
      </c>
      <c r="BY1" s="92" t="s">
        <v>671</v>
      </c>
      <c r="BZ1" s="92" t="s">
        <v>672</v>
      </c>
      <c r="CA1" s="92" t="s">
        <v>673</v>
      </c>
      <c r="CB1" s="92" t="s">
        <v>674</v>
      </c>
      <c r="CC1" s="92" t="s">
        <v>675</v>
      </c>
      <c r="CD1" s="92" t="s">
        <v>676</v>
      </c>
      <c r="CE1" s="92" t="s">
        <v>677</v>
      </c>
      <c r="CF1" s="92" t="s">
        <v>678</v>
      </c>
      <c r="CG1" s="92" t="s">
        <v>679</v>
      </c>
      <c r="CH1" s="92" t="s">
        <v>680</v>
      </c>
      <c r="CI1" s="92" t="s">
        <v>681</v>
      </c>
      <c r="CJ1" s="92" t="s">
        <v>682</v>
      </c>
      <c r="CK1" s="92" t="s">
        <v>683</v>
      </c>
      <c r="CL1" s="92" t="s">
        <v>684</v>
      </c>
      <c r="CM1" s="92" t="s">
        <v>685</v>
      </c>
      <c r="CN1" s="92" t="s">
        <v>686</v>
      </c>
      <c r="CO1" s="92" t="s">
        <v>687</v>
      </c>
      <c r="CP1" s="92" t="s">
        <v>688</v>
      </c>
      <c r="CQ1" s="92" t="s">
        <v>689</v>
      </c>
      <c r="CR1" s="92" t="s">
        <v>690</v>
      </c>
      <c r="CS1" s="92" t="s">
        <v>691</v>
      </c>
      <c r="CT1" s="92" t="s">
        <v>692</v>
      </c>
      <c r="CU1" s="92" t="s">
        <v>693</v>
      </c>
      <c r="CV1" s="92" t="s">
        <v>694</v>
      </c>
      <c r="CW1" s="92" t="s">
        <v>695</v>
      </c>
      <c r="CX1" s="92" t="s">
        <v>696</v>
      </c>
      <c r="CY1" s="92" t="s">
        <v>697</v>
      </c>
      <c r="CZ1" s="92" t="s">
        <v>698</v>
      </c>
      <c r="DA1" s="92" t="s">
        <v>699</v>
      </c>
      <c r="DB1" s="92" t="s">
        <v>700</v>
      </c>
      <c r="DC1" s="92" t="s">
        <v>701</v>
      </c>
      <c r="DD1" s="92" t="s">
        <v>702</v>
      </c>
      <c r="DE1" s="92" t="s">
        <v>703</v>
      </c>
      <c r="DF1" s="92" t="s">
        <v>704</v>
      </c>
      <c r="DG1" s="92" t="s">
        <v>705</v>
      </c>
      <c r="DH1" s="92" t="s">
        <v>706</v>
      </c>
      <c r="DI1" s="92" t="s">
        <v>707</v>
      </c>
      <c r="DJ1" s="92" t="s">
        <v>708</v>
      </c>
      <c r="DK1" s="92" t="s">
        <v>709</v>
      </c>
      <c r="DL1" s="92" t="s">
        <v>710</v>
      </c>
      <c r="DM1" s="92" t="s">
        <v>711</v>
      </c>
      <c r="DN1" s="92" t="s">
        <v>712</v>
      </c>
      <c r="DO1" s="92" t="s">
        <v>713</v>
      </c>
      <c r="DP1" s="92" t="s">
        <v>714</v>
      </c>
      <c r="DQ1" s="92" t="s">
        <v>715</v>
      </c>
      <c r="DR1" s="92" t="s">
        <v>716</v>
      </c>
      <c r="DS1" s="92" t="s">
        <v>717</v>
      </c>
      <c r="DT1" s="92" t="s">
        <v>718</v>
      </c>
      <c r="DU1" s="92" t="s">
        <v>0</v>
      </c>
      <c r="DV1" s="92" t="s">
        <v>1</v>
      </c>
      <c r="DW1" s="92" t="s">
        <v>19</v>
      </c>
      <c r="DX1" s="92" t="s">
        <v>2</v>
      </c>
    </row>
    <row r="2" spans="1:128">
      <c r="B2" s="39" t="s">
        <v>4771</v>
      </c>
      <c r="C2" s="39" t="s">
        <v>154</v>
      </c>
      <c r="D2" s="39">
        <v>1</v>
      </c>
      <c r="E2" s="39" t="s">
        <v>4918</v>
      </c>
      <c r="F2" s="39">
        <v>1</v>
      </c>
      <c r="G2" s="39">
        <v>20200101</v>
      </c>
      <c r="H2" s="39">
        <v>99991231</v>
      </c>
      <c r="I2" s="1">
        <v>3.0200000000000002E-4</v>
      </c>
      <c r="J2" s="39">
        <v>2.23E-4</v>
      </c>
      <c r="K2" s="39">
        <v>1.6100000000000001E-4</v>
      </c>
      <c r="L2" s="39">
        <v>1.34E-4</v>
      </c>
      <c r="M2" s="39">
        <v>1.13E-4</v>
      </c>
      <c r="N2" s="39">
        <v>9.6000000000000002E-5</v>
      </c>
      <c r="O2" s="39">
        <v>8.6000000000000003E-5</v>
      </c>
      <c r="P2" s="39">
        <v>8.0000000000000007E-5</v>
      </c>
      <c r="Q2" s="39">
        <v>7.7999999999999999E-5</v>
      </c>
      <c r="R2" s="39">
        <v>7.7000000000000001E-5</v>
      </c>
      <c r="S2" s="39">
        <v>7.8999999999999996E-5</v>
      </c>
      <c r="T2" s="39">
        <v>8.2999999999999998E-5</v>
      </c>
      <c r="U2" s="39">
        <v>9.2999999999999997E-5</v>
      </c>
      <c r="V2" s="39">
        <v>1.13E-4</v>
      </c>
      <c r="W2" s="39">
        <v>1.4799999999999999E-4</v>
      </c>
      <c r="X2" s="39">
        <v>1.9900000000000001E-4</v>
      </c>
      <c r="Y2" s="39">
        <v>2.7599999999999999E-4</v>
      </c>
      <c r="Z2" s="39">
        <v>3.6499999999999998E-4</v>
      </c>
      <c r="AA2" s="39">
        <v>4.5100000000000001E-4</v>
      </c>
      <c r="AB2" s="39">
        <v>5.13E-4</v>
      </c>
      <c r="AC2" s="39">
        <v>5.4500000000000002E-4</v>
      </c>
      <c r="AD2" s="39">
        <v>5.5000000000000003E-4</v>
      </c>
      <c r="AE2" s="39">
        <v>5.3899999999999998E-4</v>
      </c>
      <c r="AF2" s="39">
        <v>5.2599999999999999E-4</v>
      </c>
      <c r="AG2" s="39">
        <v>5.1900000000000004E-4</v>
      </c>
      <c r="AH2" s="39">
        <v>5.2300000000000003E-4</v>
      </c>
      <c r="AI2" s="39">
        <v>5.3200000000000003E-4</v>
      </c>
      <c r="AJ2" s="39">
        <v>5.4600000000000004E-4</v>
      </c>
      <c r="AK2" s="39">
        <v>5.6300000000000002E-4</v>
      </c>
      <c r="AL2" s="39">
        <v>5.8399999999999999E-4</v>
      </c>
      <c r="AM2" s="39">
        <v>6.11E-4</v>
      </c>
      <c r="AN2" s="39">
        <v>6.4700000000000001E-4</v>
      </c>
      <c r="AO2" s="39">
        <v>6.9200000000000002E-4</v>
      </c>
      <c r="AP2" s="39">
        <v>7.45E-4</v>
      </c>
      <c r="AQ2" s="39">
        <v>8.0500000000000005E-4</v>
      </c>
      <c r="AR2" s="39">
        <v>8.7399999999999999E-4</v>
      </c>
      <c r="AS2" s="39">
        <v>9.5200000000000005E-4</v>
      </c>
      <c r="AT2" s="39">
        <v>1.0430000000000001E-3</v>
      </c>
      <c r="AU2" s="39">
        <v>1.1460000000000001E-3</v>
      </c>
      <c r="AV2" s="39">
        <v>1.2650000000000001E-3</v>
      </c>
      <c r="AW2" s="39">
        <v>1.4E-3</v>
      </c>
      <c r="AX2" s="39">
        <v>1.5460000000000001E-3</v>
      </c>
      <c r="AY2" s="39">
        <v>1.702E-3</v>
      </c>
      <c r="AZ2" s="39">
        <v>1.861E-3</v>
      </c>
      <c r="BA2" s="39">
        <v>2.016E-3</v>
      </c>
      <c r="BB2" s="39">
        <v>2.1689999999999999E-3</v>
      </c>
      <c r="BC2" s="39">
        <v>2.3240000000000001E-3</v>
      </c>
      <c r="BD2" s="39">
        <v>2.4880000000000002E-3</v>
      </c>
      <c r="BE2" s="39">
        <v>2.6649999999999998E-3</v>
      </c>
      <c r="BF2" s="39">
        <v>2.856E-3</v>
      </c>
      <c r="BG2" s="39">
        <v>3.058E-3</v>
      </c>
      <c r="BH2" s="39">
        <v>3.2720000000000002E-3</v>
      </c>
      <c r="BI2" s="39">
        <v>3.4970000000000001E-3</v>
      </c>
      <c r="BJ2" s="39">
        <v>3.7390000000000001E-3</v>
      </c>
      <c r="BK2" s="39">
        <v>3.9979999999999998E-3</v>
      </c>
      <c r="BL2" s="39">
        <v>4.2789999999999998E-3</v>
      </c>
      <c r="BM2" s="39">
        <v>4.5799999999999999E-3</v>
      </c>
      <c r="BN2" s="39">
        <v>4.8999999999999998E-3</v>
      </c>
      <c r="BO2" s="39">
        <v>5.2370000000000003E-3</v>
      </c>
      <c r="BP2" s="39">
        <v>5.6049999999999997E-3</v>
      </c>
      <c r="BQ2" s="39">
        <v>6.0070000000000002E-3</v>
      </c>
      <c r="BR2" s="39">
        <v>6.4270000000000004E-3</v>
      </c>
      <c r="BS2" s="39">
        <v>6.8789999999999997E-3</v>
      </c>
      <c r="BT2" s="39">
        <v>7.3569999999999998E-3</v>
      </c>
      <c r="BU2" s="39">
        <v>7.8650000000000005E-3</v>
      </c>
      <c r="BV2" s="39">
        <v>8.4250000000000002E-3</v>
      </c>
      <c r="BW2" s="39">
        <v>9.0580000000000001E-3</v>
      </c>
      <c r="BX2" s="39">
        <v>9.7809999999999998E-3</v>
      </c>
      <c r="BY2" s="39">
        <v>1.0584E-2</v>
      </c>
      <c r="BZ2" s="39">
        <v>1.146E-2</v>
      </c>
      <c r="CA2" s="39">
        <v>1.2394000000000001E-2</v>
      </c>
      <c r="CB2" s="39">
        <v>1.3381000000000001E-2</v>
      </c>
      <c r="CC2" s="39">
        <v>1.4425E-2</v>
      </c>
      <c r="CD2" s="39">
        <v>1.5538E-2</v>
      </c>
      <c r="CE2" s="39">
        <v>1.6719999999999999E-2</v>
      </c>
      <c r="CF2" s="39">
        <v>1.7981E-2</v>
      </c>
      <c r="CG2" s="39">
        <v>1.932E-2</v>
      </c>
      <c r="CH2" s="39">
        <v>2.0754999999999999E-2</v>
      </c>
      <c r="CI2" s="39">
        <v>2.2294000000000001E-2</v>
      </c>
      <c r="CJ2" s="39">
        <v>2.3951E-2</v>
      </c>
      <c r="CK2" s="39">
        <v>2.5731E-2</v>
      </c>
      <c r="CL2" s="39">
        <v>2.7642E-2</v>
      </c>
      <c r="CM2" s="39">
        <v>2.9687999999999999E-2</v>
      </c>
      <c r="CN2" s="39">
        <v>3.1883000000000002E-2</v>
      </c>
      <c r="CO2" s="39">
        <v>3.4236999999999997E-2</v>
      </c>
      <c r="CP2" s="39">
        <v>3.6769999999999997E-2</v>
      </c>
      <c r="CQ2" s="39">
        <v>3.9579000000000003E-2</v>
      </c>
      <c r="CR2" s="39">
        <v>4.2597000000000003E-2</v>
      </c>
      <c r="CS2" s="39">
        <v>4.5839999999999999E-2</v>
      </c>
      <c r="CT2" s="39">
        <v>4.9321999999999998E-2</v>
      </c>
      <c r="CU2" s="39">
        <v>5.3060999999999997E-2</v>
      </c>
      <c r="CV2" s="39">
        <v>5.7072999999999999E-2</v>
      </c>
      <c r="CW2" s="39">
        <v>6.1377000000000001E-2</v>
      </c>
      <c r="CX2" s="39">
        <v>6.5993999999999997E-2</v>
      </c>
      <c r="CY2" s="39">
        <v>7.0942000000000005E-2</v>
      </c>
      <c r="CZ2" s="39">
        <v>7.6244000000000006E-2</v>
      </c>
      <c r="DA2" s="39">
        <v>8.1922999999999996E-2</v>
      </c>
      <c r="DB2" s="39">
        <v>8.8001999999999997E-2</v>
      </c>
      <c r="DC2" s="39">
        <v>9.4505000000000006E-2</v>
      </c>
      <c r="DD2" s="39">
        <v>0.10145700000000001</v>
      </c>
      <c r="DE2" s="39">
        <v>0.108886</v>
      </c>
      <c r="DF2" s="39">
        <v>0.11681800000000001</v>
      </c>
      <c r="DG2" s="39">
        <v>0.125281</v>
      </c>
      <c r="DH2" s="39">
        <v>0.13430300000000001</v>
      </c>
      <c r="DI2" s="39">
        <v>0.14391200000000001</v>
      </c>
      <c r="DJ2" s="39">
        <v>0.154137</v>
      </c>
      <c r="DK2" s="39">
        <v>0.16500600000000001</v>
      </c>
      <c r="DL2" s="39">
        <v>0.17654700000000001</v>
      </c>
      <c r="DM2" s="39">
        <v>0.18878800000000001</v>
      </c>
      <c r="DN2" s="39">
        <v>0.20175199999999999</v>
      </c>
      <c r="DO2" s="39">
        <v>1</v>
      </c>
      <c r="DP2" s="39" t="s">
        <v>546</v>
      </c>
      <c r="DQ2" s="39" t="s">
        <v>546</v>
      </c>
      <c r="DR2" s="39" t="s">
        <v>546</v>
      </c>
      <c r="DS2" s="39" t="s">
        <v>546</v>
      </c>
      <c r="DT2" s="39" t="s">
        <v>546</v>
      </c>
      <c r="DV2" s="39" t="s">
        <v>523</v>
      </c>
      <c r="DX2" s="39" t="s">
        <v>523</v>
      </c>
    </row>
    <row r="3" spans="1:128">
      <c r="B3" s="39" t="s">
        <v>4771</v>
      </c>
      <c r="C3" s="39" t="s">
        <v>154</v>
      </c>
      <c r="D3" s="39">
        <v>1</v>
      </c>
      <c r="E3" s="39" t="s">
        <v>4919</v>
      </c>
      <c r="F3" s="39">
        <v>1</v>
      </c>
      <c r="G3" s="39">
        <v>20200101</v>
      </c>
      <c r="H3" s="39">
        <v>99991231</v>
      </c>
      <c r="I3" s="1">
        <v>2.3499999999999999E-4</v>
      </c>
      <c r="J3" s="39">
        <v>1.74E-4</v>
      </c>
      <c r="K3" s="39">
        <v>1.25E-4</v>
      </c>
      <c r="L3" s="39">
        <v>1.05E-4</v>
      </c>
      <c r="M3" s="39">
        <v>9.0000000000000006E-5</v>
      </c>
      <c r="N3" s="39">
        <v>7.8999999999999996E-5</v>
      </c>
      <c r="O3" s="39">
        <v>7.2000000000000002E-5</v>
      </c>
      <c r="P3" s="39">
        <v>6.7000000000000002E-5</v>
      </c>
      <c r="Q3" s="39">
        <v>6.2000000000000003E-5</v>
      </c>
      <c r="R3" s="39">
        <v>6.0999999999999999E-5</v>
      </c>
      <c r="S3" s="39">
        <v>6.2000000000000003E-5</v>
      </c>
      <c r="T3" s="39">
        <v>6.7000000000000002E-5</v>
      </c>
      <c r="U3" s="39">
        <v>7.3999999999999996E-5</v>
      </c>
      <c r="V3" s="39">
        <v>8.2000000000000001E-5</v>
      </c>
      <c r="W3" s="39">
        <v>9.1000000000000003E-5</v>
      </c>
      <c r="X3" s="39">
        <v>1.01E-4</v>
      </c>
      <c r="Y3" s="39">
        <v>1.16E-4</v>
      </c>
      <c r="Z3" s="39">
        <v>1.35E-4</v>
      </c>
      <c r="AA3" s="39">
        <v>1.55E-4</v>
      </c>
      <c r="AB3" s="39">
        <v>1.74E-4</v>
      </c>
      <c r="AC3" s="39">
        <v>1.8900000000000001E-4</v>
      </c>
      <c r="AD3" s="39">
        <v>2.0100000000000001E-4</v>
      </c>
      <c r="AE3" s="39">
        <v>2.0900000000000001E-4</v>
      </c>
      <c r="AF3" s="39">
        <v>2.1499999999999999E-4</v>
      </c>
      <c r="AG3" s="39">
        <v>2.1900000000000001E-4</v>
      </c>
      <c r="AH3" s="39">
        <v>2.22E-4</v>
      </c>
      <c r="AI3" s="39">
        <v>2.24E-4</v>
      </c>
      <c r="AJ3" s="39">
        <v>2.2599999999999999E-4</v>
      </c>
      <c r="AK3" s="39">
        <v>2.2800000000000001E-4</v>
      </c>
      <c r="AL3" s="39">
        <v>2.34E-4</v>
      </c>
      <c r="AM3" s="39">
        <v>2.43E-4</v>
      </c>
      <c r="AN3" s="39">
        <v>2.5999999999999998E-4</v>
      </c>
      <c r="AO3" s="39">
        <v>2.81E-4</v>
      </c>
      <c r="AP3" s="39">
        <v>3.0499999999999999E-4</v>
      </c>
      <c r="AQ3" s="39">
        <v>3.28E-4</v>
      </c>
      <c r="AR3" s="39">
        <v>3.5300000000000002E-4</v>
      </c>
      <c r="AS3" s="39">
        <v>3.7800000000000003E-4</v>
      </c>
      <c r="AT3" s="39">
        <v>4.06E-4</v>
      </c>
      <c r="AU3" s="39">
        <v>4.37E-4</v>
      </c>
      <c r="AV3" s="39">
        <v>4.7399999999999997E-4</v>
      </c>
      <c r="AW3" s="39">
        <v>5.1400000000000003E-4</v>
      </c>
      <c r="AX3" s="39">
        <v>5.5699999999999999E-4</v>
      </c>
      <c r="AY3" s="39">
        <v>6.0300000000000002E-4</v>
      </c>
      <c r="AZ3" s="39">
        <v>6.5099999999999999E-4</v>
      </c>
      <c r="BA3" s="39">
        <v>7.0100000000000002E-4</v>
      </c>
      <c r="BB3" s="39">
        <v>7.5500000000000003E-4</v>
      </c>
      <c r="BC3" s="39">
        <v>8.1400000000000005E-4</v>
      </c>
      <c r="BD3" s="39">
        <v>8.8099999999999995E-4</v>
      </c>
      <c r="BE3" s="39">
        <v>9.59E-4</v>
      </c>
      <c r="BF3" s="39">
        <v>1.049E-3</v>
      </c>
      <c r="BG3" s="39">
        <v>1.152E-3</v>
      </c>
      <c r="BH3" s="39">
        <v>1.2689999999999999E-3</v>
      </c>
      <c r="BI3" s="39">
        <v>1.392E-3</v>
      </c>
      <c r="BJ3" s="39">
        <v>1.5200000000000001E-3</v>
      </c>
      <c r="BK3" s="39">
        <v>1.65E-3</v>
      </c>
      <c r="BL3" s="39">
        <v>1.7830000000000001E-3</v>
      </c>
      <c r="BM3" s="39">
        <v>1.928E-3</v>
      </c>
      <c r="BN3" s="39">
        <v>2.091E-3</v>
      </c>
      <c r="BO3" s="39">
        <v>2.2829999999999999E-3</v>
      </c>
      <c r="BP3" s="39">
        <v>2.506E-3</v>
      </c>
      <c r="BQ3" s="39">
        <v>2.758E-3</v>
      </c>
      <c r="BR3" s="39">
        <v>3.039E-3</v>
      </c>
      <c r="BS3" s="39">
        <v>3.3430000000000001E-3</v>
      </c>
      <c r="BT3" s="39">
        <v>3.6719999999999999E-3</v>
      </c>
      <c r="BU3" s="39">
        <v>4.0309999999999999E-3</v>
      </c>
      <c r="BV3" s="39">
        <v>4.424E-3</v>
      </c>
      <c r="BW3" s="39">
        <v>4.8549999999999999E-3</v>
      </c>
      <c r="BX3" s="39">
        <v>5.3189999999999999E-3</v>
      </c>
      <c r="BY3" s="39">
        <v>5.8250000000000003E-3</v>
      </c>
      <c r="BZ3" s="39">
        <v>6.3639999999999999E-3</v>
      </c>
      <c r="CA3" s="39">
        <v>6.9350000000000002E-3</v>
      </c>
      <c r="CB3" s="39">
        <v>7.5490000000000002E-3</v>
      </c>
      <c r="CC3" s="39">
        <v>8.2120000000000005E-3</v>
      </c>
      <c r="CD3" s="39">
        <v>8.933E-3</v>
      </c>
      <c r="CE3" s="39">
        <v>9.7160000000000007E-3</v>
      </c>
      <c r="CF3" s="39">
        <v>1.0574E-2</v>
      </c>
      <c r="CG3" s="39">
        <v>1.1513000000000001E-2</v>
      </c>
      <c r="CH3" s="39">
        <v>1.2534999999999999E-2</v>
      </c>
      <c r="CI3" s="39">
        <v>1.3658999999999999E-2</v>
      </c>
      <c r="CJ3" s="39">
        <v>1.4895E-2</v>
      </c>
      <c r="CK3" s="39">
        <v>1.6264000000000001E-2</v>
      </c>
      <c r="CL3" s="39">
        <v>1.7794000000000001E-2</v>
      </c>
      <c r="CM3" s="39">
        <v>1.9511000000000001E-2</v>
      </c>
      <c r="CN3" s="39">
        <v>2.1453E-2</v>
      </c>
      <c r="CO3" s="39">
        <v>2.3657000000000001E-2</v>
      </c>
      <c r="CP3" s="39">
        <v>2.6173999999999999E-2</v>
      </c>
      <c r="CQ3" s="39">
        <v>2.8649999999999998E-2</v>
      </c>
      <c r="CR3" s="39">
        <v>3.1354E-2</v>
      </c>
      <c r="CS3" s="39">
        <v>3.431E-2</v>
      </c>
      <c r="CT3" s="39">
        <v>3.7538000000000002E-2</v>
      </c>
      <c r="CU3" s="39">
        <v>4.1062000000000001E-2</v>
      </c>
      <c r="CV3" s="39">
        <v>4.4908000000000003E-2</v>
      </c>
      <c r="CW3" s="39">
        <v>4.9104000000000002E-2</v>
      </c>
      <c r="CX3" s="39">
        <v>5.3679999999999999E-2</v>
      </c>
      <c r="CY3" s="39">
        <v>5.8666999999999997E-2</v>
      </c>
      <c r="CZ3" s="39">
        <v>6.4100000000000004E-2</v>
      </c>
      <c r="DA3" s="39">
        <v>7.0014999999999994E-2</v>
      </c>
      <c r="DB3" s="39">
        <v>7.6450000000000004E-2</v>
      </c>
      <c r="DC3" s="39">
        <v>8.3446000000000006E-2</v>
      </c>
      <c r="DD3" s="39">
        <v>9.1047000000000003E-2</v>
      </c>
      <c r="DE3" s="39">
        <v>9.9295999999999995E-2</v>
      </c>
      <c r="DF3" s="39">
        <v>0.108242</v>
      </c>
      <c r="DG3" s="39">
        <v>0.117933</v>
      </c>
      <c r="DH3" s="39">
        <v>0.12841900000000001</v>
      </c>
      <c r="DI3" s="39">
        <v>0.13975199999999999</v>
      </c>
      <c r="DJ3" s="39">
        <v>0.15198200000000001</v>
      </c>
      <c r="DK3" s="39">
        <v>0.165162</v>
      </c>
      <c r="DL3" s="39">
        <v>0.179342</v>
      </c>
      <c r="DM3" s="39">
        <v>0.19457099999999999</v>
      </c>
      <c r="DN3" s="39">
        <v>0.210893</v>
      </c>
      <c r="DO3" s="39">
        <v>1</v>
      </c>
      <c r="DP3" s="39" t="s">
        <v>546</v>
      </c>
      <c r="DQ3" s="39" t="s">
        <v>546</v>
      </c>
      <c r="DR3" s="39" t="s">
        <v>546</v>
      </c>
      <c r="DS3" s="39" t="s">
        <v>546</v>
      </c>
      <c r="DT3" s="39" t="s">
        <v>546</v>
      </c>
      <c r="DV3" s="39" t="s">
        <v>523</v>
      </c>
      <c r="DX3" s="39" t="s">
        <v>523</v>
      </c>
    </row>
    <row r="4" spans="1:128">
      <c r="B4" s="39" t="s">
        <v>4947</v>
      </c>
      <c r="C4" s="39" t="s">
        <v>154</v>
      </c>
      <c r="D4" s="39">
        <v>1</v>
      </c>
      <c r="E4" s="39" t="s">
        <v>4918</v>
      </c>
      <c r="F4" s="39">
        <v>1</v>
      </c>
      <c r="G4" s="39">
        <v>20200101</v>
      </c>
      <c r="H4" s="39">
        <v>99991231</v>
      </c>
      <c r="I4" s="1">
        <v>3.0200000000000002E-4</v>
      </c>
      <c r="J4" s="39">
        <v>2.23E-4</v>
      </c>
      <c r="K4" s="39">
        <v>1.6100000000000001E-4</v>
      </c>
      <c r="L4" s="39">
        <v>1.34E-4</v>
      </c>
      <c r="M4" s="39">
        <v>1.13E-4</v>
      </c>
      <c r="N4" s="39">
        <v>9.6000000000000002E-5</v>
      </c>
      <c r="O4" s="39">
        <v>8.6000000000000003E-5</v>
      </c>
      <c r="P4" s="39">
        <v>8.0000000000000007E-5</v>
      </c>
      <c r="Q4" s="39">
        <v>7.7999999999999999E-5</v>
      </c>
      <c r="R4" s="39">
        <v>7.7000000000000001E-5</v>
      </c>
      <c r="S4" s="39">
        <v>7.8999999999999996E-5</v>
      </c>
      <c r="T4" s="39">
        <v>8.2999999999999998E-5</v>
      </c>
      <c r="U4" s="39">
        <v>9.2999999999999997E-5</v>
      </c>
      <c r="V4" s="39">
        <v>1.13E-4</v>
      </c>
      <c r="W4" s="39">
        <v>1.4799999999999999E-4</v>
      </c>
      <c r="X4" s="39">
        <v>1.9900000000000001E-4</v>
      </c>
      <c r="Y4" s="39">
        <v>2.7599999999999999E-4</v>
      </c>
      <c r="Z4" s="39">
        <v>3.6499999999999998E-4</v>
      </c>
      <c r="AA4" s="39">
        <v>4.5100000000000001E-4</v>
      </c>
      <c r="AB4" s="39">
        <v>5.13E-4</v>
      </c>
      <c r="AC4" s="39">
        <v>5.4500000000000002E-4</v>
      </c>
      <c r="AD4" s="39">
        <v>5.5000000000000003E-4</v>
      </c>
      <c r="AE4" s="39">
        <v>5.3899999999999998E-4</v>
      </c>
      <c r="AF4" s="39">
        <v>5.2599999999999999E-4</v>
      </c>
      <c r="AG4" s="39">
        <v>5.1900000000000004E-4</v>
      </c>
      <c r="AH4" s="39">
        <v>5.2300000000000003E-4</v>
      </c>
      <c r="AI4" s="39">
        <v>5.3200000000000003E-4</v>
      </c>
      <c r="AJ4" s="39">
        <v>5.4600000000000004E-4</v>
      </c>
      <c r="AK4" s="39">
        <v>5.6300000000000002E-4</v>
      </c>
      <c r="AL4" s="39">
        <v>5.8399999999999999E-4</v>
      </c>
      <c r="AM4" s="39">
        <v>6.11E-4</v>
      </c>
      <c r="AN4" s="39">
        <v>6.4700000000000001E-4</v>
      </c>
      <c r="AO4" s="39">
        <v>6.9200000000000002E-4</v>
      </c>
      <c r="AP4" s="39">
        <v>7.45E-4</v>
      </c>
      <c r="AQ4" s="39">
        <v>8.0500000000000005E-4</v>
      </c>
      <c r="AR4" s="39">
        <v>8.7399999999999999E-4</v>
      </c>
      <c r="AS4" s="39">
        <v>9.5200000000000005E-4</v>
      </c>
      <c r="AT4" s="39">
        <v>1.0430000000000001E-3</v>
      </c>
      <c r="AU4" s="39">
        <v>1.1460000000000001E-3</v>
      </c>
      <c r="AV4" s="39">
        <v>1.2650000000000001E-3</v>
      </c>
      <c r="AW4" s="39">
        <v>1.4E-3</v>
      </c>
      <c r="AX4" s="39">
        <v>1.5460000000000001E-3</v>
      </c>
      <c r="AY4" s="39">
        <v>1.702E-3</v>
      </c>
      <c r="AZ4" s="39">
        <v>1.861E-3</v>
      </c>
      <c r="BA4" s="39">
        <v>2.016E-3</v>
      </c>
      <c r="BB4" s="39">
        <v>2.1689999999999999E-3</v>
      </c>
      <c r="BC4" s="39">
        <v>2.3240000000000001E-3</v>
      </c>
      <c r="BD4" s="39">
        <v>2.4880000000000002E-3</v>
      </c>
      <c r="BE4" s="39">
        <v>2.6649999999999998E-3</v>
      </c>
      <c r="BF4" s="39">
        <v>2.856E-3</v>
      </c>
      <c r="BG4" s="39">
        <v>3.058E-3</v>
      </c>
      <c r="BH4" s="39">
        <v>3.2720000000000002E-3</v>
      </c>
      <c r="BI4" s="39">
        <v>3.4970000000000001E-3</v>
      </c>
      <c r="BJ4" s="39">
        <v>3.7390000000000001E-3</v>
      </c>
      <c r="BK4" s="39">
        <v>3.9979999999999998E-3</v>
      </c>
      <c r="BL4" s="39">
        <v>4.2789999999999998E-3</v>
      </c>
      <c r="BM4" s="39">
        <v>4.5799999999999999E-3</v>
      </c>
      <c r="BN4" s="39">
        <v>4.8999999999999998E-3</v>
      </c>
      <c r="BO4" s="39">
        <v>5.2370000000000003E-3</v>
      </c>
      <c r="BP4" s="39">
        <v>5.6049999999999997E-3</v>
      </c>
      <c r="BQ4" s="39">
        <v>6.0070000000000002E-3</v>
      </c>
      <c r="BR4" s="39">
        <v>6.4270000000000004E-3</v>
      </c>
      <c r="BS4" s="39">
        <v>6.8789999999999997E-3</v>
      </c>
      <c r="BT4" s="39">
        <v>7.3569999999999998E-3</v>
      </c>
      <c r="BU4" s="39">
        <v>7.8650000000000005E-3</v>
      </c>
      <c r="BV4" s="39">
        <v>8.4250000000000002E-3</v>
      </c>
      <c r="BW4" s="39">
        <v>9.0580000000000001E-3</v>
      </c>
      <c r="BX4" s="39">
        <v>9.7809999999999998E-3</v>
      </c>
      <c r="BY4" s="39">
        <v>1.0584E-2</v>
      </c>
      <c r="BZ4" s="39">
        <v>1.146E-2</v>
      </c>
      <c r="CA4" s="39">
        <v>1.2394000000000001E-2</v>
      </c>
      <c r="CB4" s="39">
        <v>1.3381000000000001E-2</v>
      </c>
      <c r="CC4" s="39">
        <v>1.4425E-2</v>
      </c>
      <c r="CD4" s="39">
        <v>1.5538E-2</v>
      </c>
      <c r="CE4" s="39">
        <v>1.6719999999999999E-2</v>
      </c>
      <c r="CF4" s="39">
        <v>1.7981E-2</v>
      </c>
      <c r="CG4" s="39">
        <v>1.932E-2</v>
      </c>
      <c r="CH4" s="39">
        <v>2.0754999999999999E-2</v>
      </c>
      <c r="CI4" s="39">
        <v>2.2294000000000001E-2</v>
      </c>
      <c r="CJ4" s="39">
        <v>2.3951E-2</v>
      </c>
      <c r="CK4" s="39">
        <v>2.5731E-2</v>
      </c>
      <c r="CL4" s="39">
        <v>2.7642E-2</v>
      </c>
      <c r="CM4" s="39">
        <v>2.9687999999999999E-2</v>
      </c>
      <c r="CN4" s="39">
        <v>3.1883000000000002E-2</v>
      </c>
      <c r="CO4" s="39">
        <v>3.4236999999999997E-2</v>
      </c>
      <c r="CP4" s="39">
        <v>3.6769999999999997E-2</v>
      </c>
      <c r="CQ4" s="39">
        <v>3.9579000000000003E-2</v>
      </c>
      <c r="CR4" s="39">
        <v>4.2597000000000003E-2</v>
      </c>
      <c r="CS4" s="39">
        <v>4.5839999999999999E-2</v>
      </c>
      <c r="CT4" s="39">
        <v>4.9321999999999998E-2</v>
      </c>
      <c r="CU4" s="39">
        <v>5.3060999999999997E-2</v>
      </c>
      <c r="CV4" s="39">
        <v>5.7072999999999999E-2</v>
      </c>
      <c r="CW4" s="39">
        <v>6.1377000000000001E-2</v>
      </c>
      <c r="CX4" s="39">
        <v>6.5993999999999997E-2</v>
      </c>
      <c r="CY4" s="39">
        <v>7.0942000000000005E-2</v>
      </c>
      <c r="CZ4" s="39">
        <v>7.6244000000000006E-2</v>
      </c>
      <c r="DA4" s="39">
        <v>8.1922999999999996E-2</v>
      </c>
      <c r="DB4" s="39">
        <v>8.8001999999999997E-2</v>
      </c>
      <c r="DC4" s="39">
        <v>9.4505000000000006E-2</v>
      </c>
      <c r="DD4" s="39">
        <v>0.10145700000000001</v>
      </c>
      <c r="DE4" s="39">
        <v>0.108886</v>
      </c>
      <c r="DF4" s="39">
        <v>0.11681800000000001</v>
      </c>
      <c r="DG4" s="39">
        <v>0.125281</v>
      </c>
      <c r="DH4" s="39">
        <v>0.13430300000000001</v>
      </c>
      <c r="DI4" s="39">
        <v>0.14391200000000001</v>
      </c>
      <c r="DJ4" s="39">
        <v>0.154137</v>
      </c>
      <c r="DK4" s="39">
        <v>0.16500600000000001</v>
      </c>
      <c r="DL4" s="39">
        <v>0.17654700000000001</v>
      </c>
      <c r="DM4" s="39">
        <v>0.18878800000000001</v>
      </c>
      <c r="DN4" s="39">
        <v>0.20175199999999999</v>
      </c>
      <c r="DO4" s="39">
        <v>1</v>
      </c>
      <c r="DP4" s="39" t="s">
        <v>546</v>
      </c>
      <c r="DQ4" s="39" t="s">
        <v>546</v>
      </c>
      <c r="DR4" s="39" t="s">
        <v>546</v>
      </c>
      <c r="DS4" s="39" t="s">
        <v>546</v>
      </c>
      <c r="DT4" s="39" t="s">
        <v>546</v>
      </c>
      <c r="DV4" s="39" t="s">
        <v>523</v>
      </c>
      <c r="DX4" s="39" t="s">
        <v>523</v>
      </c>
    </row>
    <row r="5" spans="1:128">
      <c r="B5" s="39" t="s">
        <v>4947</v>
      </c>
      <c r="C5" s="39" t="s">
        <v>154</v>
      </c>
      <c r="D5" s="39">
        <v>1</v>
      </c>
      <c r="E5" s="39" t="s">
        <v>4919</v>
      </c>
      <c r="F5" s="39">
        <v>1</v>
      </c>
      <c r="G5" s="39">
        <v>20200101</v>
      </c>
      <c r="H5" s="39">
        <v>99991231</v>
      </c>
      <c r="I5" s="1">
        <v>2.3499999999999999E-4</v>
      </c>
      <c r="J5" s="39">
        <v>1.74E-4</v>
      </c>
      <c r="K5" s="39">
        <v>1.25E-4</v>
      </c>
      <c r="L5" s="39">
        <v>1.05E-4</v>
      </c>
      <c r="M5" s="39">
        <v>9.0000000000000006E-5</v>
      </c>
      <c r="N5" s="39">
        <v>7.8999999999999996E-5</v>
      </c>
      <c r="O5" s="39">
        <v>7.2000000000000002E-5</v>
      </c>
      <c r="P5" s="39">
        <v>6.7000000000000002E-5</v>
      </c>
      <c r="Q5" s="39">
        <v>6.2000000000000003E-5</v>
      </c>
      <c r="R5" s="39">
        <v>6.0999999999999999E-5</v>
      </c>
      <c r="S5" s="39">
        <v>6.2000000000000003E-5</v>
      </c>
      <c r="T5" s="39">
        <v>6.7000000000000002E-5</v>
      </c>
      <c r="U5" s="39">
        <v>7.3999999999999996E-5</v>
      </c>
      <c r="V5" s="39">
        <v>8.2000000000000001E-5</v>
      </c>
      <c r="W5" s="39">
        <v>9.1000000000000003E-5</v>
      </c>
      <c r="X5" s="39">
        <v>1.01E-4</v>
      </c>
      <c r="Y5" s="39">
        <v>1.16E-4</v>
      </c>
      <c r="Z5" s="39">
        <v>1.35E-4</v>
      </c>
      <c r="AA5" s="39">
        <v>1.55E-4</v>
      </c>
      <c r="AB5" s="39">
        <v>1.74E-4</v>
      </c>
      <c r="AC5" s="39">
        <v>1.8900000000000001E-4</v>
      </c>
      <c r="AD5" s="39">
        <v>2.0100000000000001E-4</v>
      </c>
      <c r="AE5" s="39">
        <v>2.0900000000000001E-4</v>
      </c>
      <c r="AF5" s="39">
        <v>2.1499999999999999E-4</v>
      </c>
      <c r="AG5" s="39">
        <v>2.1900000000000001E-4</v>
      </c>
      <c r="AH5" s="39">
        <v>2.22E-4</v>
      </c>
      <c r="AI5" s="39">
        <v>2.24E-4</v>
      </c>
      <c r="AJ5" s="39">
        <v>2.2599999999999999E-4</v>
      </c>
      <c r="AK5" s="39">
        <v>2.2800000000000001E-4</v>
      </c>
      <c r="AL5" s="39">
        <v>2.34E-4</v>
      </c>
      <c r="AM5" s="39">
        <v>2.43E-4</v>
      </c>
      <c r="AN5" s="39">
        <v>2.5999999999999998E-4</v>
      </c>
      <c r="AO5" s="39">
        <v>2.81E-4</v>
      </c>
      <c r="AP5" s="39">
        <v>3.0499999999999999E-4</v>
      </c>
      <c r="AQ5" s="39">
        <v>3.28E-4</v>
      </c>
      <c r="AR5" s="39">
        <v>3.5300000000000002E-4</v>
      </c>
      <c r="AS5" s="39">
        <v>3.7800000000000003E-4</v>
      </c>
      <c r="AT5" s="39">
        <v>4.06E-4</v>
      </c>
      <c r="AU5" s="39">
        <v>4.37E-4</v>
      </c>
      <c r="AV5" s="39">
        <v>4.7399999999999997E-4</v>
      </c>
      <c r="AW5" s="39">
        <v>5.1400000000000003E-4</v>
      </c>
      <c r="AX5" s="39">
        <v>5.5699999999999999E-4</v>
      </c>
      <c r="AY5" s="39">
        <v>6.0300000000000002E-4</v>
      </c>
      <c r="AZ5" s="39">
        <v>6.5099999999999999E-4</v>
      </c>
      <c r="BA5" s="39">
        <v>7.0100000000000002E-4</v>
      </c>
      <c r="BB5" s="39">
        <v>7.5500000000000003E-4</v>
      </c>
      <c r="BC5" s="39">
        <v>8.1400000000000005E-4</v>
      </c>
      <c r="BD5" s="39">
        <v>8.8099999999999995E-4</v>
      </c>
      <c r="BE5" s="39">
        <v>9.59E-4</v>
      </c>
      <c r="BF5" s="39">
        <v>1.049E-3</v>
      </c>
      <c r="BG5" s="39">
        <v>1.152E-3</v>
      </c>
      <c r="BH5" s="39">
        <v>1.2689999999999999E-3</v>
      </c>
      <c r="BI5" s="39">
        <v>1.392E-3</v>
      </c>
      <c r="BJ5" s="39">
        <v>1.5200000000000001E-3</v>
      </c>
      <c r="BK5" s="39">
        <v>1.65E-3</v>
      </c>
      <c r="BL5" s="39">
        <v>1.7830000000000001E-3</v>
      </c>
      <c r="BM5" s="39">
        <v>1.928E-3</v>
      </c>
      <c r="BN5" s="39">
        <v>2.091E-3</v>
      </c>
      <c r="BO5" s="39">
        <v>2.2829999999999999E-3</v>
      </c>
      <c r="BP5" s="39">
        <v>2.506E-3</v>
      </c>
      <c r="BQ5" s="39">
        <v>2.758E-3</v>
      </c>
      <c r="BR5" s="39">
        <v>3.039E-3</v>
      </c>
      <c r="BS5" s="39">
        <v>3.3430000000000001E-3</v>
      </c>
      <c r="BT5" s="39">
        <v>3.6719999999999999E-3</v>
      </c>
      <c r="BU5" s="39">
        <v>4.0309999999999999E-3</v>
      </c>
      <c r="BV5" s="39">
        <v>4.424E-3</v>
      </c>
      <c r="BW5" s="39">
        <v>4.8549999999999999E-3</v>
      </c>
      <c r="BX5" s="39">
        <v>5.3189999999999999E-3</v>
      </c>
      <c r="BY5" s="39">
        <v>5.8250000000000003E-3</v>
      </c>
      <c r="BZ5" s="39">
        <v>6.3639999999999999E-3</v>
      </c>
      <c r="CA5" s="39">
        <v>6.9350000000000002E-3</v>
      </c>
      <c r="CB5" s="39">
        <v>7.5490000000000002E-3</v>
      </c>
      <c r="CC5" s="39">
        <v>8.2120000000000005E-3</v>
      </c>
      <c r="CD5" s="39">
        <v>8.933E-3</v>
      </c>
      <c r="CE5" s="39">
        <v>9.7160000000000007E-3</v>
      </c>
      <c r="CF5" s="39">
        <v>1.0574E-2</v>
      </c>
      <c r="CG5" s="39">
        <v>1.1513000000000001E-2</v>
      </c>
      <c r="CH5" s="39">
        <v>1.2534999999999999E-2</v>
      </c>
      <c r="CI5" s="39">
        <v>1.3658999999999999E-2</v>
      </c>
      <c r="CJ5" s="39">
        <v>1.4895E-2</v>
      </c>
      <c r="CK5" s="39">
        <v>1.6264000000000001E-2</v>
      </c>
      <c r="CL5" s="39">
        <v>1.7794000000000001E-2</v>
      </c>
      <c r="CM5" s="39">
        <v>1.9511000000000001E-2</v>
      </c>
      <c r="CN5" s="39">
        <v>2.1453E-2</v>
      </c>
      <c r="CO5" s="39">
        <v>2.3657000000000001E-2</v>
      </c>
      <c r="CP5" s="39">
        <v>2.6173999999999999E-2</v>
      </c>
      <c r="CQ5" s="39">
        <v>2.8649999999999998E-2</v>
      </c>
      <c r="CR5" s="39">
        <v>3.1354E-2</v>
      </c>
      <c r="CS5" s="39">
        <v>3.431E-2</v>
      </c>
      <c r="CT5" s="39">
        <v>3.7538000000000002E-2</v>
      </c>
      <c r="CU5" s="39">
        <v>4.1062000000000001E-2</v>
      </c>
      <c r="CV5" s="39">
        <v>4.4908000000000003E-2</v>
      </c>
      <c r="CW5" s="39">
        <v>4.9104000000000002E-2</v>
      </c>
      <c r="CX5" s="39">
        <v>5.3679999999999999E-2</v>
      </c>
      <c r="CY5" s="39">
        <v>5.8666999999999997E-2</v>
      </c>
      <c r="CZ5" s="39">
        <v>6.4100000000000004E-2</v>
      </c>
      <c r="DA5" s="39">
        <v>7.0014999999999994E-2</v>
      </c>
      <c r="DB5" s="39">
        <v>7.6450000000000004E-2</v>
      </c>
      <c r="DC5" s="39">
        <v>8.3446000000000006E-2</v>
      </c>
      <c r="DD5" s="39">
        <v>9.1047000000000003E-2</v>
      </c>
      <c r="DE5" s="39">
        <v>9.9295999999999995E-2</v>
      </c>
      <c r="DF5" s="39">
        <v>0.108242</v>
      </c>
      <c r="DG5" s="39">
        <v>0.117933</v>
      </c>
      <c r="DH5" s="39">
        <v>0.12841900000000001</v>
      </c>
      <c r="DI5" s="39">
        <v>0.13975199999999999</v>
      </c>
      <c r="DJ5" s="39">
        <v>0.15198200000000001</v>
      </c>
      <c r="DK5" s="39">
        <v>0.165162</v>
      </c>
      <c r="DL5" s="39">
        <v>0.179342</v>
      </c>
      <c r="DM5" s="39">
        <v>0.19457099999999999</v>
      </c>
      <c r="DN5" s="39">
        <v>0.210893</v>
      </c>
      <c r="DO5" s="39">
        <v>1</v>
      </c>
      <c r="DP5" s="39" t="s">
        <v>546</v>
      </c>
      <c r="DQ5" s="39" t="s">
        <v>546</v>
      </c>
      <c r="DR5" s="39" t="s">
        <v>546</v>
      </c>
      <c r="DS5" s="39" t="s">
        <v>546</v>
      </c>
      <c r="DT5" s="39" t="s">
        <v>546</v>
      </c>
      <c r="DV5" s="39" t="s">
        <v>523</v>
      </c>
      <c r="DX5" s="39" t="s">
        <v>523</v>
      </c>
    </row>
    <row r="6" spans="1:128"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</row>
    <row r="7" spans="1:128"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</row>
  </sheetData>
  <phoneticPr fontId="3" type="noConversion"/>
  <hyperlinks>
    <hyperlink ref="A1" location="目錄!A1" display="回到目錄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3"/>
  <sheetViews>
    <sheetView workbookViewId="0"/>
  </sheetViews>
  <sheetFormatPr defaultColWidth="11.1796875" defaultRowHeight="13.8"/>
  <cols>
    <col min="1" max="1" width="7.453125" style="10" bestFit="1" customWidth="1"/>
    <col min="2" max="2" width="4.36328125" style="10" bestFit="1" customWidth="1"/>
    <col min="3" max="3" width="11.1796875" style="10"/>
    <col min="4" max="4" width="11" style="10" bestFit="1" customWidth="1"/>
    <col min="5" max="5" width="7.54296875" style="14" bestFit="1" customWidth="1"/>
    <col min="6" max="6" width="10" style="15" bestFit="1" customWidth="1"/>
    <col min="7" max="7" width="10.6328125" style="10" bestFit="1" customWidth="1"/>
    <col min="8" max="8" width="25.08984375" style="10" bestFit="1" customWidth="1"/>
    <col min="9" max="9" width="14.54296875" style="10" bestFit="1" customWidth="1"/>
    <col min="10" max="10" width="5.90625" style="10" customWidth="1"/>
    <col min="11" max="12" width="3.6328125" style="14" bestFit="1" customWidth="1"/>
    <col min="13" max="13" width="13" style="14" bestFit="1" customWidth="1"/>
    <col min="14" max="15" width="3.6328125" style="14" customWidth="1"/>
    <col min="16" max="21" width="3.6328125" style="14" bestFit="1" customWidth="1"/>
    <col min="22" max="22" width="3.6328125" style="10" bestFit="1" customWidth="1"/>
    <col min="23" max="28" width="5.36328125" style="14" bestFit="1" customWidth="1"/>
    <col min="29" max="34" width="5.36328125" style="10" bestFit="1" customWidth="1"/>
    <col min="35" max="16384" width="11.1796875" style="10"/>
  </cols>
  <sheetData>
    <row r="1" spans="1:34">
      <c r="A1" s="23" t="s">
        <v>36</v>
      </c>
      <c r="B1" s="5" t="s">
        <v>5</v>
      </c>
      <c r="C1" s="6" t="s">
        <v>3</v>
      </c>
      <c r="D1" s="6" t="s">
        <v>4</v>
      </c>
      <c r="E1" s="7" t="s">
        <v>6</v>
      </c>
      <c r="F1" s="9" t="s">
        <v>13</v>
      </c>
      <c r="G1" s="9" t="s">
        <v>7</v>
      </c>
      <c r="H1" s="9" t="s">
        <v>8</v>
      </c>
      <c r="I1" s="9" t="s">
        <v>139</v>
      </c>
      <c r="L1" s="72" t="s">
        <v>240</v>
      </c>
      <c r="M1" s="72" t="s">
        <v>4785</v>
      </c>
      <c r="N1" s="72" t="s">
        <v>470</v>
      </c>
      <c r="O1" s="72" t="s">
        <v>471</v>
      </c>
      <c r="P1" s="72" t="s">
        <v>472</v>
      </c>
      <c r="Q1" s="72" t="s">
        <v>473</v>
      </c>
      <c r="R1" s="72" t="s">
        <v>474</v>
      </c>
      <c r="S1" s="73" t="s">
        <v>475</v>
      </c>
    </row>
    <row r="2" spans="1:34">
      <c r="B2" s="11" t="s">
        <v>14</v>
      </c>
      <c r="C2" s="13" t="s">
        <v>171</v>
      </c>
      <c r="D2" s="18" t="s">
        <v>24</v>
      </c>
      <c r="E2" s="11"/>
      <c r="F2" s="12"/>
      <c r="G2" s="12" t="s">
        <v>81</v>
      </c>
      <c r="L2" s="36"/>
      <c r="M2" s="34"/>
      <c r="N2" s="36" t="str">
        <f>"EXEC sp_dropextendedproperty @name = N'MS_Description', @level0type=N'SCHEMA',@level0name=N'"&amp;$L$1&amp;"', @level1type=N'TABLE',@level1name=N'"&amp;$M$1&amp;"', @level2type=N'COLUMN',@level2name=N'"&amp;$C2&amp;"'"</f>
        <v>EXEC sp_dropextendedproperty @name = N'MS_Description', @level0type=N'SCHEMA',@level0name=N'dbo', @level1type=N'TABLE',@level1name=N'LifeInsPolicyFeeRate', @level2type=N'COLUMN',@level2name=N'PlanCode'</v>
      </c>
      <c r="O2" s="36" t="str">
        <f>"EXEC sp_dropextendedproperty @name = N'Rule', @level0type=N'SCHEMA',@level0name=N'"&amp;$L$1&amp;"', @level1type=N'TABLE',@level1name=N'"&amp;$M$1&amp;"', @level2type=N'COLUMN',@level2name=N'"&amp;$C2&amp;"'"</f>
        <v>EXEC sp_dropextendedproperty @name = N'Rule', @level0type=N'SCHEMA',@level0name=N'dbo', @level1type=N'TABLE',@level1name=N'LifeInsPolicyFeeRate', @level2type=N'COLUMN',@level2name=N'PlanCode'</v>
      </c>
      <c r="P2" s="36" t="str">
        <f>"EXEC sp_dropextendedproperty @name = N'Memo', @level0type=N'SCHEMA',@level0name=N'"&amp;$L$1&amp;"', @level1type=N'TABLE',@level1name=N'"&amp;$M$1&amp;"', @level2type=N'COLUMN',@level2name=N'"&amp;$C2&amp;"'"</f>
        <v>EXEC sp_dropextendedproperty @name = N'Memo', @level0type=N'SCHEMA',@level0name=N'dbo', @level1type=N'TABLE',@level1name=N'LifeInsPolicyFeeRate', @level2type=N'COLUMN',@level2name=N'PlanCode'</v>
      </c>
      <c r="Q2" s="36" t="str">
        <f>"set @OldWording = N'"&amp;SUBSTITUTE($G2,CHAR(10),"")&amp;"'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@level2type=N'COLUMN',@level2name=N'"&amp;$C2&amp;"'"</f>
        <v>set @OldWording = N'險種代碼' set @NewWording = REPLACE(@OldWording,'***',char(13)+char(10)) EXEC sys.sp_addextendedproperty @name=N'MS_Description', @value=@NewWording , @level0type=N'SCHEMA',@level0name=N'dbo', @level1type=N'TABLE',@level1name=N'LifeInsPolicyFeeRate', @level2type=N'COLUMN',@level2name=N'PlanCode'</v>
      </c>
      <c r="R2" s="32" t="str">
        <f>"set @OldWording = N'"&amp;SUBSTITUTE($H2,CHAR(10),"")&amp;"'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@name=N'Rule', @value=@NewWording , @level0type=N'SCHEMA',@level0name=N'dbo', @level1type=N'TABLE',@level1name=N'LifeInsPolicyFeeRate', @level2type=N'COLUMN',@level2name=N'PlanCode'</v>
      </c>
      <c r="S2" s="36" t="str">
        <f>"set @OldWording = N'"&amp;SUBSTITUTE($I2,CHAR(10),"")&amp;"' set @NewWording = REPLACE(@OldWording,'***',char(13)+char(10)) "&amp;"EXEC sys.sp_addextendedproperty @name=N'Memo',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@name=N'Memo', @value=@NewWording , @level0type=N'SCHEMA',@level0name=N'dbo', @level1type=N'TABLE',@level1name=N'LifeInsPolicyFeeRate', @level2type=N'COLUMN',@level2name=N'PlanCode'</v>
      </c>
      <c r="V2" s="14"/>
      <c r="AC2" s="14"/>
      <c r="AD2" s="14"/>
      <c r="AE2" s="14"/>
      <c r="AF2" s="14"/>
      <c r="AG2" s="14"/>
      <c r="AH2" s="14"/>
    </row>
    <row r="3" spans="1:34" ht="27.6">
      <c r="B3" s="11" t="s">
        <v>14</v>
      </c>
      <c r="C3" s="15" t="s">
        <v>3728</v>
      </c>
      <c r="D3" s="15" t="s">
        <v>21</v>
      </c>
      <c r="F3" s="10"/>
      <c r="G3" s="10" t="s">
        <v>78</v>
      </c>
      <c r="H3" s="16" t="s">
        <v>3652</v>
      </c>
      <c r="V3" s="14"/>
      <c r="AC3" s="14"/>
      <c r="AD3" s="14"/>
      <c r="AE3" s="14"/>
      <c r="AF3" s="14"/>
      <c r="AG3" s="14"/>
      <c r="AH3" s="14"/>
    </row>
    <row r="4" spans="1:34">
      <c r="B4" s="11" t="s">
        <v>14</v>
      </c>
      <c r="C4" s="12" t="s">
        <v>4786</v>
      </c>
      <c r="D4" s="12" t="s">
        <v>23</v>
      </c>
      <c r="F4" s="13"/>
      <c r="G4" s="12" t="s">
        <v>4800</v>
      </c>
      <c r="I4" s="27" t="s">
        <v>4803</v>
      </c>
      <c r="V4" s="14"/>
      <c r="AC4" s="14"/>
      <c r="AD4" s="14"/>
      <c r="AE4" s="14"/>
      <c r="AF4" s="14"/>
      <c r="AG4" s="14"/>
      <c r="AH4" s="14"/>
    </row>
    <row r="5" spans="1:34">
      <c r="B5" s="11"/>
      <c r="C5" s="12" t="s">
        <v>4912</v>
      </c>
      <c r="D5" s="32" t="s">
        <v>375</v>
      </c>
      <c r="E5" s="14" t="s">
        <v>16</v>
      </c>
      <c r="F5" s="13"/>
      <c r="G5" s="12" t="s">
        <v>4795</v>
      </c>
      <c r="H5" s="16"/>
      <c r="V5" s="14"/>
      <c r="AC5" s="14"/>
      <c r="AD5" s="14"/>
      <c r="AE5" s="14"/>
      <c r="AF5" s="14"/>
      <c r="AG5" s="14"/>
      <c r="AH5" s="14"/>
    </row>
    <row r="6" spans="1:34">
      <c r="B6" s="11"/>
      <c r="C6" s="10" t="s">
        <v>605</v>
      </c>
      <c r="D6" s="32" t="s">
        <v>375</v>
      </c>
      <c r="E6" s="14" t="s">
        <v>16</v>
      </c>
      <c r="F6" s="13"/>
      <c r="G6" s="12" t="s">
        <v>4796</v>
      </c>
      <c r="I6" s="27"/>
      <c r="J6" s="29"/>
      <c r="K6" s="29"/>
      <c r="L6" s="36"/>
      <c r="M6" s="36"/>
      <c r="N6" s="36"/>
      <c r="O6" s="36"/>
      <c r="P6" s="36"/>
      <c r="Q6" s="36"/>
      <c r="R6" s="32"/>
      <c r="S6" s="36"/>
      <c r="T6" s="32"/>
      <c r="U6" s="32"/>
      <c r="W6" s="10"/>
      <c r="X6" s="10"/>
      <c r="Y6" s="10"/>
      <c r="Z6" s="10"/>
      <c r="AA6" s="10"/>
      <c r="AB6" s="10"/>
    </row>
    <row r="7" spans="1:34">
      <c r="B7" s="11"/>
      <c r="C7" s="29" t="s">
        <v>606</v>
      </c>
      <c r="D7" s="32" t="s">
        <v>375</v>
      </c>
      <c r="E7" s="14" t="s">
        <v>16</v>
      </c>
      <c r="F7" s="22"/>
      <c r="G7" s="12" t="s">
        <v>4797</v>
      </c>
      <c r="H7" s="27"/>
      <c r="V7" s="14"/>
      <c r="AC7" s="14"/>
      <c r="AD7" s="14"/>
      <c r="AE7" s="14"/>
      <c r="AF7" s="14"/>
      <c r="AG7" s="14"/>
      <c r="AH7" s="14"/>
    </row>
    <row r="8" spans="1:34">
      <c r="B8" s="11"/>
      <c r="C8" s="29" t="s">
        <v>607</v>
      </c>
      <c r="D8" s="32" t="s">
        <v>375</v>
      </c>
      <c r="E8" s="14" t="s">
        <v>16</v>
      </c>
      <c r="F8" s="22"/>
      <c r="G8" s="12" t="s">
        <v>4798</v>
      </c>
      <c r="H8" s="27"/>
      <c r="V8" s="14"/>
      <c r="AC8" s="14"/>
      <c r="AD8" s="14"/>
      <c r="AE8" s="14"/>
      <c r="AF8" s="14"/>
      <c r="AG8" s="14"/>
      <c r="AH8" s="14"/>
    </row>
    <row r="9" spans="1:34">
      <c r="C9" s="10" t="s">
        <v>608</v>
      </c>
      <c r="D9" s="32" t="s">
        <v>375</v>
      </c>
      <c r="E9" s="14" t="s">
        <v>16</v>
      </c>
      <c r="F9" s="13"/>
      <c r="G9" s="12" t="s">
        <v>4799</v>
      </c>
      <c r="H9" s="16"/>
    </row>
    <row r="10" spans="1:34">
      <c r="C10" s="12" t="s">
        <v>0</v>
      </c>
      <c r="D10" s="12" t="s">
        <v>11</v>
      </c>
      <c r="E10" s="11" t="s">
        <v>16</v>
      </c>
      <c r="F10" s="13" t="s">
        <v>20</v>
      </c>
      <c r="G10" s="12" t="s">
        <v>30</v>
      </c>
    </row>
    <row r="11" spans="1:34">
      <c r="C11" s="12" t="s">
        <v>1</v>
      </c>
      <c r="D11" s="12" t="s">
        <v>37</v>
      </c>
      <c r="E11" s="11"/>
      <c r="F11" s="13"/>
      <c r="G11" s="12" t="s">
        <v>31</v>
      </c>
    </row>
    <row r="12" spans="1:34">
      <c r="C12" s="12" t="s">
        <v>19</v>
      </c>
      <c r="D12" s="12" t="s">
        <v>11</v>
      </c>
      <c r="E12" s="11" t="s">
        <v>16</v>
      </c>
      <c r="F12" s="13" t="s">
        <v>20</v>
      </c>
      <c r="G12" s="12" t="s">
        <v>32</v>
      </c>
    </row>
    <row r="13" spans="1:34">
      <c r="C13" s="12" t="s">
        <v>2</v>
      </c>
      <c r="D13" s="12" t="s">
        <v>37</v>
      </c>
      <c r="E13" s="11"/>
      <c r="F13" s="13"/>
      <c r="G13" s="12" t="s">
        <v>33</v>
      </c>
    </row>
  </sheetData>
  <phoneticPr fontId="3" type="noConversion"/>
  <hyperlinks>
    <hyperlink ref="A1" location="目錄!A1" display="回到目錄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workbookViewId="0"/>
  </sheetViews>
  <sheetFormatPr defaultRowHeight="15"/>
  <cols>
    <col min="1" max="1" width="7.453125" style="39" bestFit="1" customWidth="1"/>
    <col min="2" max="2" width="8.54296875" style="39" bestFit="1" customWidth="1"/>
    <col min="3" max="3" width="8.81640625" style="39" bestFit="1" customWidth="1"/>
    <col min="4" max="4" width="12.26953125" style="39" bestFit="1" customWidth="1"/>
    <col min="5" max="7" width="8.81640625" style="39" customWidth="1"/>
    <col min="8" max="8" width="6.7265625" style="39" bestFit="1" customWidth="1"/>
    <col min="9" max="9" width="17.54296875" style="39" customWidth="1"/>
    <col min="10" max="10" width="10" style="39" bestFit="1" customWidth="1"/>
    <col min="11" max="11" width="7" style="39" customWidth="1"/>
    <col min="12" max="12" width="10.36328125" style="39" bestFit="1" customWidth="1"/>
    <col min="13" max="13" width="7.7265625" style="130" bestFit="1" customWidth="1"/>
    <col min="14" max="15" width="3.08984375" style="39" bestFit="1" customWidth="1"/>
    <col min="16" max="16384" width="8.7265625" style="39"/>
  </cols>
  <sheetData>
    <row r="1" spans="1:13">
      <c r="A1" s="69" t="s">
        <v>36</v>
      </c>
      <c r="B1" s="92" t="s">
        <v>171</v>
      </c>
      <c r="C1" s="92" t="s">
        <v>3728</v>
      </c>
      <c r="D1" s="92" t="s">
        <v>4787</v>
      </c>
      <c r="E1" s="92" t="s">
        <v>604</v>
      </c>
      <c r="F1" s="92" t="s">
        <v>4788</v>
      </c>
      <c r="G1" s="92" t="s">
        <v>4789</v>
      </c>
      <c r="H1" s="92" t="s">
        <v>4790</v>
      </c>
      <c r="I1" s="92" t="s">
        <v>4791</v>
      </c>
      <c r="J1" s="92" t="s">
        <v>0</v>
      </c>
      <c r="K1" s="92" t="s">
        <v>1</v>
      </c>
      <c r="L1" s="92" t="s">
        <v>19</v>
      </c>
      <c r="M1" s="128" t="s">
        <v>2</v>
      </c>
    </row>
    <row r="2" spans="1:13" ht="13.8">
      <c r="B2" s="39" t="s">
        <v>4704</v>
      </c>
      <c r="C2" s="39" t="s">
        <v>4705</v>
      </c>
      <c r="D2" s="39">
        <v>1</v>
      </c>
      <c r="E2" s="39">
        <v>0</v>
      </c>
      <c r="F2" s="39">
        <v>0</v>
      </c>
      <c r="G2" s="39">
        <v>0</v>
      </c>
      <c r="H2" s="39">
        <v>0</v>
      </c>
      <c r="I2" s="1" t="s">
        <v>3027</v>
      </c>
      <c r="K2" s="39" t="s">
        <v>523</v>
      </c>
      <c r="M2" s="39" t="s">
        <v>523</v>
      </c>
    </row>
    <row r="3" spans="1:13" ht="13.8">
      <c r="B3" s="39" t="s">
        <v>4704</v>
      </c>
      <c r="C3" s="39" t="s">
        <v>4705</v>
      </c>
      <c r="D3" s="39">
        <v>2</v>
      </c>
      <c r="E3" s="39">
        <v>0</v>
      </c>
      <c r="F3" s="39">
        <v>0</v>
      </c>
      <c r="G3" s="39">
        <v>0</v>
      </c>
      <c r="H3" s="39">
        <v>0</v>
      </c>
      <c r="I3" s="39">
        <v>0</v>
      </c>
      <c r="K3" s="39" t="s">
        <v>523</v>
      </c>
      <c r="M3" s="39" t="s">
        <v>523</v>
      </c>
    </row>
    <row r="4" spans="1:13" ht="13.8">
      <c r="B4" s="39" t="s">
        <v>4704</v>
      </c>
      <c r="C4" s="39" t="s">
        <v>3154</v>
      </c>
      <c r="D4" s="39">
        <v>1</v>
      </c>
      <c r="E4" s="39">
        <v>0</v>
      </c>
      <c r="F4" s="39">
        <v>0</v>
      </c>
      <c r="G4" s="39">
        <v>0</v>
      </c>
      <c r="H4" s="39">
        <v>0</v>
      </c>
      <c r="I4" s="1" t="s">
        <v>3027</v>
      </c>
      <c r="K4" s="39" t="s">
        <v>523</v>
      </c>
      <c r="M4" s="39" t="s">
        <v>523</v>
      </c>
    </row>
    <row r="5" spans="1:13" ht="13.8">
      <c r="B5" s="39" t="s">
        <v>4704</v>
      </c>
      <c r="C5" s="39" t="s">
        <v>4792</v>
      </c>
      <c r="D5" s="39">
        <v>2</v>
      </c>
      <c r="E5" s="39">
        <v>0</v>
      </c>
      <c r="F5" s="39">
        <v>0</v>
      </c>
      <c r="G5" s="39">
        <v>0</v>
      </c>
      <c r="H5" s="39">
        <v>0</v>
      </c>
      <c r="I5" s="39">
        <v>0</v>
      </c>
      <c r="K5" s="39" t="s">
        <v>523</v>
      </c>
      <c r="M5" s="39" t="s">
        <v>523</v>
      </c>
    </row>
    <row r="6" spans="1:13" ht="13.8">
      <c r="B6" s="39" t="s">
        <v>4793</v>
      </c>
      <c r="C6" s="39" t="s">
        <v>154</v>
      </c>
      <c r="D6" s="39">
        <v>1</v>
      </c>
      <c r="E6" s="39">
        <v>0</v>
      </c>
      <c r="F6" s="39">
        <v>0</v>
      </c>
      <c r="G6" s="39">
        <v>0</v>
      </c>
      <c r="H6" s="39">
        <v>0</v>
      </c>
      <c r="I6" s="1" t="s">
        <v>3027</v>
      </c>
      <c r="K6" s="39" t="s">
        <v>523</v>
      </c>
      <c r="M6" s="39" t="s">
        <v>523</v>
      </c>
    </row>
    <row r="7" spans="1:13" ht="13.8">
      <c r="B7" s="39" t="s">
        <v>4793</v>
      </c>
      <c r="C7" s="39" t="s">
        <v>154</v>
      </c>
      <c r="D7" s="39">
        <v>2</v>
      </c>
      <c r="E7" s="39">
        <v>0</v>
      </c>
      <c r="F7" s="39">
        <v>0</v>
      </c>
      <c r="G7" s="39">
        <v>0</v>
      </c>
      <c r="H7" s="39">
        <v>0</v>
      </c>
      <c r="I7" s="39">
        <v>0</v>
      </c>
      <c r="K7" s="39" t="s">
        <v>523</v>
      </c>
      <c r="M7" s="39" t="s">
        <v>523</v>
      </c>
    </row>
    <row r="8" spans="1:13" ht="13.8">
      <c r="B8" s="39" t="s">
        <v>4794</v>
      </c>
      <c r="C8" s="39" t="s">
        <v>4705</v>
      </c>
      <c r="D8" s="39">
        <v>1</v>
      </c>
      <c r="E8" s="39">
        <v>0</v>
      </c>
      <c r="F8" s="39">
        <v>0</v>
      </c>
      <c r="G8" s="39">
        <v>0</v>
      </c>
      <c r="H8" s="39">
        <v>0</v>
      </c>
      <c r="I8" s="1" t="s">
        <v>3027</v>
      </c>
      <c r="K8" s="39" t="s">
        <v>523</v>
      </c>
      <c r="M8" s="39" t="s">
        <v>523</v>
      </c>
    </row>
    <row r="9" spans="1:13" ht="13.8">
      <c r="B9" s="39" t="s">
        <v>4794</v>
      </c>
      <c r="C9" s="39" t="s">
        <v>4705</v>
      </c>
      <c r="D9" s="39">
        <v>2</v>
      </c>
      <c r="E9" s="39">
        <v>7.0000000000000007E-2</v>
      </c>
      <c r="F9" s="39">
        <v>0.06</v>
      </c>
      <c r="G9" s="39">
        <v>0.04</v>
      </c>
      <c r="H9" s="60">
        <v>0.03</v>
      </c>
      <c r="I9" s="60">
        <v>0</v>
      </c>
      <c r="K9" s="39" t="s">
        <v>523</v>
      </c>
      <c r="M9" s="39" t="s">
        <v>523</v>
      </c>
    </row>
    <row r="10" spans="1:13" ht="13.8">
      <c r="B10" s="39" t="s">
        <v>4794</v>
      </c>
      <c r="C10" s="39" t="s">
        <v>3154</v>
      </c>
      <c r="D10" s="39">
        <v>1</v>
      </c>
      <c r="E10" s="39">
        <v>0</v>
      </c>
      <c r="F10" s="39">
        <v>0</v>
      </c>
      <c r="G10" s="39">
        <v>0</v>
      </c>
      <c r="H10" s="39">
        <v>0</v>
      </c>
      <c r="I10" s="1" t="s">
        <v>3027</v>
      </c>
      <c r="K10" s="39" t="s">
        <v>523</v>
      </c>
      <c r="M10" s="39" t="s">
        <v>523</v>
      </c>
    </row>
    <row r="11" spans="1:13" ht="13.8">
      <c r="B11" s="39" t="s">
        <v>4794</v>
      </c>
      <c r="C11" s="39" t="s">
        <v>3154</v>
      </c>
      <c r="D11" s="39">
        <v>2</v>
      </c>
      <c r="E11" s="39">
        <v>7.0000000000000007E-2</v>
      </c>
      <c r="F11" s="39">
        <v>0.06</v>
      </c>
      <c r="G11" s="39">
        <v>0.04</v>
      </c>
      <c r="H11" s="60">
        <v>0.03</v>
      </c>
      <c r="I11" s="60">
        <v>0</v>
      </c>
      <c r="K11" s="39" t="s">
        <v>523</v>
      </c>
      <c r="M11" s="39" t="s">
        <v>523</v>
      </c>
    </row>
    <row r="12" spans="1:13" ht="13.8">
      <c r="M12" s="39"/>
    </row>
    <row r="13" spans="1:13" ht="13.8">
      <c r="M13" s="39"/>
    </row>
    <row r="14" spans="1:13" ht="13.8">
      <c r="M14" s="39"/>
    </row>
    <row r="15" spans="1:13" ht="13.8">
      <c r="M15" s="39"/>
    </row>
    <row r="16" spans="1:13" ht="13.8">
      <c r="M16" s="39"/>
    </row>
    <row r="17" spans="3:13" ht="13.8">
      <c r="M17" s="39"/>
    </row>
    <row r="18" spans="3:13" ht="13.8">
      <c r="M18" s="39"/>
    </row>
    <row r="19" spans="3:13" ht="13.8">
      <c r="M19" s="39"/>
    </row>
    <row r="20" spans="3:13" ht="13.8">
      <c r="M20" s="39"/>
    </row>
    <row r="21" spans="3:13" ht="13.8">
      <c r="I21" s="15"/>
      <c r="M21" s="39"/>
    </row>
    <row r="22" spans="3:13" ht="13.8">
      <c r="I22" s="15"/>
      <c r="M22" s="39"/>
    </row>
    <row r="23" spans="3:13" ht="13.8">
      <c r="I23" s="15"/>
      <c r="M23" s="39"/>
    </row>
    <row r="24" spans="3:13" ht="13.8">
      <c r="M24" s="39"/>
    </row>
    <row r="25" spans="3:13" ht="13.8">
      <c r="M25" s="39"/>
    </row>
    <row r="26" spans="3:13" ht="13.8">
      <c r="M26" s="39"/>
    </row>
    <row r="27" spans="3:13" ht="13.8">
      <c r="M27" s="39"/>
    </row>
    <row r="28" spans="3:13" ht="13.8">
      <c r="M28" s="39"/>
    </row>
    <row r="29" spans="3:13" ht="13.8">
      <c r="M29" s="39"/>
    </row>
    <row r="30" spans="3:13" ht="13.8">
      <c r="C30" s="129"/>
      <c r="D30" s="129"/>
      <c r="E30" s="129"/>
      <c r="F30" s="129"/>
      <c r="G30" s="129"/>
      <c r="H30" s="129"/>
      <c r="I30" s="129"/>
      <c r="M30" s="39"/>
    </row>
    <row r="31" spans="3:13" ht="13.8">
      <c r="C31" s="129"/>
      <c r="D31" s="129"/>
      <c r="E31" s="129"/>
      <c r="F31" s="129"/>
      <c r="G31" s="129"/>
      <c r="H31" s="129"/>
      <c r="I31" s="129"/>
      <c r="M31" s="39"/>
    </row>
    <row r="32" spans="3:13" ht="13.8">
      <c r="C32" s="129"/>
      <c r="D32" s="129"/>
      <c r="E32" s="129"/>
      <c r="F32" s="129"/>
      <c r="G32" s="129"/>
      <c r="H32" s="129"/>
      <c r="I32" s="129"/>
      <c r="M32" s="39"/>
    </row>
    <row r="33" spans="3:13" ht="13.8">
      <c r="C33" s="129"/>
      <c r="D33" s="129"/>
      <c r="E33" s="129"/>
      <c r="F33" s="129"/>
      <c r="G33" s="129"/>
      <c r="H33" s="129"/>
      <c r="I33" s="129"/>
      <c r="M33" s="39"/>
    </row>
    <row r="34" spans="3:13" ht="13.8">
      <c r="C34" s="129"/>
      <c r="D34" s="129"/>
      <c r="E34" s="129"/>
      <c r="F34" s="129"/>
      <c r="G34" s="129"/>
      <c r="H34" s="129"/>
      <c r="I34" s="129"/>
      <c r="M34" s="39"/>
    </row>
    <row r="35" spans="3:13" ht="13.8">
      <c r="C35" s="129"/>
      <c r="D35" s="129"/>
      <c r="E35" s="129"/>
      <c r="F35" s="129"/>
      <c r="G35" s="129"/>
      <c r="H35" s="129"/>
      <c r="I35" s="129"/>
      <c r="M35" s="39"/>
    </row>
    <row r="36" spans="3:13" ht="13.8">
      <c r="C36" s="129"/>
      <c r="D36" s="129"/>
      <c r="E36" s="129"/>
      <c r="F36" s="129"/>
      <c r="G36" s="129"/>
      <c r="H36" s="129"/>
      <c r="I36" s="129"/>
      <c r="M36" s="39"/>
    </row>
    <row r="37" spans="3:13" ht="13.8">
      <c r="C37" s="129"/>
      <c r="D37" s="129"/>
      <c r="E37" s="129"/>
      <c r="F37" s="129"/>
      <c r="G37" s="129"/>
      <c r="H37" s="129"/>
      <c r="I37" s="129"/>
      <c r="M37" s="39"/>
    </row>
    <row r="38" spans="3:13" ht="13.8">
      <c r="C38" s="129"/>
      <c r="D38" s="129"/>
      <c r="E38" s="129"/>
      <c r="F38" s="129"/>
      <c r="G38" s="129"/>
      <c r="H38" s="129"/>
      <c r="I38" s="129"/>
      <c r="M38" s="39"/>
    </row>
    <row r="39" spans="3:13" ht="13.8">
      <c r="C39" s="129"/>
      <c r="D39" s="129"/>
      <c r="E39" s="129"/>
      <c r="F39" s="129"/>
      <c r="G39" s="129"/>
      <c r="H39" s="129"/>
      <c r="I39" s="129"/>
      <c r="M39" s="39"/>
    </row>
    <row r="40" spans="3:13" ht="13.8">
      <c r="C40" s="129"/>
      <c r="D40" s="129"/>
      <c r="E40" s="129"/>
      <c r="F40" s="129"/>
      <c r="G40" s="129"/>
      <c r="H40" s="129"/>
      <c r="I40" s="129"/>
      <c r="M40" s="39"/>
    </row>
    <row r="41" spans="3:13" ht="13.8">
      <c r="C41" s="129"/>
      <c r="D41" s="129"/>
      <c r="E41" s="129"/>
      <c r="F41" s="129"/>
      <c r="G41" s="129"/>
      <c r="H41" s="129"/>
      <c r="I41" s="129"/>
      <c r="M41" s="39"/>
    </row>
    <row r="42" spans="3:13" ht="13.8">
      <c r="C42" s="129"/>
      <c r="D42" s="129"/>
      <c r="E42" s="129"/>
      <c r="F42" s="129"/>
      <c r="G42" s="129"/>
      <c r="H42" s="129"/>
      <c r="I42" s="129"/>
      <c r="M42" s="39"/>
    </row>
  </sheetData>
  <phoneticPr fontId="3" type="noConversion"/>
  <hyperlinks>
    <hyperlink ref="A1" location="目錄!A1" display="回到目錄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9"/>
  <sheetViews>
    <sheetView workbookViewId="0"/>
  </sheetViews>
  <sheetFormatPr defaultColWidth="11.1796875" defaultRowHeight="13.8"/>
  <cols>
    <col min="1" max="1" width="7.453125" style="10" bestFit="1" customWidth="1"/>
    <col min="2" max="2" width="4.36328125" style="10" bestFit="1" customWidth="1"/>
    <col min="3" max="3" width="15.81640625" style="10" bestFit="1" customWidth="1"/>
    <col min="4" max="4" width="11" style="10" bestFit="1" customWidth="1"/>
    <col min="5" max="5" width="7.54296875" style="14" bestFit="1" customWidth="1"/>
    <col min="6" max="6" width="10" style="15" bestFit="1" customWidth="1"/>
    <col min="7" max="7" width="10.6328125" style="10" bestFit="1" customWidth="1"/>
    <col min="8" max="8" width="25.08984375" style="10" bestFit="1" customWidth="1"/>
    <col min="9" max="9" width="14.54296875" style="10" bestFit="1" customWidth="1"/>
    <col min="10" max="10" width="5.90625" style="10" customWidth="1"/>
    <col min="11" max="12" width="3.6328125" style="14" bestFit="1" customWidth="1"/>
    <col min="13" max="13" width="13" style="14" bestFit="1" customWidth="1"/>
    <col min="14" max="15" width="3.6328125" style="14" customWidth="1"/>
    <col min="16" max="21" width="3.6328125" style="14" bestFit="1" customWidth="1"/>
    <col min="22" max="22" width="3.6328125" style="10" bestFit="1" customWidth="1"/>
    <col min="23" max="28" width="5.36328125" style="14" bestFit="1" customWidth="1"/>
    <col min="29" max="34" width="5.36328125" style="10" bestFit="1" customWidth="1"/>
    <col min="35" max="16384" width="11.1796875" style="10"/>
  </cols>
  <sheetData>
    <row r="1" spans="1:34">
      <c r="A1" s="23" t="s">
        <v>36</v>
      </c>
      <c r="B1" s="5" t="s">
        <v>5</v>
      </c>
      <c r="C1" s="6" t="s">
        <v>3</v>
      </c>
      <c r="D1" s="6" t="s">
        <v>4</v>
      </c>
      <c r="E1" s="7" t="s">
        <v>6</v>
      </c>
      <c r="F1" s="9" t="s">
        <v>13</v>
      </c>
      <c r="G1" s="9" t="s">
        <v>7</v>
      </c>
      <c r="H1" s="9" t="s">
        <v>8</v>
      </c>
      <c r="I1" s="9" t="s">
        <v>139</v>
      </c>
      <c r="L1" s="72" t="s">
        <v>240</v>
      </c>
      <c r="M1" s="72" t="s">
        <v>4873</v>
      </c>
      <c r="N1" s="72" t="s">
        <v>470</v>
      </c>
      <c r="O1" s="72" t="s">
        <v>471</v>
      </c>
      <c r="P1" s="72" t="s">
        <v>472</v>
      </c>
      <c r="Q1" s="72" t="s">
        <v>473</v>
      </c>
      <c r="R1" s="72" t="s">
        <v>474</v>
      </c>
      <c r="S1" s="73" t="s">
        <v>475</v>
      </c>
    </row>
    <row r="2" spans="1:34">
      <c r="B2" s="11" t="s">
        <v>14</v>
      </c>
      <c r="C2" s="13" t="s">
        <v>171</v>
      </c>
      <c r="D2" s="18" t="s">
        <v>24</v>
      </c>
      <c r="E2" s="11"/>
      <c r="F2" s="12"/>
      <c r="G2" s="12" t="s">
        <v>81</v>
      </c>
      <c r="L2" s="36"/>
      <c r="M2" s="34"/>
      <c r="N2" s="36" t="str">
        <f>"EXEC sp_dropextendedproperty @name = N'MS_Description', @level0type=N'SCHEMA',@level0name=N'"&amp;$L$1&amp;"', @level1type=N'TABLE',@level1name=N'"&amp;$M$1&amp;"', @level2type=N'COLUMN',@level2name=N'"&amp;$C2&amp;"'"</f>
        <v>EXEC sp_dropextendedproperty @name = N'MS_Description', @level0type=N'SCHEMA',@level0name=N'dbo', @level1type=N'TABLE',@level1name=N'LifeInsEndorsementAmtAdj', @level2type=N'COLUMN',@level2name=N'PlanCode'</v>
      </c>
      <c r="O2" s="36" t="str">
        <f>"EXEC sp_dropextendedproperty @name = N'Rule', @level0type=N'SCHEMA',@level0name=N'"&amp;$L$1&amp;"', @level1type=N'TABLE',@level1name=N'"&amp;$M$1&amp;"', @level2type=N'COLUMN',@level2name=N'"&amp;$C2&amp;"'"</f>
        <v>EXEC sp_dropextendedproperty @name = N'Rule', @level0type=N'SCHEMA',@level0name=N'dbo', @level1type=N'TABLE',@level1name=N'LifeInsEndorsementAmtAdj', @level2type=N'COLUMN',@level2name=N'PlanCode'</v>
      </c>
      <c r="P2" s="36" t="str">
        <f>"EXEC sp_dropextendedproperty @name = N'Memo', @level0type=N'SCHEMA',@level0name=N'"&amp;$L$1&amp;"', @level1type=N'TABLE',@level1name=N'"&amp;$M$1&amp;"', @level2type=N'COLUMN',@level2name=N'"&amp;$C2&amp;"'"</f>
        <v>EXEC sp_dropextendedproperty @name = N'Memo', @level0type=N'SCHEMA',@level0name=N'dbo', @level1type=N'TABLE',@level1name=N'LifeInsEndorsementAmtAdj', @level2type=N'COLUMN',@level2name=N'PlanCode'</v>
      </c>
      <c r="Q2" s="36" t="str">
        <f>"set @OldWording = N'"&amp;SUBSTITUTE($G2,CHAR(10),"")&amp;"'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@level2type=N'COLUMN',@level2name=N'"&amp;$C2&amp;"'"</f>
        <v>set @OldWording = N'險種代碼' set @NewWording = REPLACE(@OldWording,'***',char(13)+char(10)) EXEC sys.sp_addextendedproperty @name=N'MS_Description', @value=@NewWording , @level0type=N'SCHEMA',@level0name=N'dbo', @level1type=N'TABLE',@level1name=N'LifeInsEndorsementAmtAdj', @level2type=N'COLUMN',@level2name=N'PlanCode'</v>
      </c>
      <c r="R2" s="32" t="str">
        <f>"set @OldWording = N'"&amp;SUBSTITUTE($H2,CHAR(10),"")&amp;"'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@name=N'Rule', @value=@NewWording , @level0type=N'SCHEMA',@level0name=N'dbo', @level1type=N'TABLE',@level1name=N'LifeInsEndorsementAmtAdj', @level2type=N'COLUMN',@level2name=N'PlanCode'</v>
      </c>
      <c r="S2" s="36" t="str">
        <f>"set @OldWording = N'"&amp;SUBSTITUTE($I2,CHAR(10),"")&amp;"' set @NewWording = REPLACE(@OldWording,'***',char(13)+char(10)) "&amp;"EXEC sys.sp_addextendedproperty @name=N'Memo',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@name=N'Memo', @value=@NewWording , @level0type=N'SCHEMA',@level0name=N'dbo', @level1type=N'TABLE',@level1name=N'LifeInsEndorsementAmtAdj', @level2type=N'COLUMN',@level2name=N'PlanCode'</v>
      </c>
      <c r="V2" s="14"/>
      <c r="AC2" s="14"/>
      <c r="AD2" s="14"/>
      <c r="AE2" s="14"/>
      <c r="AF2" s="14"/>
      <c r="AG2" s="14"/>
      <c r="AH2" s="14"/>
    </row>
    <row r="3" spans="1:34" ht="27.6">
      <c r="B3" s="11" t="s">
        <v>14</v>
      </c>
      <c r="C3" s="15" t="s">
        <v>3728</v>
      </c>
      <c r="D3" s="15" t="s">
        <v>21</v>
      </c>
      <c r="F3" s="10"/>
      <c r="G3" s="10" t="s">
        <v>78</v>
      </c>
      <c r="H3" s="16" t="s">
        <v>3652</v>
      </c>
      <c r="V3" s="14"/>
      <c r="AC3" s="14"/>
      <c r="AD3" s="14"/>
      <c r="AE3" s="14"/>
      <c r="AF3" s="14"/>
      <c r="AG3" s="14"/>
      <c r="AH3" s="14"/>
    </row>
    <row r="4" spans="1:34">
      <c r="B4" s="11" t="s">
        <v>14</v>
      </c>
      <c r="C4" s="12" t="s">
        <v>4877</v>
      </c>
      <c r="D4" s="12" t="s">
        <v>4881</v>
      </c>
      <c r="F4" s="13"/>
      <c r="G4" s="12" t="s">
        <v>4882</v>
      </c>
      <c r="I4" s="27"/>
      <c r="V4" s="14"/>
      <c r="AC4" s="14"/>
      <c r="AD4" s="14"/>
      <c r="AE4" s="14"/>
      <c r="AF4" s="14"/>
      <c r="AG4" s="14"/>
      <c r="AH4" s="14"/>
    </row>
    <row r="5" spans="1:34">
      <c r="B5" s="11"/>
      <c r="C5" s="12" t="s">
        <v>4913</v>
      </c>
      <c r="D5" s="32" t="s">
        <v>4914</v>
      </c>
      <c r="E5" s="11"/>
      <c r="F5" s="13"/>
      <c r="G5" s="12" t="s">
        <v>4883</v>
      </c>
      <c r="H5" s="16"/>
      <c r="V5" s="14"/>
      <c r="AC5" s="14"/>
      <c r="AD5" s="14"/>
      <c r="AE5" s="14"/>
      <c r="AF5" s="14"/>
      <c r="AG5" s="14"/>
      <c r="AH5" s="14"/>
    </row>
    <row r="6" spans="1:34">
      <c r="C6" s="12" t="s">
        <v>0</v>
      </c>
      <c r="D6" s="12" t="s">
        <v>11</v>
      </c>
      <c r="E6" s="11" t="s">
        <v>16</v>
      </c>
      <c r="F6" s="13" t="s">
        <v>20</v>
      </c>
      <c r="G6" s="12" t="s">
        <v>30</v>
      </c>
    </row>
    <row r="7" spans="1:34">
      <c r="C7" s="12" t="s">
        <v>1</v>
      </c>
      <c r="D7" s="12" t="s">
        <v>37</v>
      </c>
      <c r="E7" s="11"/>
      <c r="F7" s="13"/>
      <c r="G7" s="12" t="s">
        <v>31</v>
      </c>
    </row>
    <row r="8" spans="1:34">
      <c r="C8" s="12" t="s">
        <v>19</v>
      </c>
      <c r="D8" s="12" t="s">
        <v>11</v>
      </c>
      <c r="E8" s="11" t="s">
        <v>16</v>
      </c>
      <c r="F8" s="13" t="s">
        <v>20</v>
      </c>
      <c r="G8" s="12" t="s">
        <v>32</v>
      </c>
    </row>
    <row r="9" spans="1:34">
      <c r="C9" s="12" t="s">
        <v>2</v>
      </c>
      <c r="D9" s="12" t="s">
        <v>37</v>
      </c>
      <c r="E9" s="11"/>
      <c r="F9" s="13"/>
      <c r="G9" s="12" t="s">
        <v>33</v>
      </c>
    </row>
  </sheetData>
  <phoneticPr fontId="3" type="noConversion"/>
  <hyperlinks>
    <hyperlink ref="A1" location="目錄!A1" display="回到目錄"/>
  </hyperlinks>
  <pageMargins left="0.7" right="0.7" top="0.75" bottom="0.75" header="0.3" footer="0.3"/>
  <pageSetup paperSize="9" orientation="portrait" horizontalDpi="300" verticalDpi="30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workbookViewId="0"/>
  </sheetViews>
  <sheetFormatPr defaultRowHeight="15"/>
  <cols>
    <col min="1" max="1" width="7.453125" style="39" bestFit="1" customWidth="1"/>
    <col min="2" max="2" width="8.54296875" style="39" bestFit="1" customWidth="1"/>
    <col min="3" max="3" width="8.81640625" style="39" bestFit="1" customWidth="1"/>
    <col min="4" max="4" width="6.453125" style="39" bestFit="1" customWidth="1"/>
    <col min="5" max="5" width="17" style="39" bestFit="1" customWidth="1"/>
    <col min="6" max="6" width="10" style="39" bestFit="1" customWidth="1"/>
    <col min="7" max="7" width="7" style="39" customWidth="1"/>
    <col min="8" max="8" width="10.36328125" style="39" bestFit="1" customWidth="1"/>
    <col min="9" max="9" width="7.7265625" style="130" bestFit="1" customWidth="1"/>
    <col min="10" max="11" width="3.08984375" style="39" bestFit="1" customWidth="1"/>
    <col min="12" max="16384" width="8.7265625" style="39"/>
  </cols>
  <sheetData>
    <row r="1" spans="1:9">
      <c r="A1" s="69" t="s">
        <v>36</v>
      </c>
      <c r="B1" s="92" t="s">
        <v>171</v>
      </c>
      <c r="C1" s="92" t="s">
        <v>3728</v>
      </c>
      <c r="D1" s="92" t="s">
        <v>4878</v>
      </c>
      <c r="E1" s="92" t="s">
        <v>4879</v>
      </c>
      <c r="F1" s="92" t="s">
        <v>0</v>
      </c>
      <c r="G1" s="92" t="s">
        <v>1</v>
      </c>
      <c r="H1" s="92" t="s">
        <v>19</v>
      </c>
      <c r="I1" s="128" t="s">
        <v>2</v>
      </c>
    </row>
    <row r="2" spans="1:9" ht="13.8">
      <c r="B2" s="39" t="s">
        <v>4884</v>
      </c>
      <c r="C2" s="39" t="s">
        <v>4876</v>
      </c>
      <c r="D2" s="39">
        <v>31</v>
      </c>
      <c r="E2" s="39">
        <v>1.6</v>
      </c>
      <c r="G2" s="39" t="s">
        <v>523</v>
      </c>
      <c r="I2" s="39" t="s">
        <v>523</v>
      </c>
    </row>
    <row r="3" spans="1:9" ht="13.8">
      <c r="B3" s="39" t="s">
        <v>4884</v>
      </c>
      <c r="C3" s="39" t="s">
        <v>4876</v>
      </c>
      <c r="D3" s="39">
        <v>41</v>
      </c>
      <c r="E3" s="39">
        <v>1.4</v>
      </c>
      <c r="G3" s="39" t="s">
        <v>523</v>
      </c>
      <c r="I3" s="39" t="s">
        <v>523</v>
      </c>
    </row>
    <row r="4" spans="1:9" ht="13.8">
      <c r="B4" s="39" t="s">
        <v>4884</v>
      </c>
      <c r="C4" s="39" t="s">
        <v>4876</v>
      </c>
      <c r="D4" s="39">
        <v>51</v>
      </c>
      <c r="E4" s="39">
        <v>1.2</v>
      </c>
      <c r="G4" s="39" t="s">
        <v>523</v>
      </c>
      <c r="I4" s="39" t="s">
        <v>523</v>
      </c>
    </row>
    <row r="5" spans="1:9" ht="13.8">
      <c r="B5" s="39" t="s">
        <v>4884</v>
      </c>
      <c r="C5" s="39" t="s">
        <v>4876</v>
      </c>
      <c r="D5" s="39">
        <v>61</v>
      </c>
      <c r="E5" s="39">
        <v>1.1000000000000001</v>
      </c>
      <c r="G5" s="39" t="s">
        <v>523</v>
      </c>
      <c r="I5" s="39" t="s">
        <v>523</v>
      </c>
    </row>
    <row r="6" spans="1:9" ht="13.8">
      <c r="B6" s="39" t="s">
        <v>4884</v>
      </c>
      <c r="C6" s="39" t="s">
        <v>4876</v>
      </c>
      <c r="D6" s="39">
        <v>71</v>
      </c>
      <c r="E6" s="39">
        <v>1.02</v>
      </c>
      <c r="G6" s="39" t="s">
        <v>523</v>
      </c>
      <c r="I6" s="39" t="s">
        <v>523</v>
      </c>
    </row>
    <row r="7" spans="1:9" ht="13.8">
      <c r="B7" s="39" t="s">
        <v>4884</v>
      </c>
      <c r="C7" s="39" t="s">
        <v>4876</v>
      </c>
      <c r="D7" s="39">
        <v>91</v>
      </c>
      <c r="E7" s="39">
        <v>1</v>
      </c>
      <c r="G7" s="39" t="s">
        <v>523</v>
      </c>
      <c r="I7" s="39" t="s">
        <v>523</v>
      </c>
    </row>
    <row r="8" spans="1:9" ht="13.8">
      <c r="B8" s="39" t="s">
        <v>4884</v>
      </c>
      <c r="C8" s="39" t="s">
        <v>4880</v>
      </c>
      <c r="D8" s="39">
        <v>31</v>
      </c>
      <c r="E8" s="39">
        <v>0.6</v>
      </c>
      <c r="G8" s="39" t="s">
        <v>523</v>
      </c>
      <c r="I8" s="39" t="s">
        <v>523</v>
      </c>
    </row>
    <row r="9" spans="1:9" ht="13.8">
      <c r="B9" s="39" t="s">
        <v>4884</v>
      </c>
      <c r="C9" s="39" t="s">
        <v>4880</v>
      </c>
      <c r="D9" s="39">
        <v>41</v>
      </c>
      <c r="E9" s="39">
        <v>0.4</v>
      </c>
      <c r="G9" s="39" t="s">
        <v>523</v>
      </c>
      <c r="I9" s="39" t="s">
        <v>523</v>
      </c>
    </row>
    <row r="10" spans="1:9" ht="13.8">
      <c r="B10" s="39" t="s">
        <v>4884</v>
      </c>
      <c r="C10" s="39" t="s">
        <v>4880</v>
      </c>
      <c r="D10" s="39">
        <v>51</v>
      </c>
      <c r="E10" s="39">
        <v>0.2</v>
      </c>
      <c r="G10" s="39" t="s">
        <v>523</v>
      </c>
      <c r="I10" s="39" t="s">
        <v>523</v>
      </c>
    </row>
    <row r="11" spans="1:9" ht="13.8">
      <c r="B11" s="39" t="s">
        <v>4884</v>
      </c>
      <c r="C11" s="39" t="s">
        <v>4880</v>
      </c>
      <c r="D11" s="39">
        <v>61</v>
      </c>
      <c r="E11" s="39">
        <v>0.1</v>
      </c>
      <c r="G11" s="39" t="s">
        <v>523</v>
      </c>
      <c r="I11" s="39" t="s">
        <v>523</v>
      </c>
    </row>
    <row r="12" spans="1:9" ht="13.8">
      <c r="B12" s="39" t="s">
        <v>4884</v>
      </c>
      <c r="C12" s="39" t="s">
        <v>4880</v>
      </c>
      <c r="D12" s="39">
        <v>71</v>
      </c>
      <c r="E12" s="39">
        <v>0.02</v>
      </c>
      <c r="G12" s="39" t="s">
        <v>523</v>
      </c>
      <c r="I12" s="39" t="s">
        <v>523</v>
      </c>
    </row>
    <row r="13" spans="1:9" ht="13.8">
      <c r="B13" s="39" t="s">
        <v>4884</v>
      </c>
      <c r="C13" s="39" t="s">
        <v>4880</v>
      </c>
      <c r="D13" s="39">
        <v>91</v>
      </c>
      <c r="E13" s="39">
        <v>0</v>
      </c>
      <c r="G13" s="39" t="s">
        <v>523</v>
      </c>
      <c r="I13" s="39" t="s">
        <v>523</v>
      </c>
    </row>
    <row r="14" spans="1:9" ht="13.8">
      <c r="B14" s="39" t="s">
        <v>4794</v>
      </c>
      <c r="C14" s="39" t="s">
        <v>4705</v>
      </c>
      <c r="D14" s="39">
        <v>31</v>
      </c>
      <c r="E14" s="39">
        <v>1.6</v>
      </c>
      <c r="G14" s="39" t="s">
        <v>523</v>
      </c>
      <c r="I14" s="39" t="s">
        <v>523</v>
      </c>
    </row>
    <row r="15" spans="1:9" ht="13.8">
      <c r="B15" s="39" t="s">
        <v>4794</v>
      </c>
      <c r="C15" s="39" t="s">
        <v>4705</v>
      </c>
      <c r="D15" s="39">
        <v>41</v>
      </c>
      <c r="E15" s="39">
        <v>1.4</v>
      </c>
      <c r="G15" s="39" t="s">
        <v>523</v>
      </c>
      <c r="I15" s="39" t="s">
        <v>523</v>
      </c>
    </row>
    <row r="16" spans="1:9" ht="13.8">
      <c r="B16" s="39" t="s">
        <v>4794</v>
      </c>
      <c r="C16" s="39" t="s">
        <v>4705</v>
      </c>
      <c r="D16" s="39">
        <v>51</v>
      </c>
      <c r="E16" s="39">
        <v>1.2</v>
      </c>
      <c r="G16" s="39" t="s">
        <v>523</v>
      </c>
      <c r="I16" s="39" t="s">
        <v>523</v>
      </c>
    </row>
    <row r="17" spans="2:9" ht="13.8">
      <c r="B17" s="39" t="s">
        <v>4794</v>
      </c>
      <c r="C17" s="39" t="s">
        <v>4705</v>
      </c>
      <c r="D17" s="39">
        <v>61</v>
      </c>
      <c r="E17" s="39">
        <v>1.1000000000000001</v>
      </c>
      <c r="G17" s="39" t="s">
        <v>523</v>
      </c>
      <c r="I17" s="39" t="s">
        <v>523</v>
      </c>
    </row>
    <row r="18" spans="2:9" ht="13.8">
      <c r="B18" s="39" t="s">
        <v>4794</v>
      </c>
      <c r="C18" s="39" t="s">
        <v>4705</v>
      </c>
      <c r="D18" s="39">
        <v>71</v>
      </c>
      <c r="E18" s="39">
        <v>1.02</v>
      </c>
      <c r="G18" s="39" t="s">
        <v>523</v>
      </c>
      <c r="I18" s="39" t="s">
        <v>523</v>
      </c>
    </row>
    <row r="19" spans="2:9" ht="13.8">
      <c r="B19" s="39" t="s">
        <v>4794</v>
      </c>
      <c r="C19" s="39" t="s">
        <v>4705</v>
      </c>
      <c r="D19" s="39">
        <v>91</v>
      </c>
      <c r="E19" s="39">
        <v>1</v>
      </c>
      <c r="G19" s="39" t="s">
        <v>523</v>
      </c>
      <c r="I19" s="39" t="s">
        <v>523</v>
      </c>
    </row>
    <row r="20" spans="2:9" ht="13.8">
      <c r="B20" s="39" t="s">
        <v>4794</v>
      </c>
      <c r="C20" s="39" t="s">
        <v>4792</v>
      </c>
      <c r="D20" s="39">
        <v>31</v>
      </c>
      <c r="E20" s="39">
        <v>0.6</v>
      </c>
      <c r="G20" s="39" t="s">
        <v>523</v>
      </c>
      <c r="I20" s="39" t="s">
        <v>523</v>
      </c>
    </row>
    <row r="21" spans="2:9" ht="13.8">
      <c r="B21" s="39" t="s">
        <v>4794</v>
      </c>
      <c r="C21" s="39" t="s">
        <v>4792</v>
      </c>
      <c r="D21" s="39">
        <v>41</v>
      </c>
      <c r="E21" s="39">
        <v>0.4</v>
      </c>
      <c r="G21" s="39" t="s">
        <v>523</v>
      </c>
      <c r="I21" s="39" t="s">
        <v>523</v>
      </c>
    </row>
    <row r="22" spans="2:9" ht="13.8">
      <c r="B22" s="39" t="s">
        <v>4794</v>
      </c>
      <c r="C22" s="39" t="s">
        <v>4792</v>
      </c>
      <c r="D22" s="39">
        <v>51</v>
      </c>
      <c r="E22" s="39">
        <v>0.2</v>
      </c>
      <c r="G22" s="39" t="s">
        <v>523</v>
      </c>
      <c r="I22" s="39" t="s">
        <v>523</v>
      </c>
    </row>
    <row r="23" spans="2:9" ht="13.8">
      <c r="B23" s="39" t="s">
        <v>4794</v>
      </c>
      <c r="C23" s="39" t="s">
        <v>4792</v>
      </c>
      <c r="D23" s="39">
        <v>61</v>
      </c>
      <c r="E23" s="39">
        <v>0.1</v>
      </c>
      <c r="G23" s="39" t="s">
        <v>523</v>
      </c>
      <c r="I23" s="39" t="s">
        <v>523</v>
      </c>
    </row>
    <row r="24" spans="2:9" ht="13.8">
      <c r="B24" s="39" t="s">
        <v>4794</v>
      </c>
      <c r="C24" s="39" t="s">
        <v>4792</v>
      </c>
      <c r="D24" s="39">
        <v>71</v>
      </c>
      <c r="E24" s="39">
        <v>0.02</v>
      </c>
      <c r="G24" s="39" t="s">
        <v>523</v>
      </c>
      <c r="I24" s="39" t="s">
        <v>523</v>
      </c>
    </row>
    <row r="25" spans="2:9" ht="13.8">
      <c r="B25" s="39" t="s">
        <v>4794</v>
      </c>
      <c r="C25" s="39" t="s">
        <v>4792</v>
      </c>
      <c r="D25" s="39">
        <v>91</v>
      </c>
      <c r="E25" s="39">
        <v>0</v>
      </c>
      <c r="G25" s="39" t="s">
        <v>523</v>
      </c>
      <c r="I25" s="39" t="s">
        <v>523</v>
      </c>
    </row>
    <row r="26" spans="2:9" ht="13.8">
      <c r="I26" s="39"/>
    </row>
    <row r="27" spans="2:9" ht="13.8">
      <c r="I27" s="39"/>
    </row>
    <row r="28" spans="2:9" ht="13.8">
      <c r="I28" s="39"/>
    </row>
    <row r="29" spans="2:9" ht="13.8">
      <c r="I29" s="39"/>
    </row>
    <row r="30" spans="2:9" ht="13.8">
      <c r="C30" s="129"/>
      <c r="D30" s="129"/>
      <c r="E30" s="129"/>
      <c r="I30" s="39"/>
    </row>
    <row r="31" spans="2:9" ht="13.8">
      <c r="C31" s="129"/>
      <c r="D31" s="129"/>
      <c r="E31" s="129"/>
      <c r="I31" s="39"/>
    </row>
    <row r="32" spans="2:9" ht="13.8">
      <c r="C32" s="129"/>
      <c r="D32" s="129"/>
      <c r="E32" s="129"/>
      <c r="I32" s="39"/>
    </row>
    <row r="33" spans="3:9" ht="13.8">
      <c r="C33" s="129"/>
      <c r="D33" s="129"/>
      <c r="E33" s="129"/>
      <c r="I33" s="39"/>
    </row>
    <row r="34" spans="3:9" ht="13.8">
      <c r="C34" s="129"/>
      <c r="D34" s="129"/>
      <c r="E34" s="129"/>
      <c r="I34" s="39"/>
    </row>
    <row r="35" spans="3:9" ht="13.8">
      <c r="C35" s="129"/>
      <c r="D35" s="129"/>
      <c r="E35" s="129"/>
      <c r="I35" s="39"/>
    </row>
    <row r="36" spans="3:9" ht="13.8">
      <c r="C36" s="129"/>
      <c r="D36" s="129"/>
      <c r="E36" s="129"/>
      <c r="I36" s="39"/>
    </row>
    <row r="37" spans="3:9" ht="13.8">
      <c r="C37" s="129"/>
      <c r="D37" s="129"/>
      <c r="E37" s="129"/>
      <c r="I37" s="39"/>
    </row>
    <row r="38" spans="3:9" ht="13.8">
      <c r="C38" s="129"/>
      <c r="D38" s="129"/>
      <c r="E38" s="129"/>
      <c r="I38" s="39"/>
    </row>
    <row r="39" spans="3:9" ht="13.8">
      <c r="C39" s="129"/>
      <c r="D39" s="129"/>
      <c r="E39" s="129"/>
      <c r="I39" s="39"/>
    </row>
    <row r="40" spans="3:9" ht="13.8">
      <c r="C40" s="129"/>
      <c r="D40" s="129"/>
      <c r="E40" s="129"/>
      <c r="I40" s="39"/>
    </row>
    <row r="41" spans="3:9" ht="13.8">
      <c r="C41" s="129"/>
      <c r="D41" s="129"/>
      <c r="E41" s="129"/>
      <c r="I41" s="39"/>
    </row>
    <row r="42" spans="3:9" ht="13.8">
      <c r="C42" s="129"/>
      <c r="D42" s="129"/>
      <c r="E42" s="129"/>
      <c r="I42" s="39"/>
    </row>
  </sheetData>
  <phoneticPr fontId="3" type="noConversion"/>
  <hyperlinks>
    <hyperlink ref="A1" location="目錄!A1" display="回到目錄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8"/>
  <dimension ref="A1:U17"/>
  <sheetViews>
    <sheetView workbookViewId="0">
      <pane ySplit="1" topLeftCell="A2" activePane="bottomLeft" state="frozen"/>
      <selection pane="bottomLeft" activeCell="C1" sqref="C1"/>
    </sheetView>
  </sheetViews>
  <sheetFormatPr defaultColWidth="11.1796875" defaultRowHeight="13.8"/>
  <cols>
    <col min="1" max="1" width="7.453125" style="10" bestFit="1" customWidth="1"/>
    <col min="2" max="2" width="4.36328125" style="14" bestFit="1" customWidth="1"/>
    <col min="3" max="3" width="19.81640625" style="15" bestFit="1" customWidth="1"/>
    <col min="4" max="4" width="9.1796875" style="15" bestFit="1" customWidth="1"/>
    <col min="5" max="5" width="7.54296875" style="14" bestFit="1" customWidth="1"/>
    <col min="6" max="6" width="10" style="10" bestFit="1" customWidth="1"/>
    <col min="7" max="7" width="15.6328125" style="10" bestFit="1" customWidth="1"/>
    <col min="8" max="8" width="44.7265625" style="15" bestFit="1" customWidth="1"/>
    <col min="9" max="9" width="4.36328125" style="36" bestFit="1" customWidth="1"/>
    <col min="10" max="10" width="27.54296875" style="36" bestFit="1" customWidth="1"/>
    <col min="11" max="11" width="6.36328125" style="36" customWidth="1"/>
    <col min="12" max="12" width="4.26953125" style="36" bestFit="1" customWidth="1"/>
    <col min="13" max="13" width="8.81640625" style="36" bestFit="1" customWidth="1"/>
    <col min="14" max="14" width="176" style="36" bestFit="1" customWidth="1"/>
    <col min="15" max="15" width="167.08984375" style="36" bestFit="1" customWidth="1"/>
    <col min="16" max="16" width="168.90625" style="36" bestFit="1" customWidth="1"/>
    <col min="17" max="18" width="255.6328125" style="36" bestFit="1" customWidth="1"/>
    <col min="19" max="19" width="255.6328125" style="32" bestFit="1" customWidth="1"/>
    <col min="20" max="21" width="6.6328125" style="32" customWidth="1"/>
    <col min="22" max="34" width="6.6328125" style="10" customWidth="1"/>
    <col min="35" max="36" width="14.453125" style="10" customWidth="1"/>
    <col min="37" max="16384" width="11.1796875" style="10"/>
  </cols>
  <sheetData>
    <row r="1" spans="1:21" s="17" customFormat="1">
      <c r="A1" s="23" t="s">
        <v>36</v>
      </c>
      <c r="B1" s="5" t="s">
        <v>5</v>
      </c>
      <c r="C1" s="20" t="s">
        <v>3</v>
      </c>
      <c r="D1" s="20" t="s">
        <v>4</v>
      </c>
      <c r="E1" s="7" t="s">
        <v>6</v>
      </c>
      <c r="F1" s="8" t="s">
        <v>13</v>
      </c>
      <c r="G1" s="8" t="s">
        <v>7</v>
      </c>
      <c r="H1" s="9" t="s">
        <v>8</v>
      </c>
      <c r="I1" s="35" t="s">
        <v>139</v>
      </c>
      <c r="J1" s="71"/>
      <c r="K1" s="71"/>
      <c r="L1" s="72" t="s">
        <v>468</v>
      </c>
      <c r="M1" s="72" t="s">
        <v>3649</v>
      </c>
      <c r="N1" s="72" t="s">
        <v>470</v>
      </c>
      <c r="O1" s="72" t="s">
        <v>471</v>
      </c>
      <c r="P1" s="72" t="s">
        <v>472</v>
      </c>
      <c r="Q1" s="72" t="s">
        <v>473</v>
      </c>
      <c r="R1" s="72" t="s">
        <v>474</v>
      </c>
      <c r="S1" s="73" t="s">
        <v>475</v>
      </c>
      <c r="T1" s="73"/>
      <c r="U1" s="73"/>
    </row>
    <row r="2" spans="1:21">
      <c r="B2" s="11" t="s">
        <v>14</v>
      </c>
      <c r="C2" s="13" t="s">
        <v>80</v>
      </c>
      <c r="D2" s="18" t="s">
        <v>24</v>
      </c>
      <c r="E2" s="11"/>
      <c r="F2" s="12"/>
      <c r="G2" s="74" t="s">
        <v>81</v>
      </c>
      <c r="H2" s="34"/>
      <c r="I2" s="27"/>
      <c r="J2" s="29"/>
      <c r="K2" s="29"/>
      <c r="M2" s="34"/>
      <c r="N2" s="36" t="str">
        <f>"EXEC sp_dropextendedproperty @name = N'MS_Description', @level0type=N'SCHEMA',@level0name=N'"&amp;$L$1&amp;"', @level1type=N'TABLE',@level1name=N'"&amp;$M$1&amp;"', @level2type=N'COLUMN',@level2name=N'"&amp;$C2&amp;"'"</f>
        <v>EXEC sp_dropextendedproperty @name = N'MS_Description', @level0type=N'SCHEMA',@level0name=N'dbo', @level1type=N'TABLE',@level1name=N'LifeInsFormulaPrem', @level2type=N'COLUMN',@level2name=N'PlanCode'</v>
      </c>
      <c r="O2" s="36" t="str">
        <f>"EXEC sp_dropextendedproperty @name = N'Rule', @level0type=N'SCHEMA',@level0name=N'"&amp;$L$1&amp;"', @level1type=N'TABLE',@level1name=N'"&amp;$M$1&amp;"', @level2type=N'COLUMN',@level2name=N'"&amp;$C2&amp;"'"</f>
        <v>EXEC sp_dropextendedproperty @name = N'Rule', @level0type=N'SCHEMA',@level0name=N'dbo', @level1type=N'TABLE',@level1name=N'LifeInsFormulaPrem', @level2type=N'COLUMN',@level2name=N'PlanCode'</v>
      </c>
      <c r="P2" s="36" t="str">
        <f>"EXEC sp_dropextendedproperty @name = N'Memo', @level0type=N'SCHEMA',@level0name=N'"&amp;$L$1&amp;"', @level1type=N'TABLE',@level1name=N'"&amp;$M$1&amp;"', @level2type=N'COLUMN',@level2name=N'"&amp;$C2&amp;"'"</f>
        <v>EXEC sp_dropextendedproperty @name = N'Memo', @level0type=N'SCHEMA',@level0name=N'dbo', @level1type=N'TABLE',@level1name=N'LifeInsFormulaPrem', @level2type=N'COLUMN',@level2name=N'PlanCode'</v>
      </c>
      <c r="Q2" s="36" t="str">
        <f>"set @OldWording = N'"&amp;SUBSTITUTE($G2,CHAR(10),"")&amp;"'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@level2type=N'COLUMN',@level2name=N'"&amp;$C2&amp;"'"</f>
        <v>set @OldWording = N'險種代碼' set @NewWording = REPLACE(@OldWording,'***',char(13)+char(10)) EXEC sys.sp_addextendedproperty @name=N'MS_Description', @value=@NewWording , @level0type=N'SCHEMA',@level0name=N'dbo', @level1type=N'TABLE',@level1name=N'LifeInsFormulaPrem', @level2type=N'COLUMN',@level2name=N'PlanCode'</v>
      </c>
      <c r="R2" s="32" t="str">
        <f>"set @OldWording = N'"&amp;SUBSTITUTE($H2,CHAR(10),"")&amp;"'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@name=N'Rule', @value=@NewWording , @level0type=N'SCHEMA',@level0name=N'dbo', @level1type=N'TABLE',@level1name=N'LifeInsFormulaPrem', @level2type=N'COLUMN',@level2name=N'PlanCode'</v>
      </c>
      <c r="S2" s="36" t="str">
        <f>"set @OldWording = N'"&amp;SUBSTITUTE($I2,CHAR(10),"")&amp;"' set @NewWording = REPLACE(@OldWording,'***',char(13)+char(10)) "&amp;"EXEC sys.sp_addextendedproperty @name=N'Memo',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@name=N'Memo', @value=@NewWording , @level0type=N'SCHEMA',@level0name=N'dbo', @level1type=N'TABLE',@level1name=N'LifeInsFormulaPrem', @level2type=N'COLUMN',@level2name=N'PlanCode'</v>
      </c>
    </row>
    <row r="3" spans="1:21">
      <c r="B3" s="11"/>
      <c r="C3" s="13" t="s">
        <v>4686</v>
      </c>
      <c r="D3" s="18" t="s">
        <v>4682</v>
      </c>
      <c r="E3" s="11"/>
      <c r="F3" s="12"/>
      <c r="G3" s="74" t="s">
        <v>4683</v>
      </c>
      <c r="H3" s="34" t="s">
        <v>4685</v>
      </c>
      <c r="I3" s="27"/>
      <c r="J3" s="29"/>
      <c r="K3" s="29"/>
      <c r="M3" s="34"/>
      <c r="R3" s="32"/>
      <c r="S3" s="36"/>
    </row>
    <row r="4" spans="1:21" s="32" customFormat="1">
      <c r="B4" s="28"/>
      <c r="C4" s="29" t="s">
        <v>3755</v>
      </c>
      <c r="D4" s="29" t="s">
        <v>23</v>
      </c>
      <c r="E4" s="28" t="s">
        <v>16</v>
      </c>
      <c r="F4" s="22"/>
      <c r="G4" s="22" t="s">
        <v>3599</v>
      </c>
      <c r="H4" s="27" t="s">
        <v>4684</v>
      </c>
      <c r="I4" s="27"/>
      <c r="J4" s="27"/>
      <c r="K4" s="27"/>
      <c r="L4" s="36"/>
      <c r="M4" s="36"/>
      <c r="N4" s="36" t="str">
        <f t="shared" ref="N4:N12" si="0">"EXEC sp_dropextendedproperty @name = N'MS_Description', @level0type=N'SCHEMA',@level0name=N'"&amp;$L$1&amp;"', @level1type=N'TABLE',@level1name=N'"&amp;$M$1&amp;"', @level2type=N'COLUMN',@level2name=N'"&amp;$C4&amp;"'"</f>
        <v>EXEC sp_dropextendedproperty @name = N'MS_Description', @level0type=N'SCHEMA',@level0name=N'dbo', @level1type=N'TABLE',@level1name=N'LifeInsFormulaPrem', @level2type=N'COLUMN',@level2name=N'GeneralPremCalcType'</v>
      </c>
      <c r="O4" s="36" t="str">
        <f t="shared" ref="O4:O12" si="1">"EXEC sp_dropextendedproperty @name = N'Rule', @level0type=N'SCHEMA',@level0name=N'"&amp;$L$1&amp;"', @level1type=N'TABLE',@level1name=N'"&amp;$M$1&amp;"', @level2type=N'COLUMN',@level2name=N'"&amp;$C4&amp;"'"</f>
        <v>EXEC sp_dropextendedproperty @name = N'Rule', @level0type=N'SCHEMA',@level0name=N'dbo', @level1type=N'TABLE',@level1name=N'LifeInsFormulaPrem', @level2type=N'COLUMN',@level2name=N'GeneralPremCalcType'</v>
      </c>
      <c r="P4" s="36" t="str">
        <f t="shared" ref="P4:P12" si="2">"EXEC sp_dropextendedproperty @name = N'Memo', @level0type=N'SCHEMA',@level0name=N'"&amp;$L$1&amp;"', @level1type=N'TABLE',@level1name=N'"&amp;$M$1&amp;"', @level2type=N'COLUMN',@level2name=N'"&amp;$C4&amp;"'"</f>
        <v>EXEC sp_dropextendedproperty @name = N'Memo', @level0type=N'SCHEMA',@level0name=N'dbo', @level1type=N'TABLE',@level1name=N'LifeInsFormulaPrem', @level2type=N'COLUMN',@level2name=N'GeneralPremCalcType'</v>
      </c>
      <c r="Q4" s="36" t="str">
        <f t="shared" ref="Q4:Q12" si="3">"set @OldWording = N'"&amp;SUBSTITUTE($G4,CHAR(10),"")&amp;"'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@level2type=N'COLUMN',@level2name=N'"&amp;$C4&amp;"'"</f>
        <v>set @OldWording = N'原始保費試算類型' set @NewWording = REPLACE(@OldWording,'***',char(13)+char(10)) EXEC sys.sp_addextendedproperty @name=N'MS_Description', @value=@NewWording , @level0type=N'SCHEMA',@level0name=N'dbo', @level1type=N'TABLE',@level1name=N'LifeInsFormulaPrem', @level2type=N'COLUMN',@level2name=N'GeneralPremCalcType'</v>
      </c>
      <c r="R4" s="32" t="str">
        <f t="shared" ref="R4:R12" si="4">"set @OldWording = N'"&amp;SUBSTITUTE($H4,CHAR(10),"")&amp;"'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@level2type=N'COLUMN',@level2name=N'"&amp;$C4&amp;"'"</f>
        <v>set @OldWording = N'一般&amp;豁免險種各自獨立，皆從類型1開始，詳保費試算公式' set @NewWording = REPLACE(@OldWording,'***',char(13)+char(10)) EXEC sys.sp_addextendedproperty @name=N'Rule', @value=@NewWording , @level0type=N'SCHEMA',@level0name=N'dbo', @level1type=N'TABLE',@level1name=N'LifeInsFormulaPrem', @level2type=N'COLUMN',@level2name=N'GeneralPremCalcType'</v>
      </c>
      <c r="S4" s="36" t="str">
        <f t="shared" ref="S4:S12" si="5">"set @OldWording = N'"&amp;SUBSTITUTE($I4,CHAR(10),"")&amp;"' set @NewWording = REPLACE(@OldWording,'***',char(13)+char(10)) "&amp;"EXEC sys.sp_addextendedproperty @name=N'Memo', @value=@NewWording , @level0type=N'SCHEMA',@level0name=N'"&amp;$L$1&amp;"', @level1type=N'TABLE',@level1name=N'"&amp;$M$1&amp;"', @level2type=N'COLUMN',@level2name=N'"&amp;$C4&amp;"'"</f>
        <v>set @OldWording = N'' set @NewWording = REPLACE(@OldWording,'***',char(13)+char(10)) EXEC sys.sp_addextendedproperty @name=N'Memo', @value=@NewWording , @level0type=N'SCHEMA',@level0name=N'dbo', @level1type=N'TABLE',@level1name=N'LifeInsFormulaPrem', @level2type=N'COLUMN',@level2name=N'GeneralPremCalcType'</v>
      </c>
    </row>
    <row r="5" spans="1:21" s="32" customFormat="1">
      <c r="B5" s="28"/>
      <c r="C5" s="29" t="s">
        <v>3756</v>
      </c>
      <c r="D5" s="29" t="s">
        <v>23</v>
      </c>
      <c r="E5" s="28" t="s">
        <v>16</v>
      </c>
      <c r="F5" s="22"/>
      <c r="G5" s="22" t="s">
        <v>3600</v>
      </c>
      <c r="H5" s="27" t="s">
        <v>3588</v>
      </c>
      <c r="I5" s="27"/>
      <c r="J5" s="27"/>
      <c r="K5" s="27"/>
      <c r="L5" s="36"/>
      <c r="M5" s="36"/>
      <c r="N5" s="36" t="str">
        <f t="shared" si="0"/>
        <v>EXEC sp_dropextendedproperty @name = N'MS_Description', @level0type=N'SCHEMA',@level0name=N'dbo', @level1type=N'TABLE',@level1name=N'LifeInsFormulaPrem', @level2type=N'COLUMN',@level2name=N'HighAmtPremCalcType'</v>
      </c>
      <c r="O5" s="36" t="str">
        <f t="shared" si="1"/>
        <v>EXEC sp_dropextendedproperty @name = N'Rule', @level0type=N'SCHEMA',@level0name=N'dbo', @level1type=N'TABLE',@level1name=N'LifeInsFormulaPrem', @level2type=N'COLUMN',@level2name=N'HighAmtPremCalcType'</v>
      </c>
      <c r="P5" s="36" t="str">
        <f t="shared" si="2"/>
        <v>EXEC sp_dropextendedproperty @name = N'Memo', @level0type=N'SCHEMA',@level0name=N'dbo', @level1type=N'TABLE',@level1name=N'LifeInsFormulaPrem', @level2type=N'COLUMN',@level2name=N'HighAmtPremCalcType'</v>
      </c>
      <c r="Q5" s="36" t="str">
        <f t="shared" si="3"/>
        <v>set @OldWording = N'高保額保費試算類型' set @NewWording = REPLACE(@OldWording,'***',char(13)+char(10)) EXEC sys.sp_addextendedproperty @name=N'MS_Description', @value=@NewWording , @level0type=N'SCHEMA',@level0name=N'dbo', @level1type=N'TABLE',@level1name=N'LifeInsFormulaPrem', @level2type=N'COLUMN',@level2name=N'HighAmtPremCalcType'</v>
      </c>
      <c r="R5" s="32" t="str">
        <f t="shared" si="4"/>
        <v>set @OldWording = N'一般&amp;豁免險種各自獨立，皆從類型1開始，詳保費試算公式' set @NewWording = REPLACE(@OldWording,'***',char(13)+char(10)) EXEC sys.sp_addextendedproperty @name=N'Rule', @value=@NewWording , @level0type=N'SCHEMA',@level0name=N'dbo', @level1type=N'TABLE',@level1name=N'LifeInsFormulaPrem', @level2type=N'COLUMN',@level2name=N'HighAmtPremCalcType'</v>
      </c>
      <c r="S5" s="36" t="str">
        <f t="shared" si="5"/>
        <v>set @OldWording = N'' set @NewWording = REPLACE(@OldWording,'***',char(13)+char(10)) EXEC sys.sp_addextendedproperty @name=N'Memo', @value=@NewWording , @level0type=N'SCHEMA',@level0name=N'dbo', @level1type=N'TABLE',@level1name=N'LifeInsFormulaPrem', @level2type=N'COLUMN',@level2name=N'HighAmtPremCalcType'</v>
      </c>
    </row>
    <row r="6" spans="1:21" s="32" customFormat="1" ht="27.6">
      <c r="B6" s="28"/>
      <c r="C6" s="29" t="s">
        <v>3757</v>
      </c>
      <c r="D6" s="29" t="s">
        <v>45</v>
      </c>
      <c r="E6" s="28" t="s">
        <v>16</v>
      </c>
      <c r="F6" s="22"/>
      <c r="G6" s="22" t="s">
        <v>3601</v>
      </c>
      <c r="H6" s="27" t="s">
        <v>3589</v>
      </c>
      <c r="I6" s="27"/>
      <c r="J6" s="27"/>
      <c r="K6" s="27"/>
      <c r="L6" s="36"/>
      <c r="M6" s="36"/>
      <c r="N6" s="36" t="str">
        <f t="shared" si="0"/>
        <v>EXEC sp_dropextendedproperty @name = N'MS_Description', @level0type=N'SCHEMA',@level0name=N'dbo', @level1type=N'TABLE',@level1name=N'LifeInsFormulaPrem', @level2type=N'COLUMN',@level2name=N'HighPremPremCalcType'</v>
      </c>
      <c r="O6" s="36" t="str">
        <f t="shared" si="1"/>
        <v>EXEC sp_dropextendedproperty @name = N'Rule', @level0type=N'SCHEMA',@level0name=N'dbo', @level1type=N'TABLE',@level1name=N'LifeInsFormulaPrem', @level2type=N'COLUMN',@level2name=N'HighPremPremCalcType'</v>
      </c>
      <c r="P6" s="36" t="str">
        <f t="shared" si="2"/>
        <v>EXEC sp_dropextendedproperty @name = N'Memo', @level0type=N'SCHEMA',@level0name=N'dbo', @level1type=N'TABLE',@level1name=N'LifeInsFormulaPrem', @level2type=N'COLUMN',@level2name=N'HighPremPremCalcType'</v>
      </c>
      <c r="Q6" s="36" t="str">
        <f t="shared" si="3"/>
        <v>set @OldWording = N'高保費保費試算類型' set @NewWording = REPLACE(@OldWording,'***',char(13)+char(10)) EXEC sys.sp_addextendedproperty @name=N'MS_Description', @value=@NewWording , @level0type=N'SCHEMA',@level0name=N'dbo', @level1type=N'TABLE',@level1name=N'LifeInsFormulaPrem', @level2type=N'COLUMN',@level2name=N'HighPremPremCalcType'</v>
      </c>
      <c r="R6" s="32" t="str">
        <f t="shared" si="4"/>
        <v>set @OldWording = N'預留結構***一般&amp;豁免險種各自獨立，皆從類型1開始，詳保費試算公式' set @NewWording = REPLACE(@OldWording,'***',char(13)+char(10)) EXEC sys.sp_addextendedproperty @name=N'Rule', @value=@NewWording , @level0type=N'SCHEMA',@level0name=N'dbo', @level1type=N'TABLE',@level1name=N'LifeInsFormulaPrem', @level2type=N'COLUMN',@level2name=N'HighPremPremCalcType'</v>
      </c>
      <c r="S6" s="36" t="str">
        <f t="shared" si="5"/>
        <v>set @OldWording = N'' set @NewWording = REPLACE(@OldWording,'***',char(13)+char(10)) EXEC sys.sp_addextendedproperty @name=N'Memo', @value=@NewWording , @level0type=N'SCHEMA',@level0name=N'dbo', @level1type=N'TABLE',@level1name=N'LifeInsFormulaPrem', @level2type=N'COLUMN',@level2name=N'HighPremPremCalcType'</v>
      </c>
    </row>
    <row r="7" spans="1:21" s="32" customFormat="1">
      <c r="B7" s="28"/>
      <c r="C7" s="29" t="s">
        <v>3758</v>
      </c>
      <c r="D7" s="29" t="s">
        <v>45</v>
      </c>
      <c r="E7" s="28" t="s">
        <v>16</v>
      </c>
      <c r="F7" s="22"/>
      <c r="G7" s="22" t="s">
        <v>3602</v>
      </c>
      <c r="H7" s="27" t="s">
        <v>3588</v>
      </c>
      <c r="I7" s="27"/>
      <c r="J7" s="27"/>
      <c r="K7" s="27"/>
      <c r="L7" s="36"/>
      <c r="M7" s="36"/>
      <c r="N7" s="36" t="str">
        <f t="shared" si="0"/>
        <v>EXEC sp_dropextendedproperty @name = N'MS_Description', @level0type=N'SCHEMA',@level0name=N'dbo', @level1type=N'TABLE',@level1name=N'LifeInsFormulaPrem', @level2type=N'COLUMN',@level2name=N'FirstPayPremCalcType'</v>
      </c>
      <c r="O7" s="36" t="str">
        <f t="shared" si="1"/>
        <v>EXEC sp_dropextendedproperty @name = N'Rule', @level0type=N'SCHEMA',@level0name=N'dbo', @level1type=N'TABLE',@level1name=N'LifeInsFormulaPrem', @level2type=N'COLUMN',@level2name=N'FirstPayPremCalcType'</v>
      </c>
      <c r="P7" s="36" t="str">
        <f t="shared" si="2"/>
        <v>EXEC sp_dropextendedproperty @name = N'Memo', @level0type=N'SCHEMA',@level0name=N'dbo', @level1type=N'TABLE',@level1name=N'LifeInsFormulaPrem', @level2type=N'COLUMN',@level2name=N'FirstPayPremCalcType'</v>
      </c>
      <c r="Q7" s="36" t="str">
        <f t="shared" si="3"/>
        <v>set @OldWording = N'首期保費試算類型' set @NewWording = REPLACE(@OldWording,'***',char(13)+char(10)) EXEC sys.sp_addextendedproperty @name=N'MS_Description', @value=@NewWording , @level0type=N'SCHEMA',@level0name=N'dbo', @level1type=N'TABLE',@level1name=N'LifeInsFormulaPrem', @level2type=N'COLUMN',@level2name=N'FirstPayPremCalcType'</v>
      </c>
      <c r="R7" s="32" t="str">
        <f t="shared" si="4"/>
        <v>set @OldWording = N'一般&amp;豁免險種各自獨立，皆從類型1開始，詳保費試算公式' set @NewWording = REPLACE(@OldWording,'***',char(13)+char(10)) EXEC sys.sp_addextendedproperty @name=N'Rule', @value=@NewWording , @level0type=N'SCHEMA',@level0name=N'dbo', @level1type=N'TABLE',@level1name=N'LifeInsFormulaPrem', @level2type=N'COLUMN',@level2name=N'FirstPayPremCalcType'</v>
      </c>
      <c r="S7" s="36" t="str">
        <f t="shared" si="5"/>
        <v>set @OldWording = N'' set @NewWording = REPLACE(@OldWording,'***',char(13)+char(10)) EXEC sys.sp_addextendedproperty @name=N'Memo', @value=@NewWording , @level0type=N'SCHEMA',@level0name=N'dbo', @level1type=N'TABLE',@level1name=N'LifeInsFormulaPrem', @level2type=N'COLUMN',@level2name=N'FirstPayPremCalcType'</v>
      </c>
    </row>
    <row r="8" spans="1:21" s="32" customFormat="1">
      <c r="B8" s="28"/>
      <c r="C8" s="29" t="s">
        <v>3759</v>
      </c>
      <c r="D8" s="29" t="s">
        <v>45</v>
      </c>
      <c r="E8" s="28" t="s">
        <v>16</v>
      </c>
      <c r="F8" s="22"/>
      <c r="G8" s="22" t="s">
        <v>3603</v>
      </c>
      <c r="H8" s="27" t="s">
        <v>3588</v>
      </c>
      <c r="I8" s="27"/>
      <c r="J8" s="27"/>
      <c r="K8" s="27"/>
      <c r="L8" s="36"/>
      <c r="M8" s="36"/>
      <c r="N8" s="36"/>
      <c r="O8" s="36"/>
      <c r="P8" s="36"/>
      <c r="Q8" s="36"/>
      <c r="S8" s="36"/>
    </row>
    <row r="9" spans="1:21">
      <c r="B9" s="11"/>
      <c r="C9" s="12" t="s">
        <v>69</v>
      </c>
      <c r="D9" s="12" t="s">
        <v>454</v>
      </c>
      <c r="E9" s="11" t="s">
        <v>16</v>
      </c>
      <c r="F9" s="13" t="s">
        <v>20</v>
      </c>
      <c r="G9" s="12" t="s">
        <v>450</v>
      </c>
      <c r="H9" s="13"/>
      <c r="I9" s="29"/>
      <c r="J9" s="29"/>
      <c r="K9" s="29"/>
      <c r="N9" s="36" t="str">
        <f t="shared" si="0"/>
        <v>EXEC sp_dropextendedproperty @name = N'MS_Description', @level0type=N'SCHEMA',@level0name=N'dbo', @level1type=N'TABLE',@level1name=N'LifeInsFormulaPrem', @level2type=N'COLUMN',@level2name=N'CreateTime'</v>
      </c>
      <c r="O9" s="36" t="str">
        <f t="shared" si="1"/>
        <v>EXEC sp_dropextendedproperty @name = N'Rule', @level0type=N'SCHEMA',@level0name=N'dbo', @level1type=N'TABLE',@level1name=N'LifeInsFormulaPrem', @level2type=N'COLUMN',@level2name=N'CreateTime'</v>
      </c>
      <c r="P9" s="36" t="str">
        <f t="shared" si="2"/>
        <v>EXEC sp_dropextendedproperty @name = N'Memo', @level0type=N'SCHEMA',@level0name=N'dbo', @level1type=N'TABLE',@level1name=N'LifeInsFormulaPrem', @level2type=N'COLUMN',@level2name=N'CreateTime'</v>
      </c>
      <c r="Q9" s="36" t="str">
        <f t="shared" si="3"/>
        <v>set @OldWording = N'建立時間' set @NewWording = REPLACE(@OldWording,'***',char(13)+char(10)) EXEC sys.sp_addextendedproperty @name=N'MS_Description', @value=@NewWording , @level0type=N'SCHEMA',@level0name=N'dbo', @level1type=N'TABLE',@level1name=N'LifeInsFormulaPrem', @level2type=N'COLUMN',@level2name=N'CreateTime'</v>
      </c>
      <c r="R9" s="32" t="str">
        <f t="shared" si="4"/>
        <v>set @OldWording = N'' set @NewWording = REPLACE(@OldWording,'***',char(13)+char(10)) EXEC sys.sp_addextendedproperty @name=N'Rule', @value=@NewWording , @level0type=N'SCHEMA',@level0name=N'dbo', @level1type=N'TABLE',@level1name=N'LifeInsFormulaPrem', @level2type=N'COLUMN',@level2name=N'CreateTime'</v>
      </c>
      <c r="S9" s="36" t="str">
        <f t="shared" si="5"/>
        <v>set @OldWording = N'' set @NewWording = REPLACE(@OldWording,'***',char(13)+char(10)) EXEC sys.sp_addextendedproperty @name=N'Memo', @value=@NewWording , @level0type=N'SCHEMA',@level0name=N'dbo', @level1type=N'TABLE',@level1name=N'LifeInsFormulaPrem', @level2type=N'COLUMN',@level2name=N'CreateTime'</v>
      </c>
    </row>
    <row r="10" spans="1:21">
      <c r="B10" s="11"/>
      <c r="C10" s="12" t="s">
        <v>68</v>
      </c>
      <c r="D10" s="12" t="s">
        <v>37</v>
      </c>
      <c r="E10" s="11"/>
      <c r="F10" s="13"/>
      <c r="G10" s="12" t="s">
        <v>451</v>
      </c>
      <c r="H10" s="13"/>
      <c r="I10" s="29"/>
      <c r="J10" s="29"/>
      <c r="K10" s="29"/>
      <c r="N10" s="36" t="str">
        <f t="shared" si="0"/>
        <v>EXEC sp_dropextendedproperty @name = N'MS_Description', @level0type=N'SCHEMA',@level0name=N'dbo', @level1type=N'TABLE',@level1name=N'LifeInsFormulaPrem', @level2type=N'COLUMN',@level2name=N'Creator'</v>
      </c>
      <c r="O10" s="36" t="str">
        <f t="shared" si="1"/>
        <v>EXEC sp_dropextendedproperty @name = N'Rule', @level0type=N'SCHEMA',@level0name=N'dbo', @level1type=N'TABLE',@level1name=N'LifeInsFormulaPrem', @level2type=N'COLUMN',@level2name=N'Creator'</v>
      </c>
      <c r="P10" s="36" t="str">
        <f t="shared" si="2"/>
        <v>EXEC sp_dropextendedproperty @name = N'Memo', @level0type=N'SCHEMA',@level0name=N'dbo', @level1type=N'TABLE',@level1name=N'LifeInsFormulaPrem', @level2type=N'COLUMN',@level2name=N'Creator'</v>
      </c>
      <c r="Q10" s="36" t="str">
        <f t="shared" si="3"/>
        <v>set @OldWording = N'建立人員' set @NewWording = REPLACE(@OldWording,'***',char(13)+char(10)) EXEC sys.sp_addextendedproperty @name=N'MS_Description', @value=@NewWording , @level0type=N'SCHEMA',@level0name=N'dbo', @level1type=N'TABLE',@level1name=N'LifeInsFormulaPrem', @level2type=N'COLUMN',@level2name=N'Creator'</v>
      </c>
      <c r="R10" s="32" t="str">
        <f t="shared" si="4"/>
        <v>set @OldWording = N'' set @NewWording = REPLACE(@OldWording,'***',char(13)+char(10)) EXEC sys.sp_addextendedproperty @name=N'Rule', @value=@NewWording , @level0type=N'SCHEMA',@level0name=N'dbo', @level1type=N'TABLE',@level1name=N'LifeInsFormulaPrem', @level2type=N'COLUMN',@level2name=N'Creator'</v>
      </c>
      <c r="S10" s="36" t="str">
        <f t="shared" si="5"/>
        <v>set @OldWording = N'' set @NewWording = REPLACE(@OldWording,'***',char(13)+char(10)) EXEC sys.sp_addextendedproperty @name=N'Memo', @value=@NewWording , @level0type=N'SCHEMA',@level0name=N'dbo', @level1type=N'TABLE',@level1name=N'LifeInsFormulaPrem', @level2type=N'COLUMN',@level2name=N'Creator'</v>
      </c>
    </row>
    <row r="11" spans="1:21">
      <c r="B11" s="11"/>
      <c r="C11" s="12" t="s">
        <v>427</v>
      </c>
      <c r="D11" s="12" t="s">
        <v>11</v>
      </c>
      <c r="E11" s="11" t="s">
        <v>16</v>
      </c>
      <c r="F11" s="13" t="s">
        <v>20</v>
      </c>
      <c r="G11" s="12" t="s">
        <v>452</v>
      </c>
      <c r="H11" s="13"/>
      <c r="I11" s="29"/>
      <c r="J11" s="29"/>
      <c r="K11" s="29"/>
      <c r="N11" s="36" t="str">
        <f t="shared" si="0"/>
        <v>EXEC sp_dropextendedproperty @name = N'MS_Description', @level0type=N'SCHEMA',@level0name=N'dbo', @level1type=N'TABLE',@level1name=N'LifeInsFormulaPrem', @level2type=N'COLUMN',@level2name=N'ModifyTime'</v>
      </c>
      <c r="O11" s="36" t="str">
        <f t="shared" si="1"/>
        <v>EXEC sp_dropextendedproperty @name = N'Rule', @level0type=N'SCHEMA',@level0name=N'dbo', @level1type=N'TABLE',@level1name=N'LifeInsFormulaPrem', @level2type=N'COLUMN',@level2name=N'ModifyTime'</v>
      </c>
      <c r="P11" s="36" t="str">
        <f t="shared" si="2"/>
        <v>EXEC sp_dropextendedproperty @name = N'Memo', @level0type=N'SCHEMA',@level0name=N'dbo', @level1type=N'TABLE',@level1name=N'LifeInsFormulaPrem', @level2type=N'COLUMN',@level2name=N'ModifyTime'</v>
      </c>
      <c r="Q11" s="36" t="str">
        <f t="shared" si="3"/>
        <v>set @OldWording = N'修改時間' set @NewWording = REPLACE(@OldWording,'***',char(13)+char(10)) EXEC sys.sp_addextendedproperty @name=N'MS_Description', @value=@NewWording , @level0type=N'SCHEMA',@level0name=N'dbo', @level1type=N'TABLE',@level1name=N'LifeInsFormulaPrem', @level2type=N'COLUMN',@level2name=N'ModifyTime'</v>
      </c>
      <c r="R11" s="32" t="str">
        <f t="shared" si="4"/>
        <v>set @OldWording = N'' set @NewWording = REPLACE(@OldWording,'***',char(13)+char(10)) EXEC sys.sp_addextendedproperty @name=N'Rule', @value=@NewWording , @level0type=N'SCHEMA',@level0name=N'dbo', @level1type=N'TABLE',@level1name=N'LifeInsFormulaPrem', @level2type=N'COLUMN',@level2name=N'ModifyTime'</v>
      </c>
      <c r="S11" s="36" t="str">
        <f t="shared" si="5"/>
        <v>set @OldWording = N'' set @NewWording = REPLACE(@OldWording,'***',char(13)+char(10)) EXEC sys.sp_addextendedproperty @name=N'Memo', @value=@NewWording , @level0type=N'SCHEMA',@level0name=N'dbo', @level1type=N'TABLE',@level1name=N'LifeInsFormulaPrem', @level2type=N'COLUMN',@level2name=N'ModifyTime'</v>
      </c>
    </row>
    <row r="12" spans="1:21">
      <c r="B12" s="11"/>
      <c r="C12" s="12" t="s">
        <v>70</v>
      </c>
      <c r="D12" s="12" t="s">
        <v>37</v>
      </c>
      <c r="E12" s="11"/>
      <c r="F12" s="13"/>
      <c r="G12" s="12" t="s">
        <v>453</v>
      </c>
      <c r="H12" s="13"/>
      <c r="I12" s="29"/>
      <c r="J12" s="29"/>
      <c r="K12" s="29"/>
      <c r="N12" s="36" t="str">
        <f t="shared" si="0"/>
        <v>EXEC sp_dropextendedproperty @name = N'MS_Description', @level0type=N'SCHEMA',@level0name=N'dbo', @level1type=N'TABLE',@level1name=N'LifeInsFormulaPrem', @level2type=N'COLUMN',@level2name=N'Modifier'</v>
      </c>
      <c r="O12" s="36" t="str">
        <f t="shared" si="1"/>
        <v>EXEC sp_dropextendedproperty @name = N'Rule', @level0type=N'SCHEMA',@level0name=N'dbo', @level1type=N'TABLE',@level1name=N'LifeInsFormulaPrem', @level2type=N'COLUMN',@level2name=N'Modifier'</v>
      </c>
      <c r="P12" s="36" t="str">
        <f t="shared" si="2"/>
        <v>EXEC sp_dropextendedproperty @name = N'Memo', @level0type=N'SCHEMA',@level0name=N'dbo', @level1type=N'TABLE',@level1name=N'LifeInsFormulaPrem', @level2type=N'COLUMN',@level2name=N'Modifier'</v>
      </c>
      <c r="Q12" s="36" t="str">
        <f t="shared" si="3"/>
        <v>set @OldWording = N'修改人員' set @NewWording = REPLACE(@OldWording,'***',char(13)+char(10)) EXEC sys.sp_addextendedproperty @name=N'MS_Description', @value=@NewWording , @level0type=N'SCHEMA',@level0name=N'dbo', @level1type=N'TABLE',@level1name=N'LifeInsFormulaPrem', @level2type=N'COLUMN',@level2name=N'Modifier'</v>
      </c>
      <c r="R12" s="32" t="str">
        <f t="shared" si="4"/>
        <v>set @OldWording = N'' set @NewWording = REPLACE(@OldWording,'***',char(13)+char(10)) EXEC sys.sp_addextendedproperty @name=N'Rule', @value=@NewWording , @level0type=N'SCHEMA',@level0name=N'dbo', @level1type=N'TABLE',@level1name=N'LifeInsFormulaPrem', @level2type=N'COLUMN',@level2name=N'Modifier'</v>
      </c>
      <c r="S12" s="36" t="str">
        <f t="shared" si="5"/>
        <v>set @OldWording = N'' set @NewWording = REPLACE(@OldWording,'***',char(13)+char(10)) EXEC sys.sp_addextendedproperty @name=N'Memo', @value=@NewWording , @level0type=N'SCHEMA',@level0name=N'dbo', @level1type=N'TABLE',@level1name=N'LifeInsFormulaPrem', @level2type=N'COLUMN',@level2name=N'Modifier'</v>
      </c>
    </row>
    <row r="13" spans="1:21">
      <c r="B13" s="11"/>
      <c r="C13" s="12"/>
      <c r="D13" s="12"/>
      <c r="E13" s="11"/>
      <c r="F13" s="13"/>
      <c r="G13" s="12"/>
      <c r="H13" s="13"/>
      <c r="I13" s="29"/>
      <c r="J13" s="29"/>
      <c r="K13" s="29"/>
    </row>
    <row r="14" spans="1:21">
      <c r="B14" s="11"/>
      <c r="C14" s="12"/>
      <c r="D14" s="12"/>
      <c r="E14" s="11"/>
      <c r="F14" s="13"/>
      <c r="G14" s="12"/>
      <c r="H14" s="13"/>
      <c r="I14" s="29"/>
      <c r="J14" s="29"/>
      <c r="K14" s="29"/>
    </row>
    <row r="15" spans="1:21">
      <c r="B15" s="11"/>
      <c r="C15" s="12"/>
      <c r="D15" s="12"/>
      <c r="E15" s="11"/>
      <c r="F15" s="13"/>
      <c r="G15" s="12"/>
      <c r="H15" s="13"/>
      <c r="I15" s="29"/>
      <c r="J15" s="29"/>
      <c r="K15" s="29"/>
    </row>
    <row r="16" spans="1:21">
      <c r="B16" s="11"/>
      <c r="C16" s="12"/>
      <c r="D16" s="12"/>
      <c r="E16" s="11"/>
      <c r="F16" s="13"/>
      <c r="G16" s="12"/>
      <c r="H16" s="13"/>
      <c r="I16" s="29"/>
      <c r="J16" s="29"/>
      <c r="K16" s="29"/>
    </row>
    <row r="17" spans="2:11">
      <c r="B17" s="11"/>
      <c r="C17" s="12"/>
      <c r="D17" s="12"/>
      <c r="E17" s="11"/>
      <c r="F17" s="13"/>
      <c r="G17" s="12"/>
      <c r="H17" s="13"/>
      <c r="I17" s="29"/>
      <c r="J17" s="29"/>
      <c r="K17" s="29"/>
    </row>
  </sheetData>
  <phoneticPr fontId="3" type="noConversion"/>
  <hyperlinks>
    <hyperlink ref="A1" location="目錄!A1" display="回到目錄"/>
  </hyperlinks>
  <pageMargins left="0.7" right="0.7" top="0.75" bottom="0.75" header="0.3" footer="0.3"/>
  <pageSetup paperSize="9" orientation="portrait" horizontalDpi="300" verticalDpi="30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9"/>
  <dimension ref="A1:M70"/>
  <sheetViews>
    <sheetView workbookViewId="0">
      <pane ySplit="1" topLeftCell="A2" activePane="bottomLeft" state="frozen"/>
      <selection pane="bottomLeft"/>
    </sheetView>
  </sheetViews>
  <sheetFormatPr defaultColWidth="11.1796875" defaultRowHeight="13.8"/>
  <cols>
    <col min="1" max="1" width="7.453125" style="10" bestFit="1" customWidth="1"/>
    <col min="2" max="2" width="4.36328125" style="14" bestFit="1" customWidth="1"/>
    <col min="3" max="3" width="27.90625" style="15" bestFit="1" customWidth="1"/>
    <col min="4" max="4" width="10.08984375" style="15" bestFit="1" customWidth="1"/>
    <col min="5" max="5" width="7.54296875" style="14" bestFit="1" customWidth="1"/>
    <col min="6" max="6" width="10" style="10" bestFit="1" customWidth="1"/>
    <col min="7" max="7" width="57.6328125" style="10" bestFit="1" customWidth="1"/>
    <col min="8" max="8" width="20.453125" style="15" customWidth="1"/>
    <col min="9" max="9" width="7.453125" style="15" bestFit="1" customWidth="1"/>
    <col min="10" max="13" width="3.6328125" style="14" bestFit="1" customWidth="1"/>
    <col min="14" max="16384" width="11.1796875" style="10"/>
  </cols>
  <sheetData>
    <row r="1" spans="1:13" s="17" customFormat="1">
      <c r="A1" s="23" t="s">
        <v>36</v>
      </c>
      <c r="B1" s="5" t="s">
        <v>5</v>
      </c>
      <c r="C1" s="20" t="s">
        <v>3</v>
      </c>
      <c r="D1" s="20" t="s">
        <v>4</v>
      </c>
      <c r="E1" s="7" t="s">
        <v>6</v>
      </c>
      <c r="F1" s="8" t="s">
        <v>13</v>
      </c>
      <c r="G1" s="8" t="s">
        <v>7</v>
      </c>
      <c r="H1" s="9" t="s">
        <v>8</v>
      </c>
      <c r="I1" s="9" t="s">
        <v>105</v>
      </c>
      <c r="J1" s="33"/>
      <c r="K1" s="33"/>
      <c r="L1" s="33"/>
      <c r="M1" s="33"/>
    </row>
    <row r="2" spans="1:13">
      <c r="B2" s="14" t="s">
        <v>14</v>
      </c>
      <c r="C2" s="13" t="s">
        <v>80</v>
      </c>
      <c r="D2" s="18" t="s">
        <v>24</v>
      </c>
      <c r="E2" s="11"/>
      <c r="F2" s="12"/>
      <c r="G2" s="74" t="s">
        <v>81</v>
      </c>
    </row>
    <row r="3" spans="1:13">
      <c r="C3" s="13" t="s">
        <v>3777</v>
      </c>
      <c r="D3" s="18" t="s">
        <v>3773</v>
      </c>
      <c r="E3" s="11" t="s">
        <v>3774</v>
      </c>
      <c r="F3" s="12"/>
      <c r="G3" s="12" t="s">
        <v>3819</v>
      </c>
      <c r="I3" s="24"/>
    </row>
    <row r="4" spans="1:13">
      <c r="C4" s="13" t="s">
        <v>3778</v>
      </c>
      <c r="D4" s="18" t="s">
        <v>3773</v>
      </c>
      <c r="E4" s="11" t="s">
        <v>3774</v>
      </c>
      <c r="F4" s="12"/>
      <c r="G4" s="12" t="s">
        <v>3820</v>
      </c>
      <c r="H4" s="24"/>
      <c r="I4" s="24"/>
    </row>
    <row r="5" spans="1:13">
      <c r="C5" s="15" t="s">
        <v>4616</v>
      </c>
      <c r="D5" s="18" t="s">
        <v>3773</v>
      </c>
      <c r="E5" s="11" t="s">
        <v>3774</v>
      </c>
      <c r="G5" s="10" t="s">
        <v>4621</v>
      </c>
      <c r="H5" s="24"/>
      <c r="I5" s="24"/>
    </row>
    <row r="6" spans="1:13">
      <c r="C6" s="12" t="s">
        <v>3779</v>
      </c>
      <c r="D6" s="18" t="s">
        <v>3773</v>
      </c>
      <c r="E6" s="11" t="s">
        <v>3774</v>
      </c>
      <c r="F6" s="13"/>
      <c r="G6" s="12" t="s">
        <v>3821</v>
      </c>
    </row>
    <row r="7" spans="1:13">
      <c r="C7" s="12" t="s">
        <v>3780</v>
      </c>
      <c r="D7" s="18" t="s">
        <v>3773</v>
      </c>
      <c r="E7" s="11" t="s">
        <v>3774</v>
      </c>
      <c r="F7" s="13"/>
      <c r="G7" s="12" t="s">
        <v>3822</v>
      </c>
    </row>
    <row r="8" spans="1:13">
      <c r="C8" s="15" t="s">
        <v>3781</v>
      </c>
      <c r="D8" s="18" t="s">
        <v>3773</v>
      </c>
      <c r="E8" s="11" t="s">
        <v>3774</v>
      </c>
      <c r="G8" s="10" t="s">
        <v>3823</v>
      </c>
    </row>
    <row r="9" spans="1:13">
      <c r="C9" s="15" t="s">
        <v>3782</v>
      </c>
      <c r="D9" s="18" t="s">
        <v>3773</v>
      </c>
      <c r="E9" s="11" t="s">
        <v>3774</v>
      </c>
      <c r="G9" s="10" t="s">
        <v>3824</v>
      </c>
    </row>
    <row r="10" spans="1:13">
      <c r="C10" s="15" t="s">
        <v>3783</v>
      </c>
      <c r="D10" s="18" t="s">
        <v>3773</v>
      </c>
      <c r="E10" s="11" t="s">
        <v>3774</v>
      </c>
      <c r="G10" s="10" t="s">
        <v>4641</v>
      </c>
    </row>
    <row r="11" spans="1:13">
      <c r="C11" s="15" t="s">
        <v>3784</v>
      </c>
      <c r="D11" s="18" t="s">
        <v>3773</v>
      </c>
      <c r="E11" s="11" t="s">
        <v>3774</v>
      </c>
      <c r="G11" s="10" t="s">
        <v>4642</v>
      </c>
    </row>
    <row r="12" spans="1:13">
      <c r="C12" s="15" t="s">
        <v>4643</v>
      </c>
      <c r="D12" s="18" t="s">
        <v>3773</v>
      </c>
      <c r="E12" s="11" t="s">
        <v>3774</v>
      </c>
      <c r="G12" s="10" t="s">
        <v>4650</v>
      </c>
    </row>
    <row r="13" spans="1:13">
      <c r="C13" s="15" t="s">
        <v>4644</v>
      </c>
      <c r="D13" s="18" t="s">
        <v>3773</v>
      </c>
      <c r="E13" s="11" t="s">
        <v>3774</v>
      </c>
      <c r="G13" s="10" t="s">
        <v>4651</v>
      </c>
    </row>
    <row r="14" spans="1:13">
      <c r="C14" s="15" t="s">
        <v>3785</v>
      </c>
      <c r="D14" s="18" t="s">
        <v>3773</v>
      </c>
      <c r="E14" s="11" t="s">
        <v>3774</v>
      </c>
      <c r="G14" s="10" t="s">
        <v>3825</v>
      </c>
    </row>
    <row r="15" spans="1:13">
      <c r="C15" s="15" t="s">
        <v>3786</v>
      </c>
      <c r="D15" s="18" t="s">
        <v>3773</v>
      </c>
      <c r="E15" s="11" t="s">
        <v>3774</v>
      </c>
      <c r="G15" s="10" t="s">
        <v>4652</v>
      </c>
    </row>
    <row r="16" spans="1:13">
      <c r="C16" s="15" t="s">
        <v>3787</v>
      </c>
      <c r="D16" s="18" t="s">
        <v>3773</v>
      </c>
      <c r="E16" s="11" t="s">
        <v>3774</v>
      </c>
      <c r="G16" s="10" t="s">
        <v>3826</v>
      </c>
    </row>
    <row r="17" spans="3:7">
      <c r="C17" s="15" t="s">
        <v>3788</v>
      </c>
      <c r="D17" s="18" t="s">
        <v>3773</v>
      </c>
      <c r="E17" s="11" t="s">
        <v>3774</v>
      </c>
      <c r="G17" s="10" t="s">
        <v>3827</v>
      </c>
    </row>
    <row r="18" spans="3:7">
      <c r="C18" s="15" t="s">
        <v>4962</v>
      </c>
      <c r="D18" s="18" t="s">
        <v>373</v>
      </c>
      <c r="E18" s="11" t="s">
        <v>91</v>
      </c>
      <c r="G18" s="10" t="s">
        <v>4964</v>
      </c>
    </row>
    <row r="19" spans="3:7">
      <c r="C19" s="15" t="s">
        <v>4963</v>
      </c>
      <c r="D19" s="18" t="s">
        <v>373</v>
      </c>
      <c r="E19" s="11" t="s">
        <v>91</v>
      </c>
      <c r="G19" s="10" t="s">
        <v>4965</v>
      </c>
    </row>
    <row r="20" spans="3:7">
      <c r="C20" s="15" t="s">
        <v>3789</v>
      </c>
      <c r="D20" s="18" t="s">
        <v>3773</v>
      </c>
      <c r="E20" s="11" t="s">
        <v>3774</v>
      </c>
      <c r="G20" s="10" t="s">
        <v>3828</v>
      </c>
    </row>
    <row r="21" spans="3:7">
      <c r="C21" s="15" t="s">
        <v>3790</v>
      </c>
      <c r="D21" s="18" t="s">
        <v>3773</v>
      </c>
      <c r="E21" s="11" t="s">
        <v>3774</v>
      </c>
      <c r="G21" s="10" t="s">
        <v>3829</v>
      </c>
    </row>
    <row r="22" spans="3:7">
      <c r="C22" s="15" t="s">
        <v>3791</v>
      </c>
      <c r="D22" s="18" t="s">
        <v>3773</v>
      </c>
      <c r="E22" s="11" t="s">
        <v>3774</v>
      </c>
      <c r="G22" s="10" t="s">
        <v>3830</v>
      </c>
    </row>
    <row r="23" spans="3:7">
      <c r="C23" s="15" t="s">
        <v>3792</v>
      </c>
      <c r="D23" s="18" t="s">
        <v>3773</v>
      </c>
      <c r="E23" s="11" t="s">
        <v>3774</v>
      </c>
      <c r="G23" s="10" t="s">
        <v>3831</v>
      </c>
    </row>
    <row r="24" spans="3:7">
      <c r="C24" s="15" t="s">
        <v>3793</v>
      </c>
      <c r="D24" s="18" t="s">
        <v>3773</v>
      </c>
      <c r="E24" s="11" t="s">
        <v>3774</v>
      </c>
      <c r="G24" s="10" t="s">
        <v>3832</v>
      </c>
    </row>
    <row r="25" spans="3:7">
      <c r="C25" s="15" t="s">
        <v>3794</v>
      </c>
      <c r="D25" s="18" t="s">
        <v>3773</v>
      </c>
      <c r="E25" s="11" t="s">
        <v>3774</v>
      </c>
      <c r="G25" s="10" t="s">
        <v>3833</v>
      </c>
    </row>
    <row r="26" spans="3:7">
      <c r="C26" s="15" t="s">
        <v>4658</v>
      </c>
      <c r="D26" s="18" t="s">
        <v>3773</v>
      </c>
      <c r="E26" s="11" t="s">
        <v>3774</v>
      </c>
      <c r="G26" s="10" t="s">
        <v>3834</v>
      </c>
    </row>
    <row r="27" spans="3:7">
      <c r="C27" s="15" t="s">
        <v>3795</v>
      </c>
      <c r="D27" s="18" t="s">
        <v>3773</v>
      </c>
      <c r="E27" s="11" t="s">
        <v>3774</v>
      </c>
      <c r="G27" s="10" t="s">
        <v>3835</v>
      </c>
    </row>
    <row r="28" spans="3:7">
      <c r="C28" s="15" t="s">
        <v>3796</v>
      </c>
      <c r="D28" s="18" t="s">
        <v>45</v>
      </c>
      <c r="E28" s="11" t="s">
        <v>16</v>
      </c>
      <c r="G28" s="10" t="s">
        <v>3836</v>
      </c>
    </row>
    <row r="29" spans="3:7">
      <c r="C29" s="15" t="s">
        <v>3797</v>
      </c>
      <c r="D29" s="18" t="s">
        <v>3773</v>
      </c>
      <c r="E29" s="11" t="s">
        <v>3774</v>
      </c>
      <c r="G29" s="10" t="s">
        <v>3837</v>
      </c>
    </row>
    <row r="30" spans="3:7">
      <c r="C30" s="15" t="s">
        <v>4617</v>
      </c>
      <c r="D30" s="18" t="s">
        <v>3773</v>
      </c>
      <c r="E30" s="11" t="s">
        <v>3774</v>
      </c>
      <c r="G30" s="26" t="s">
        <v>4622</v>
      </c>
    </row>
    <row r="31" spans="3:7">
      <c r="C31" s="15" t="s">
        <v>3798</v>
      </c>
      <c r="D31" s="18" t="s">
        <v>3773</v>
      </c>
      <c r="E31" s="11" t="s">
        <v>3774</v>
      </c>
      <c r="G31" s="10" t="s">
        <v>4623</v>
      </c>
    </row>
    <row r="32" spans="3:7">
      <c r="C32" s="15" t="s">
        <v>4618</v>
      </c>
      <c r="D32" s="18" t="s">
        <v>3773</v>
      </c>
      <c r="E32" s="11" t="s">
        <v>3774</v>
      </c>
      <c r="G32" s="26" t="s">
        <v>4624</v>
      </c>
    </row>
    <row r="33" spans="3:7">
      <c r="C33" s="15" t="s">
        <v>3799</v>
      </c>
      <c r="D33" s="18" t="s">
        <v>3773</v>
      </c>
      <c r="E33" s="11" t="s">
        <v>3774</v>
      </c>
      <c r="G33" s="10" t="s">
        <v>4625</v>
      </c>
    </row>
    <row r="34" spans="3:7">
      <c r="C34" s="15" t="s">
        <v>3800</v>
      </c>
      <c r="D34" s="18" t="s">
        <v>3773</v>
      </c>
      <c r="E34" s="11" t="s">
        <v>3774</v>
      </c>
      <c r="G34" s="10" t="s">
        <v>4626</v>
      </c>
    </row>
    <row r="35" spans="3:7">
      <c r="C35" s="15" t="s">
        <v>4659</v>
      </c>
      <c r="D35" s="18" t="s">
        <v>3773</v>
      </c>
      <c r="E35" s="11" t="s">
        <v>3774</v>
      </c>
      <c r="G35" s="10" t="s">
        <v>4627</v>
      </c>
    </row>
    <row r="36" spans="3:7">
      <c r="C36" s="15" t="s">
        <v>4660</v>
      </c>
      <c r="D36" s="18" t="s">
        <v>3773</v>
      </c>
      <c r="E36" s="11" t="s">
        <v>3774</v>
      </c>
      <c r="G36" s="10" t="s">
        <v>4628</v>
      </c>
    </row>
    <row r="37" spans="3:7">
      <c r="C37" s="15" t="s">
        <v>4619</v>
      </c>
      <c r="D37" s="18" t="s">
        <v>3773</v>
      </c>
      <c r="E37" s="11" t="s">
        <v>3774</v>
      </c>
      <c r="G37" s="10" t="s">
        <v>4629</v>
      </c>
    </row>
    <row r="38" spans="3:7">
      <c r="C38" s="15" t="s">
        <v>4661</v>
      </c>
      <c r="D38" s="18" t="s">
        <v>3773</v>
      </c>
      <c r="E38" s="11" t="s">
        <v>3774</v>
      </c>
      <c r="G38" s="10" t="s">
        <v>4630</v>
      </c>
    </row>
    <row r="39" spans="3:7">
      <c r="C39" s="15" t="s">
        <v>3801</v>
      </c>
      <c r="D39" s="18" t="s">
        <v>3773</v>
      </c>
      <c r="E39" s="11" t="s">
        <v>3774</v>
      </c>
      <c r="G39" s="10" t="s">
        <v>4631</v>
      </c>
    </row>
    <row r="40" spans="3:7">
      <c r="C40" s="15" t="s">
        <v>3802</v>
      </c>
      <c r="D40" s="18" t="s">
        <v>3773</v>
      </c>
      <c r="E40" s="11" t="s">
        <v>3774</v>
      </c>
      <c r="G40" s="10" t="s">
        <v>4632</v>
      </c>
    </row>
    <row r="41" spans="3:7">
      <c r="C41" s="15" t="s">
        <v>3803</v>
      </c>
      <c r="D41" s="18" t="s">
        <v>3773</v>
      </c>
      <c r="E41" s="11" t="s">
        <v>3774</v>
      </c>
      <c r="G41" s="10" t="s">
        <v>4633</v>
      </c>
    </row>
    <row r="42" spans="3:7">
      <c r="C42" s="15" t="s">
        <v>4645</v>
      </c>
      <c r="D42" s="18" t="s">
        <v>3773</v>
      </c>
      <c r="E42" s="11" t="s">
        <v>3774</v>
      </c>
      <c r="G42" s="10" t="s">
        <v>4653</v>
      </c>
    </row>
    <row r="43" spans="3:7">
      <c r="C43" s="15" t="s">
        <v>4646</v>
      </c>
      <c r="D43" s="18" t="s">
        <v>3773</v>
      </c>
      <c r="E43" s="11" t="s">
        <v>3774</v>
      </c>
      <c r="G43" s="10" t="s">
        <v>4654</v>
      </c>
    </row>
    <row r="44" spans="3:7">
      <c r="C44" s="15" t="s">
        <v>3804</v>
      </c>
      <c r="D44" s="18" t="s">
        <v>3773</v>
      </c>
      <c r="E44" s="11" t="s">
        <v>3774</v>
      </c>
      <c r="G44" s="10" t="s">
        <v>4634</v>
      </c>
    </row>
    <row r="45" spans="3:7">
      <c r="C45" s="15" t="s">
        <v>3805</v>
      </c>
      <c r="D45" s="18" t="s">
        <v>3773</v>
      </c>
      <c r="E45" s="11" t="s">
        <v>3774</v>
      </c>
      <c r="G45" s="10" t="s">
        <v>4635</v>
      </c>
    </row>
    <row r="46" spans="3:7">
      <c r="C46" s="15" t="s">
        <v>3806</v>
      </c>
      <c r="D46" s="18" t="s">
        <v>3773</v>
      </c>
      <c r="E46" s="11" t="s">
        <v>3774</v>
      </c>
      <c r="G46" s="10" t="s">
        <v>4636</v>
      </c>
    </row>
    <row r="47" spans="3:7">
      <c r="C47" s="15" t="s">
        <v>4662</v>
      </c>
      <c r="D47" s="18" t="s">
        <v>3773</v>
      </c>
      <c r="E47" s="11" t="s">
        <v>3774</v>
      </c>
      <c r="G47" s="10" t="s">
        <v>4637</v>
      </c>
    </row>
    <row r="48" spans="3:7">
      <c r="C48" s="15" t="s">
        <v>4663</v>
      </c>
      <c r="D48" s="18" t="s">
        <v>3773</v>
      </c>
      <c r="E48" s="11" t="s">
        <v>3774</v>
      </c>
      <c r="G48" s="10" t="s">
        <v>3838</v>
      </c>
    </row>
    <row r="49" spans="3:7">
      <c r="C49" s="15" t="s">
        <v>3807</v>
      </c>
      <c r="D49" s="18" t="s">
        <v>3773</v>
      </c>
      <c r="E49" s="11" t="s">
        <v>3774</v>
      </c>
      <c r="G49" s="10" t="s">
        <v>3839</v>
      </c>
    </row>
    <row r="50" spans="3:7">
      <c r="C50" s="15" t="s">
        <v>3808</v>
      </c>
      <c r="D50" s="18" t="s">
        <v>3773</v>
      </c>
      <c r="E50" s="11" t="s">
        <v>3774</v>
      </c>
      <c r="G50" s="10" t="s">
        <v>3840</v>
      </c>
    </row>
    <row r="51" spans="3:7">
      <c r="C51" s="15" t="s">
        <v>3809</v>
      </c>
      <c r="D51" s="18" t="s">
        <v>3773</v>
      </c>
      <c r="E51" s="11" t="s">
        <v>3774</v>
      </c>
      <c r="G51" s="10" t="s">
        <v>3841</v>
      </c>
    </row>
    <row r="52" spans="3:7">
      <c r="C52" s="15" t="s">
        <v>4647</v>
      </c>
      <c r="D52" s="18" t="s">
        <v>3773</v>
      </c>
      <c r="E52" s="11" t="s">
        <v>3774</v>
      </c>
      <c r="G52" s="10" t="s">
        <v>4655</v>
      </c>
    </row>
    <row r="53" spans="3:7">
      <c r="C53" s="15" t="s">
        <v>3810</v>
      </c>
      <c r="D53" s="18" t="s">
        <v>3773</v>
      </c>
      <c r="E53" s="11" t="s">
        <v>3774</v>
      </c>
      <c r="G53" s="10" t="s">
        <v>3842</v>
      </c>
    </row>
    <row r="54" spans="3:7">
      <c r="C54" s="15" t="s">
        <v>3812</v>
      </c>
      <c r="D54" s="18" t="s">
        <v>3773</v>
      </c>
      <c r="E54" s="11" t="s">
        <v>3774</v>
      </c>
      <c r="G54" s="10" t="s">
        <v>3844</v>
      </c>
    </row>
    <row r="55" spans="3:7">
      <c r="C55" s="15" t="s">
        <v>4648</v>
      </c>
      <c r="D55" s="18" t="s">
        <v>3773</v>
      </c>
      <c r="E55" s="11" t="s">
        <v>3774</v>
      </c>
      <c r="G55" s="10" t="s">
        <v>4656</v>
      </c>
    </row>
    <row r="56" spans="3:7">
      <c r="C56" s="12" t="s">
        <v>3811</v>
      </c>
      <c r="D56" s="18" t="s">
        <v>3773</v>
      </c>
      <c r="E56" s="11" t="s">
        <v>3774</v>
      </c>
      <c r="F56" s="13"/>
      <c r="G56" s="12" t="s">
        <v>3843</v>
      </c>
    </row>
    <row r="57" spans="3:7">
      <c r="C57" s="12" t="s">
        <v>3813</v>
      </c>
      <c r="D57" s="18" t="s">
        <v>45</v>
      </c>
      <c r="E57" s="11" t="s">
        <v>16</v>
      </c>
      <c r="F57" s="13"/>
      <c r="G57" s="12" t="s">
        <v>3845</v>
      </c>
    </row>
    <row r="58" spans="3:7">
      <c r="C58" s="12" t="s">
        <v>3814</v>
      </c>
      <c r="D58" s="18" t="s">
        <v>45</v>
      </c>
      <c r="E58" s="11" t="s">
        <v>16</v>
      </c>
      <c r="F58" s="13"/>
      <c r="G58" s="12" t="s">
        <v>3846</v>
      </c>
    </row>
    <row r="59" spans="3:7">
      <c r="C59" s="12" t="s">
        <v>4664</v>
      </c>
      <c r="D59" s="18" t="s">
        <v>45</v>
      </c>
      <c r="E59" s="11" t="s">
        <v>16</v>
      </c>
      <c r="F59" s="13"/>
      <c r="G59" s="12" t="s">
        <v>3847</v>
      </c>
    </row>
    <row r="60" spans="3:7">
      <c r="C60" s="12" t="s">
        <v>4620</v>
      </c>
      <c r="D60" s="18" t="s">
        <v>23</v>
      </c>
      <c r="E60" s="11" t="s">
        <v>16</v>
      </c>
      <c r="F60" s="13"/>
      <c r="G60" s="12" t="s">
        <v>3848</v>
      </c>
    </row>
    <row r="61" spans="3:7">
      <c r="C61" s="12" t="s">
        <v>3815</v>
      </c>
      <c r="D61" s="18" t="s">
        <v>23</v>
      </c>
      <c r="E61" s="11" t="s">
        <v>16</v>
      </c>
      <c r="F61" s="13"/>
      <c r="G61" s="12" t="s">
        <v>3849</v>
      </c>
    </row>
    <row r="62" spans="3:7">
      <c r="C62" s="12" t="s">
        <v>3816</v>
      </c>
      <c r="D62" s="18" t="s">
        <v>23</v>
      </c>
      <c r="E62" s="11" t="s">
        <v>16</v>
      </c>
      <c r="F62" s="13"/>
      <c r="G62" s="12" t="s">
        <v>3850</v>
      </c>
    </row>
    <row r="63" spans="3:7">
      <c r="C63" s="12" t="s">
        <v>4649</v>
      </c>
      <c r="D63" s="18" t="s">
        <v>23</v>
      </c>
      <c r="E63" s="11" t="s">
        <v>16</v>
      </c>
      <c r="F63" s="13"/>
      <c r="G63" s="12" t="s">
        <v>4657</v>
      </c>
    </row>
    <row r="64" spans="3:7">
      <c r="C64" s="12" t="s">
        <v>3817</v>
      </c>
      <c r="D64" s="18" t="s">
        <v>23</v>
      </c>
      <c r="E64" s="11" t="s">
        <v>16</v>
      </c>
      <c r="F64" s="13"/>
      <c r="G64" s="12" t="s">
        <v>4701</v>
      </c>
    </row>
    <row r="65" spans="3:7">
      <c r="C65" s="12" t="s">
        <v>3818</v>
      </c>
      <c r="D65" s="18" t="s">
        <v>23</v>
      </c>
      <c r="E65" s="11" t="s">
        <v>16</v>
      </c>
      <c r="F65" s="13"/>
      <c r="G65" s="12" t="s">
        <v>3851</v>
      </c>
    </row>
    <row r="66" spans="3:7">
      <c r="C66" s="12" t="s">
        <v>4700</v>
      </c>
      <c r="D66" s="18" t="s">
        <v>23</v>
      </c>
      <c r="E66" s="11" t="s">
        <v>16</v>
      </c>
      <c r="F66" s="13"/>
      <c r="G66" s="12" t="s">
        <v>4702</v>
      </c>
    </row>
    <row r="67" spans="3:7">
      <c r="C67" s="12" t="s">
        <v>69</v>
      </c>
      <c r="D67" s="12" t="s">
        <v>454</v>
      </c>
      <c r="E67" s="11" t="s">
        <v>16</v>
      </c>
      <c r="F67" s="13" t="s">
        <v>20</v>
      </c>
      <c r="G67" s="12" t="s">
        <v>450</v>
      </c>
    </row>
    <row r="68" spans="3:7">
      <c r="C68" s="12" t="s">
        <v>68</v>
      </c>
      <c r="D68" s="12" t="s">
        <v>37</v>
      </c>
      <c r="E68" s="11"/>
      <c r="F68" s="13"/>
      <c r="G68" s="12" t="s">
        <v>451</v>
      </c>
    </row>
    <row r="69" spans="3:7">
      <c r="C69" s="12" t="s">
        <v>427</v>
      </c>
      <c r="D69" s="12" t="s">
        <v>11</v>
      </c>
      <c r="E69" s="11" t="s">
        <v>16</v>
      </c>
      <c r="F69" s="13" t="s">
        <v>20</v>
      </c>
      <c r="G69" s="12" t="s">
        <v>452</v>
      </c>
    </row>
    <row r="70" spans="3:7">
      <c r="C70" s="12" t="s">
        <v>70</v>
      </c>
      <c r="D70" s="12" t="s">
        <v>37</v>
      </c>
      <c r="E70" s="11"/>
      <c r="F70" s="13"/>
      <c r="G70" s="12" t="s">
        <v>453</v>
      </c>
    </row>
  </sheetData>
  <phoneticPr fontId="3" type="noConversion"/>
  <hyperlinks>
    <hyperlink ref="A1" location="目錄!A1" display="回到目錄"/>
  </hyperlinks>
  <pageMargins left="0.7" right="0.7" top="0.75" bottom="0.75" header="0.3" footer="0.3"/>
  <pageSetup paperSize="9" orientation="portrait" horizontalDpi="300" verticalDpi="30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2"/>
  <sheetViews>
    <sheetView workbookViewId="0"/>
  </sheetViews>
  <sheetFormatPr defaultColWidth="11.1796875" defaultRowHeight="13.8"/>
  <cols>
    <col min="1" max="1" width="7.453125" style="10" bestFit="1" customWidth="1"/>
    <col min="2" max="2" width="4.36328125" style="10" bestFit="1" customWidth="1"/>
    <col min="3" max="3" width="21" style="10" bestFit="1" customWidth="1"/>
    <col min="4" max="4" width="11" style="10" bestFit="1" customWidth="1"/>
    <col min="5" max="5" width="7.54296875" style="14" bestFit="1" customWidth="1"/>
    <col min="6" max="6" width="10" style="15" bestFit="1" customWidth="1"/>
    <col min="7" max="7" width="20.6328125" style="10" bestFit="1" customWidth="1"/>
    <col min="8" max="8" width="13.6328125" style="10" customWidth="1"/>
    <col min="9" max="9" width="14.54296875" style="10" bestFit="1" customWidth="1"/>
    <col min="10" max="10" width="4.6328125" style="10" customWidth="1"/>
    <col min="11" max="11" width="3.26953125" style="15" customWidth="1"/>
    <col min="12" max="12" width="3.6328125" style="14" bestFit="1" customWidth="1"/>
    <col min="13" max="13" width="13" style="14" bestFit="1" customWidth="1"/>
    <col min="14" max="15" width="3.6328125" style="14" customWidth="1"/>
    <col min="16" max="21" width="3.6328125" style="14" bestFit="1" customWidth="1"/>
    <col min="22" max="22" width="3.6328125" style="10" bestFit="1" customWidth="1"/>
    <col min="23" max="28" width="5.36328125" style="14" bestFit="1" customWidth="1"/>
    <col min="29" max="34" width="5.36328125" style="10" bestFit="1" customWidth="1"/>
    <col min="35" max="16384" width="11.1796875" style="10"/>
  </cols>
  <sheetData>
    <row r="1" spans="1:34">
      <c r="A1" s="23" t="s">
        <v>36</v>
      </c>
      <c r="B1" s="5" t="s">
        <v>5</v>
      </c>
      <c r="C1" s="6" t="s">
        <v>3</v>
      </c>
      <c r="D1" s="6" t="s">
        <v>4</v>
      </c>
      <c r="E1" s="7" t="s">
        <v>6</v>
      </c>
      <c r="F1" s="9" t="s">
        <v>13</v>
      </c>
      <c r="G1" s="9" t="s">
        <v>7</v>
      </c>
      <c r="H1" s="9" t="s">
        <v>8</v>
      </c>
      <c r="I1" s="9" t="s">
        <v>139</v>
      </c>
      <c r="L1" s="72" t="s">
        <v>240</v>
      </c>
      <c r="M1" s="72" t="s">
        <v>4806</v>
      </c>
      <c r="N1" s="72" t="s">
        <v>470</v>
      </c>
      <c r="O1" s="72" t="s">
        <v>471</v>
      </c>
      <c r="P1" s="72" t="s">
        <v>472</v>
      </c>
      <c r="Q1" s="72" t="s">
        <v>473</v>
      </c>
      <c r="R1" s="72" t="s">
        <v>474</v>
      </c>
      <c r="S1" s="73" t="s">
        <v>475</v>
      </c>
    </row>
    <row r="2" spans="1:34">
      <c r="B2" s="14" t="s">
        <v>14</v>
      </c>
      <c r="C2" s="13" t="s">
        <v>80</v>
      </c>
      <c r="D2" s="18" t="s">
        <v>24</v>
      </c>
      <c r="E2" s="11"/>
      <c r="F2" s="12"/>
      <c r="G2" s="74" t="s">
        <v>81</v>
      </c>
      <c r="L2" s="36"/>
      <c r="M2" s="34"/>
      <c r="N2" s="36" t="str">
        <f>"EXEC sp_dropextendedproperty @name = N'MS_Description', @level0type=N'SCHEMA',@level0name=N'"&amp;$L$1&amp;"', @level1type=N'TABLE',@level1name=N'"&amp;$M$1&amp;"', @level2type=N'COLUMN',@level2name=N'"&amp;$C2&amp;"'"</f>
        <v>EXEC sp_dropextendedproperty @name = N'MS_Description', @level0type=N'SCHEMA',@level0name=N'dbo', @level1type=N'TABLE',@level1name=N'LifeInsCalcTypeBenefitInv', @level2type=N'COLUMN',@level2name=N'PlanCode'</v>
      </c>
      <c r="O2" s="36" t="str">
        <f>"EXEC sp_dropextendedproperty @name = N'Rule', @level0type=N'SCHEMA',@level0name=N'"&amp;$L$1&amp;"', @level1type=N'TABLE',@level1name=N'"&amp;$M$1&amp;"', @level2type=N'COLUMN',@level2name=N'"&amp;$C2&amp;"'"</f>
        <v>EXEC sp_dropextendedproperty @name = N'Rule', @level0type=N'SCHEMA',@level0name=N'dbo', @level1type=N'TABLE',@level1name=N'LifeInsCalcTypeBenefitInv', @level2type=N'COLUMN',@level2name=N'PlanCode'</v>
      </c>
      <c r="P2" s="36" t="str">
        <f>"EXEC sp_dropextendedproperty @name = N'Memo', @level0type=N'SCHEMA',@level0name=N'"&amp;$L$1&amp;"', @level1type=N'TABLE',@level1name=N'"&amp;$M$1&amp;"', @level2type=N'COLUMN',@level2name=N'"&amp;$C2&amp;"'"</f>
        <v>EXEC sp_dropextendedproperty @name = N'Memo', @level0type=N'SCHEMA',@level0name=N'dbo', @level1type=N'TABLE',@level1name=N'LifeInsCalcTypeBenefitInv', @level2type=N'COLUMN',@level2name=N'PlanCode'</v>
      </c>
      <c r="Q2" s="36" t="str">
        <f>"set @OldWording = N'"&amp;SUBSTITUTE($G2,CHAR(10),"")&amp;"'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@level2type=N'COLUMN',@level2name=N'"&amp;$C2&amp;"'"</f>
        <v>set @OldWording = N'險種代碼' set @NewWording = REPLACE(@OldWording,'***',char(13)+char(10)) EXEC sys.sp_addextendedproperty @name=N'MS_Description', @value=@NewWording , @level0type=N'SCHEMA',@level0name=N'dbo', @level1type=N'TABLE',@level1name=N'LifeInsCalcTypeBenefitInv', @level2type=N'COLUMN',@level2name=N'PlanCode'</v>
      </c>
      <c r="R2" s="32" t="str">
        <f>"set @OldWording = N'"&amp;SUBSTITUTE($H2,CHAR(10),"")&amp;"'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@name=N'Rule', @value=@NewWording , @level0type=N'SCHEMA',@level0name=N'dbo', @level1type=N'TABLE',@level1name=N'LifeInsCalcTypeBenefitInv', @level2type=N'COLUMN',@level2name=N'PlanCode'</v>
      </c>
      <c r="S2" s="36" t="str">
        <f>"set @OldWording = N'"&amp;SUBSTITUTE($I2,CHAR(10),"")&amp;"' set @NewWording = REPLACE(@OldWording,'***',char(13)+char(10)) "&amp;"EXEC sys.sp_addextendedproperty @name=N'Memo',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@name=N'Memo', @value=@NewWording , @level0type=N'SCHEMA',@level0name=N'dbo', @level1type=N'TABLE',@level1name=N'LifeInsCalcTypeBenefitInv', @level2type=N'COLUMN',@level2name=N'PlanCode'</v>
      </c>
      <c r="V2" s="14"/>
      <c r="AC2" s="14"/>
      <c r="AD2" s="14"/>
      <c r="AE2" s="14"/>
      <c r="AF2" s="14"/>
      <c r="AG2" s="14"/>
      <c r="AH2" s="14"/>
    </row>
    <row r="3" spans="1:34">
      <c r="B3" s="14"/>
      <c r="C3" s="13" t="s">
        <v>4825</v>
      </c>
      <c r="D3" s="18" t="s">
        <v>23</v>
      </c>
      <c r="E3" s="11" t="s">
        <v>16</v>
      </c>
      <c r="F3" s="12"/>
      <c r="G3" s="10" t="s">
        <v>4848</v>
      </c>
      <c r="I3" s="13"/>
      <c r="J3" s="10" t="str">
        <f>"["&amp;C3&amp;"] [int] null,"</f>
        <v>[InsMonthCalcType] [int] null,</v>
      </c>
      <c r="L3" s="36"/>
      <c r="M3" s="34"/>
      <c r="N3" s="36"/>
      <c r="O3" s="36"/>
      <c r="P3" s="36"/>
      <c r="Q3" s="36"/>
      <c r="R3" s="32"/>
      <c r="S3" s="36"/>
      <c r="V3" s="14"/>
      <c r="AC3" s="14"/>
      <c r="AD3" s="14"/>
      <c r="AE3" s="14"/>
      <c r="AF3" s="14"/>
      <c r="AG3" s="14"/>
      <c r="AH3" s="14"/>
    </row>
    <row r="4" spans="1:34">
      <c r="B4" s="14"/>
      <c r="C4" s="13" t="s">
        <v>4826</v>
      </c>
      <c r="D4" s="18" t="s">
        <v>23</v>
      </c>
      <c r="E4" s="11" t="s">
        <v>16</v>
      </c>
      <c r="F4" s="12"/>
      <c r="G4" s="10" t="s">
        <v>4849</v>
      </c>
      <c r="I4" s="13"/>
      <c r="J4" s="10" t="str">
        <f t="shared" ref="J4:J28" si="0">"["&amp;C4&amp;"] [int] null,"</f>
        <v>[InsYearCalcType] [int] null,</v>
      </c>
      <c r="L4" s="36"/>
      <c r="M4" s="34"/>
      <c r="N4" s="36"/>
      <c r="O4" s="36"/>
      <c r="P4" s="36"/>
      <c r="Q4" s="36"/>
      <c r="R4" s="32"/>
      <c r="S4" s="36"/>
      <c r="V4" s="14"/>
      <c r="AC4" s="14"/>
      <c r="AD4" s="14"/>
      <c r="AE4" s="14"/>
      <c r="AF4" s="14"/>
      <c r="AG4" s="14"/>
      <c r="AH4" s="14"/>
    </row>
    <row r="5" spans="1:34">
      <c r="B5" s="14"/>
      <c r="C5" s="13" t="s">
        <v>4827</v>
      </c>
      <c r="D5" s="18" t="s">
        <v>23</v>
      </c>
      <c r="E5" s="11" t="s">
        <v>16</v>
      </c>
      <c r="F5" s="12"/>
      <c r="G5" s="10" t="s">
        <v>4850</v>
      </c>
      <c r="I5" s="13"/>
      <c r="J5" s="10" t="str">
        <f t="shared" si="0"/>
        <v>[InsAgeCalcType] [int] null,</v>
      </c>
      <c r="L5" s="36"/>
      <c r="M5" s="34"/>
      <c r="N5" s="36"/>
      <c r="O5" s="36"/>
      <c r="P5" s="36"/>
      <c r="Q5" s="36"/>
      <c r="R5" s="32"/>
      <c r="S5" s="36"/>
      <c r="V5" s="14"/>
      <c r="AC5" s="14"/>
      <c r="AD5" s="14"/>
      <c r="AE5" s="14"/>
      <c r="AF5" s="14"/>
      <c r="AG5" s="14"/>
      <c r="AH5" s="14"/>
    </row>
    <row r="6" spans="1:34">
      <c r="B6" s="14"/>
      <c r="C6" s="13" t="s">
        <v>4828</v>
      </c>
      <c r="D6" s="18" t="s">
        <v>23</v>
      </c>
      <c r="E6" s="11" t="s">
        <v>16</v>
      </c>
      <c r="F6" s="12"/>
      <c r="G6" s="10" t="s">
        <v>4851</v>
      </c>
      <c r="I6" s="13"/>
      <c r="J6" s="10" t="str">
        <f t="shared" si="0"/>
        <v>[BasicPremCalcType] [int] null,</v>
      </c>
      <c r="L6" s="36"/>
      <c r="M6" s="34"/>
      <c r="N6" s="36"/>
      <c r="O6" s="36"/>
      <c r="P6" s="36"/>
      <c r="Q6" s="36"/>
      <c r="R6" s="32"/>
      <c r="S6" s="36"/>
      <c r="V6" s="14"/>
      <c r="AC6" s="14"/>
      <c r="AD6" s="14"/>
      <c r="AE6" s="14"/>
      <c r="AF6" s="14"/>
      <c r="AG6" s="14"/>
      <c r="AH6" s="14"/>
    </row>
    <row r="7" spans="1:34">
      <c r="B7" s="11"/>
      <c r="C7" s="12" t="s">
        <v>4959</v>
      </c>
      <c r="D7" s="18" t="s">
        <v>23</v>
      </c>
      <c r="E7" s="11" t="s">
        <v>16</v>
      </c>
      <c r="F7" s="13"/>
      <c r="G7" s="10" t="s">
        <v>4869</v>
      </c>
      <c r="I7" s="12"/>
      <c r="J7" s="10" t="str">
        <f>"["&amp;C7&amp;"] [int] null,"</f>
        <v>[AccBasicPremCalcType] [int] null,</v>
      </c>
      <c r="V7" s="14"/>
      <c r="AC7" s="14"/>
      <c r="AD7" s="14"/>
      <c r="AE7" s="14"/>
      <c r="AF7" s="14"/>
      <c r="AG7" s="14"/>
      <c r="AH7" s="14"/>
    </row>
    <row r="8" spans="1:34">
      <c r="B8" s="14"/>
      <c r="C8" s="13" t="s">
        <v>4960</v>
      </c>
      <c r="D8" s="18" t="s">
        <v>23</v>
      </c>
      <c r="E8" s="11" t="s">
        <v>16</v>
      </c>
      <c r="F8" s="12"/>
      <c r="G8" s="10" t="s">
        <v>4961</v>
      </c>
      <c r="I8" s="13"/>
      <c r="J8" s="10" t="str">
        <f>"["&amp;C8&amp;"] [int] null,"</f>
        <v>[InvBasicPremCalcType] [int] null,</v>
      </c>
      <c r="L8" s="36"/>
      <c r="M8" s="34"/>
      <c r="N8" s="36"/>
      <c r="O8" s="36"/>
      <c r="P8" s="36"/>
      <c r="Q8" s="36"/>
      <c r="R8" s="32"/>
      <c r="S8" s="36"/>
      <c r="V8" s="14"/>
      <c r="AC8" s="14"/>
      <c r="AD8" s="14"/>
      <c r="AE8" s="14"/>
      <c r="AF8" s="14"/>
      <c r="AG8" s="14"/>
      <c r="AH8" s="14"/>
    </row>
    <row r="9" spans="1:34">
      <c r="B9" s="14"/>
      <c r="C9" s="13" t="s">
        <v>4829</v>
      </c>
      <c r="D9" s="18" t="s">
        <v>23</v>
      </c>
      <c r="E9" s="11" t="s">
        <v>16</v>
      </c>
      <c r="F9" s="12"/>
      <c r="G9" s="10" t="s">
        <v>4852</v>
      </c>
      <c r="I9" s="13"/>
      <c r="J9" s="10" t="str">
        <f t="shared" si="0"/>
        <v>[LoyaltyBonusCalcType] [int] null,</v>
      </c>
      <c r="L9" s="36"/>
      <c r="M9" s="34"/>
      <c r="N9" s="36"/>
      <c r="O9" s="36"/>
      <c r="P9" s="36"/>
      <c r="Q9" s="36"/>
      <c r="R9" s="32"/>
      <c r="S9" s="36"/>
      <c r="V9" s="14"/>
      <c r="AC9" s="14"/>
      <c r="AD9" s="14"/>
      <c r="AE9" s="14"/>
      <c r="AF9" s="14"/>
      <c r="AG9" s="14"/>
      <c r="AH9" s="14"/>
    </row>
    <row r="10" spans="1:34">
      <c r="B10" s="14"/>
      <c r="C10" s="13" t="s">
        <v>4830</v>
      </c>
      <c r="D10" s="18" t="s">
        <v>23</v>
      </c>
      <c r="E10" s="11" t="s">
        <v>16</v>
      </c>
      <c r="F10" s="12"/>
      <c r="G10" s="10" t="s">
        <v>4853</v>
      </c>
      <c r="I10" s="13"/>
      <c r="J10" s="10" t="str">
        <f t="shared" si="0"/>
        <v>[MaintainFeeCalcType] [int] null,</v>
      </c>
      <c r="L10" s="36"/>
      <c r="M10" s="34"/>
      <c r="N10" s="36"/>
      <c r="O10" s="36"/>
      <c r="P10" s="36"/>
      <c r="Q10" s="36"/>
      <c r="R10" s="32"/>
      <c r="S10" s="36"/>
      <c r="V10" s="14"/>
      <c r="AC10" s="14"/>
      <c r="AD10" s="14"/>
      <c r="AE10" s="14"/>
      <c r="AF10" s="14"/>
      <c r="AG10" s="14"/>
      <c r="AH10" s="14"/>
    </row>
    <row r="11" spans="1:34">
      <c r="B11" s="14"/>
      <c r="C11" s="13" t="s">
        <v>4831</v>
      </c>
      <c r="D11" s="18" t="s">
        <v>23</v>
      </c>
      <c r="E11" s="11" t="s">
        <v>16</v>
      </c>
      <c r="F11" s="12"/>
      <c r="G11" s="10" t="s">
        <v>4854</v>
      </c>
      <c r="I11" s="13"/>
      <c r="J11" s="10" t="str">
        <f t="shared" si="0"/>
        <v>[AdminFeeCalcType] [int] null,</v>
      </c>
      <c r="L11" s="36"/>
      <c r="M11" s="34"/>
      <c r="N11" s="36"/>
      <c r="O11" s="36"/>
      <c r="P11" s="36"/>
      <c r="Q11" s="36"/>
      <c r="R11" s="32"/>
      <c r="S11" s="36"/>
      <c r="V11" s="14"/>
      <c r="AC11" s="14"/>
      <c r="AD11" s="14"/>
      <c r="AE11" s="14"/>
      <c r="AF11" s="14"/>
      <c r="AG11" s="14"/>
      <c r="AH11" s="14"/>
    </row>
    <row r="12" spans="1:34">
      <c r="B12" s="11"/>
      <c r="C12" s="15" t="s">
        <v>4832</v>
      </c>
      <c r="D12" s="18" t="s">
        <v>23</v>
      </c>
      <c r="E12" s="11" t="s">
        <v>16</v>
      </c>
      <c r="F12" s="10"/>
      <c r="G12" s="16" t="s">
        <v>4855</v>
      </c>
      <c r="I12" s="15"/>
      <c r="J12" s="10" t="str">
        <f t="shared" si="0"/>
        <v>[AVBCCalcType] [int] null,</v>
      </c>
      <c r="V12" s="14"/>
      <c r="AC12" s="14"/>
      <c r="AD12" s="14"/>
      <c r="AE12" s="14"/>
      <c r="AF12" s="14"/>
      <c r="AG12" s="14"/>
      <c r="AH12" s="14"/>
    </row>
    <row r="13" spans="1:34">
      <c r="B13" s="11"/>
      <c r="C13" s="12" t="s">
        <v>4833</v>
      </c>
      <c r="D13" s="18" t="s">
        <v>23</v>
      </c>
      <c r="E13" s="11" t="s">
        <v>16</v>
      </c>
      <c r="F13" s="13"/>
      <c r="G13" s="10" t="s">
        <v>4856</v>
      </c>
      <c r="I13" s="12"/>
      <c r="J13" s="10" t="str">
        <f t="shared" si="0"/>
        <v>[SACalcType] [int] null,</v>
      </c>
      <c r="V13" s="14"/>
      <c r="AC13" s="14"/>
      <c r="AD13" s="14"/>
      <c r="AE13" s="14"/>
      <c r="AF13" s="14"/>
      <c r="AG13" s="14"/>
      <c r="AH13" s="14"/>
    </row>
    <row r="14" spans="1:34">
      <c r="B14" s="11"/>
      <c r="C14" s="12" t="s">
        <v>4834</v>
      </c>
      <c r="D14" s="18" t="s">
        <v>23</v>
      </c>
      <c r="E14" s="11" t="s">
        <v>16</v>
      </c>
      <c r="F14" s="13"/>
      <c r="G14" s="10" t="s">
        <v>4857</v>
      </c>
      <c r="I14" s="12"/>
      <c r="J14" s="10" t="str">
        <f t="shared" si="0"/>
        <v>[RSACalcType] [int] null,</v>
      </c>
      <c r="V14" s="14"/>
      <c r="AC14" s="14"/>
      <c r="AD14" s="14"/>
      <c r="AE14" s="14"/>
      <c r="AF14" s="14"/>
      <c r="AG14" s="14"/>
      <c r="AH14" s="14"/>
    </row>
    <row r="15" spans="1:34">
      <c r="B15" s="11"/>
      <c r="C15" s="12" t="s">
        <v>4835</v>
      </c>
      <c r="D15" s="18" t="s">
        <v>23</v>
      </c>
      <c r="E15" s="11" t="s">
        <v>16</v>
      </c>
      <c r="F15" s="13"/>
      <c r="G15" s="10" t="s">
        <v>4858</v>
      </c>
      <c r="I15" s="12"/>
      <c r="J15" s="10" t="str">
        <f t="shared" si="0"/>
        <v>[LifeFeeCalcType] [int] null,</v>
      </c>
      <c r="V15" s="14"/>
      <c r="AC15" s="14"/>
      <c r="AD15" s="14"/>
      <c r="AE15" s="14"/>
      <c r="AF15" s="14"/>
      <c r="AG15" s="14"/>
      <c r="AH15" s="14"/>
    </row>
    <row r="16" spans="1:34">
      <c r="B16" s="11"/>
      <c r="C16" s="12" t="s">
        <v>4836</v>
      </c>
      <c r="D16" s="18" t="s">
        <v>23</v>
      </c>
      <c r="E16" s="11" t="s">
        <v>16</v>
      </c>
      <c r="F16" s="13"/>
      <c r="G16" s="10" t="s">
        <v>4859</v>
      </c>
      <c r="I16" s="12"/>
      <c r="J16" s="10" t="str">
        <f t="shared" si="0"/>
        <v>[AVACCalcType] [int] null,</v>
      </c>
      <c r="V16" s="14"/>
      <c r="AC16" s="14"/>
      <c r="AD16" s="14"/>
      <c r="AE16" s="14"/>
      <c r="AF16" s="14"/>
      <c r="AG16" s="14"/>
      <c r="AH16" s="14"/>
    </row>
    <row r="17" spans="2:34">
      <c r="B17" s="11"/>
      <c r="C17" s="12" t="s">
        <v>4837</v>
      </c>
      <c r="D17" s="18" t="s">
        <v>23</v>
      </c>
      <c r="E17" s="11" t="s">
        <v>16</v>
      </c>
      <c r="F17" s="13"/>
      <c r="G17" s="10" t="s">
        <v>4860</v>
      </c>
      <c r="I17" s="12"/>
      <c r="J17" s="10" t="str">
        <f t="shared" si="0"/>
        <v>[FundGrowthCalcType] [int] null,</v>
      </c>
      <c r="V17" s="14"/>
      <c r="AC17" s="14"/>
      <c r="AD17" s="14"/>
      <c r="AE17" s="14"/>
      <c r="AF17" s="14"/>
      <c r="AG17" s="14"/>
      <c r="AH17" s="14"/>
    </row>
    <row r="18" spans="2:34">
      <c r="B18" s="11"/>
      <c r="C18" s="12" t="s">
        <v>4838</v>
      </c>
      <c r="D18" s="18" t="s">
        <v>23</v>
      </c>
      <c r="E18" s="11" t="s">
        <v>16</v>
      </c>
      <c r="F18" s="13"/>
      <c r="G18" s="10" t="s">
        <v>4861</v>
      </c>
      <c r="I18" s="12"/>
      <c r="J18" s="10" t="str">
        <f t="shared" si="0"/>
        <v>[AVACBPWCalcType] [int] null,</v>
      </c>
      <c r="V18" s="14"/>
      <c r="AC18" s="14"/>
      <c r="AD18" s="14"/>
      <c r="AE18" s="14"/>
      <c r="AF18" s="14"/>
      <c r="AG18" s="14"/>
      <c r="AH18" s="14"/>
    </row>
    <row r="19" spans="2:34">
      <c r="B19" s="11"/>
      <c r="C19" s="12" t="s">
        <v>4839</v>
      </c>
      <c r="D19" s="18" t="s">
        <v>23</v>
      </c>
      <c r="E19" s="11" t="s">
        <v>16</v>
      </c>
      <c r="F19" s="13"/>
      <c r="G19" s="10" t="s">
        <v>4862</v>
      </c>
      <c r="I19" s="12"/>
      <c r="J19" s="10" t="str">
        <f t="shared" si="0"/>
        <v>[AVEndCalcType] [int] null,</v>
      </c>
      <c r="V19" s="14"/>
      <c r="AC19" s="14"/>
      <c r="AD19" s="14"/>
      <c r="AE19" s="14"/>
      <c r="AF19" s="14"/>
      <c r="AG19" s="14"/>
      <c r="AH19" s="14"/>
    </row>
    <row r="20" spans="2:34">
      <c r="B20" s="11"/>
      <c r="C20" s="12" t="s">
        <v>4840</v>
      </c>
      <c r="D20" s="18" t="s">
        <v>23</v>
      </c>
      <c r="E20" s="11" t="s">
        <v>16</v>
      </c>
      <c r="F20" s="13"/>
      <c r="G20" s="10" t="s">
        <v>4863</v>
      </c>
      <c r="I20" s="12"/>
      <c r="J20" s="10" t="str">
        <f t="shared" si="0"/>
        <v>[SurrenderChargeCalcType] [int] null,</v>
      </c>
      <c r="V20" s="14"/>
      <c r="AC20" s="14"/>
      <c r="AD20" s="14"/>
      <c r="AE20" s="14"/>
      <c r="AF20" s="14"/>
      <c r="AG20" s="14"/>
      <c r="AH20" s="14"/>
    </row>
    <row r="21" spans="2:34">
      <c r="B21" s="11"/>
      <c r="C21" s="12" t="s">
        <v>4841</v>
      </c>
      <c r="D21" s="18" t="s">
        <v>23</v>
      </c>
      <c r="E21" s="11" t="s">
        <v>16</v>
      </c>
      <c r="F21" s="13"/>
      <c r="G21" s="10" t="s">
        <v>4864</v>
      </c>
      <c r="I21" s="12"/>
      <c r="J21" s="10" t="str">
        <f t="shared" si="0"/>
        <v>[DPDBCalcType] [int] null,</v>
      </c>
      <c r="V21" s="14"/>
      <c r="AC21" s="14"/>
      <c r="AD21" s="14"/>
      <c r="AE21" s="14"/>
      <c r="AF21" s="14"/>
      <c r="AG21" s="14"/>
      <c r="AH21" s="14"/>
    </row>
    <row r="22" spans="2:34">
      <c r="B22" s="11"/>
      <c r="C22" s="12" t="s">
        <v>4842</v>
      </c>
      <c r="D22" s="18" t="s">
        <v>23</v>
      </c>
      <c r="E22" s="11" t="s">
        <v>16</v>
      </c>
      <c r="F22" s="13"/>
      <c r="G22" s="10" t="s">
        <v>4865</v>
      </c>
      <c r="I22" s="12"/>
      <c r="J22" s="10" t="str">
        <f t="shared" si="0"/>
        <v>[MonthlyFeeCalcType] [int] null,</v>
      </c>
      <c r="V22" s="14"/>
      <c r="AC22" s="14"/>
      <c r="AD22" s="14"/>
      <c r="AE22" s="14"/>
      <c r="AF22" s="14"/>
      <c r="AG22" s="14"/>
      <c r="AH22" s="14"/>
    </row>
    <row r="23" spans="2:34">
      <c r="B23" s="11"/>
      <c r="C23" s="12" t="s">
        <v>4843</v>
      </c>
      <c r="D23" s="18" t="s">
        <v>23</v>
      </c>
      <c r="E23" s="11" t="s">
        <v>16</v>
      </c>
      <c r="F23" s="13"/>
      <c r="G23" s="10" t="s">
        <v>4866</v>
      </c>
      <c r="I23" s="12"/>
      <c r="J23" s="10" t="str">
        <f t="shared" si="0"/>
        <v>[CSVCalcType] [int] null,</v>
      </c>
      <c r="V23" s="14"/>
      <c r="AC23" s="14"/>
      <c r="AD23" s="14"/>
      <c r="AE23" s="14"/>
      <c r="AF23" s="14"/>
      <c r="AG23" s="14"/>
      <c r="AH23" s="14"/>
    </row>
    <row r="24" spans="2:34">
      <c r="B24" s="11"/>
      <c r="C24" s="12" t="s">
        <v>4844</v>
      </c>
      <c r="D24" s="18" t="s">
        <v>23</v>
      </c>
      <c r="E24" s="11" t="s">
        <v>16</v>
      </c>
      <c r="F24" s="13"/>
      <c r="G24" s="10" t="s">
        <v>4867</v>
      </c>
      <c r="I24" s="12"/>
      <c r="J24" s="10" t="str">
        <f t="shared" si="0"/>
        <v>[PremFeeCalcType] [int] null,</v>
      </c>
      <c r="V24" s="14"/>
      <c r="AC24" s="14"/>
      <c r="AD24" s="14"/>
      <c r="AE24" s="14"/>
      <c r="AF24" s="14"/>
      <c r="AG24" s="14"/>
      <c r="AH24" s="14"/>
    </row>
    <row r="25" spans="2:34">
      <c r="B25" s="11"/>
      <c r="C25" s="12" t="s">
        <v>4845</v>
      </c>
      <c r="D25" s="18" t="s">
        <v>23</v>
      </c>
      <c r="E25" s="11" t="s">
        <v>16</v>
      </c>
      <c r="F25" s="13"/>
      <c r="G25" s="10" t="s">
        <v>4868</v>
      </c>
      <c r="I25" s="12"/>
      <c r="J25" s="10" t="str">
        <f t="shared" si="0"/>
        <v>[BenefitGrantedCalcType] [int] null,</v>
      </c>
      <c r="V25" s="14"/>
      <c r="AC25" s="14"/>
      <c r="AD25" s="14"/>
      <c r="AE25" s="14"/>
      <c r="AF25" s="14"/>
      <c r="AG25" s="14"/>
      <c r="AH25" s="14"/>
    </row>
    <row r="27" spans="2:34">
      <c r="B27" s="11"/>
      <c r="C27" s="12" t="s">
        <v>4846</v>
      </c>
      <c r="D27" s="18" t="s">
        <v>23</v>
      </c>
      <c r="E27" s="11" t="s">
        <v>16</v>
      </c>
      <c r="F27" s="13"/>
      <c r="G27" s="10" t="s">
        <v>4870</v>
      </c>
      <c r="I27" s="12"/>
      <c r="J27" s="10" t="str">
        <f t="shared" si="0"/>
        <v>[AnnuityAmtCalcType] [int] null,</v>
      </c>
      <c r="V27" s="14"/>
      <c r="AC27" s="14"/>
      <c r="AD27" s="14"/>
      <c r="AE27" s="14"/>
      <c r="AF27" s="14"/>
      <c r="AG27" s="14"/>
      <c r="AH27" s="14"/>
    </row>
    <row r="28" spans="2:34">
      <c r="B28" s="11"/>
      <c r="C28" s="12" t="s">
        <v>4847</v>
      </c>
      <c r="D28" s="18" t="s">
        <v>23</v>
      </c>
      <c r="E28" s="11" t="s">
        <v>16</v>
      </c>
      <c r="F28" s="13"/>
      <c r="G28" s="10" t="s">
        <v>4871</v>
      </c>
      <c r="I28" s="12"/>
      <c r="J28" s="10" t="str">
        <f t="shared" si="0"/>
        <v>[AccAnnuityAmtCalcType] [int] null,</v>
      </c>
      <c r="V28" s="14"/>
      <c r="AC28" s="14"/>
      <c r="AD28" s="14"/>
      <c r="AE28" s="14"/>
      <c r="AF28" s="14"/>
      <c r="AG28" s="14"/>
      <c r="AH28" s="14"/>
    </row>
    <row r="29" spans="2:34">
      <c r="C29" s="12" t="s">
        <v>0</v>
      </c>
      <c r="D29" s="12" t="s">
        <v>11</v>
      </c>
      <c r="E29" s="11" t="s">
        <v>16</v>
      </c>
      <c r="F29" s="13" t="s">
        <v>20</v>
      </c>
      <c r="G29" s="12" t="s">
        <v>30</v>
      </c>
    </row>
    <row r="30" spans="2:34">
      <c r="C30" s="12" t="s">
        <v>1</v>
      </c>
      <c r="D30" s="12" t="s">
        <v>37</v>
      </c>
      <c r="E30" s="11"/>
      <c r="F30" s="13"/>
      <c r="G30" s="12" t="s">
        <v>31</v>
      </c>
    </row>
    <row r="31" spans="2:34">
      <c r="C31" s="12" t="s">
        <v>19</v>
      </c>
      <c r="D31" s="12" t="s">
        <v>11</v>
      </c>
      <c r="E31" s="11" t="s">
        <v>16</v>
      </c>
      <c r="F31" s="13" t="s">
        <v>20</v>
      </c>
      <c r="G31" s="12" t="s">
        <v>32</v>
      </c>
    </row>
    <row r="32" spans="2:34">
      <c r="C32" s="12" t="s">
        <v>2</v>
      </c>
      <c r="D32" s="12" t="s">
        <v>37</v>
      </c>
      <c r="E32" s="11"/>
      <c r="F32" s="13"/>
      <c r="G32" s="12" t="s">
        <v>33</v>
      </c>
    </row>
  </sheetData>
  <phoneticPr fontId="3" type="noConversion"/>
  <hyperlinks>
    <hyperlink ref="A1" location="目錄!A1" display="回到目錄"/>
  </hyperlinks>
  <pageMargins left="0.7" right="0.7" top="0.75" bottom="0.75" header="0.3" footer="0.3"/>
  <pageSetup paperSize="9" orientation="portrait" horizontalDpi="300" verticalDpi="300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7"/>
  <sheetViews>
    <sheetView workbookViewId="0"/>
  </sheetViews>
  <sheetFormatPr defaultColWidth="11.1796875" defaultRowHeight="13.8"/>
  <cols>
    <col min="1" max="1" width="7.453125" style="10" bestFit="1" customWidth="1"/>
    <col min="2" max="2" width="4.36328125" style="10" bestFit="1" customWidth="1"/>
    <col min="3" max="3" width="17.7265625" style="10" bestFit="1" customWidth="1"/>
    <col min="4" max="4" width="11" style="10" bestFit="1" customWidth="1"/>
    <col min="5" max="5" width="7.54296875" style="14" bestFit="1" customWidth="1"/>
    <col min="6" max="6" width="10" style="15" bestFit="1" customWidth="1"/>
    <col min="7" max="7" width="17.36328125" style="10" bestFit="1" customWidth="1"/>
    <col min="8" max="8" width="16" style="10" customWidth="1"/>
    <col min="9" max="9" width="14.54296875" style="10" bestFit="1" customWidth="1"/>
    <col min="10" max="10" width="5.90625" style="10" customWidth="1"/>
    <col min="11" max="12" width="3.6328125" style="14" bestFit="1" customWidth="1"/>
    <col min="13" max="13" width="13" style="14" bestFit="1" customWidth="1"/>
    <col min="14" max="15" width="3.6328125" style="14" customWidth="1"/>
    <col min="16" max="21" width="3.6328125" style="14" bestFit="1" customWidth="1"/>
    <col min="22" max="22" width="3.6328125" style="10" bestFit="1" customWidth="1"/>
    <col min="23" max="28" width="5.36328125" style="14" bestFit="1" customWidth="1"/>
    <col min="29" max="34" width="5.36328125" style="10" bestFit="1" customWidth="1"/>
    <col min="35" max="16384" width="11.1796875" style="10"/>
  </cols>
  <sheetData>
    <row r="1" spans="1:34">
      <c r="A1" s="23" t="s">
        <v>36</v>
      </c>
      <c r="B1" s="5" t="s">
        <v>5</v>
      </c>
      <c r="C1" s="6" t="s">
        <v>3</v>
      </c>
      <c r="D1" s="6" t="s">
        <v>4</v>
      </c>
      <c r="E1" s="7" t="s">
        <v>6</v>
      </c>
      <c r="F1" s="9" t="s">
        <v>13</v>
      </c>
      <c r="G1" s="9" t="s">
        <v>7</v>
      </c>
      <c r="H1" s="9" t="s">
        <v>8</v>
      </c>
      <c r="I1" s="9" t="s">
        <v>139</v>
      </c>
      <c r="L1" s="72" t="s">
        <v>240</v>
      </c>
      <c r="M1" s="72" t="s">
        <v>4804</v>
      </c>
      <c r="N1" s="72" t="s">
        <v>470</v>
      </c>
      <c r="O1" s="72" t="s">
        <v>471</v>
      </c>
      <c r="P1" s="72" t="s">
        <v>472</v>
      </c>
      <c r="Q1" s="72" t="s">
        <v>473</v>
      </c>
      <c r="R1" s="72" t="s">
        <v>474</v>
      </c>
      <c r="S1" s="73" t="s">
        <v>475</v>
      </c>
    </row>
    <row r="2" spans="1:34">
      <c r="B2" s="14" t="s">
        <v>14</v>
      </c>
      <c r="C2" s="13" t="s">
        <v>80</v>
      </c>
      <c r="D2" s="18" t="s">
        <v>24</v>
      </c>
      <c r="E2" s="11"/>
      <c r="F2" s="12"/>
      <c r="G2" s="74" t="s">
        <v>81</v>
      </c>
      <c r="L2" s="36"/>
      <c r="M2" s="34"/>
      <c r="N2" s="36" t="str">
        <f>"EXEC sp_dropextendedproperty @name = N'MS_Description', @level0type=N'SCHEMA',@level0name=N'"&amp;$L$1&amp;"', @level1type=N'TABLE',@level1name=N'"&amp;$M$1&amp;"', @level2type=N'COLUMN',@level2name=N'"&amp;$C2&amp;"'"</f>
        <v>EXEC sp_dropextendedproperty @name = N'MS_Description', @level0type=N'SCHEMA',@level0name=N'dbo', @level1type=N'TABLE',@level1name=N'LifeInsCalcTypeAnnuity', @level2type=N'COLUMN',@level2name=N'PlanCode'</v>
      </c>
      <c r="O2" s="36" t="str">
        <f>"EXEC sp_dropextendedproperty @name = N'Rule', @level0type=N'SCHEMA',@level0name=N'"&amp;$L$1&amp;"', @level1type=N'TABLE',@level1name=N'"&amp;$M$1&amp;"', @level2type=N'COLUMN',@level2name=N'"&amp;$C2&amp;"'"</f>
        <v>EXEC sp_dropextendedproperty @name = N'Rule', @level0type=N'SCHEMA',@level0name=N'dbo', @level1type=N'TABLE',@level1name=N'LifeInsCalcTypeAnnuity', @level2type=N'COLUMN',@level2name=N'PlanCode'</v>
      </c>
      <c r="P2" s="36" t="str">
        <f>"EXEC sp_dropextendedproperty @name = N'Memo', @level0type=N'SCHEMA',@level0name=N'"&amp;$L$1&amp;"', @level1type=N'TABLE',@level1name=N'"&amp;$M$1&amp;"', @level2type=N'COLUMN',@level2name=N'"&amp;$C2&amp;"'"</f>
        <v>EXEC sp_dropextendedproperty @name = N'Memo', @level0type=N'SCHEMA',@level0name=N'dbo', @level1type=N'TABLE',@level1name=N'LifeInsCalcTypeAnnuity', @level2type=N'COLUMN',@level2name=N'PlanCode'</v>
      </c>
      <c r="Q2" s="36" t="str">
        <f>"set @OldWording = N'"&amp;SUBSTITUTE($G2,CHAR(10),"")&amp;"'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@level2type=N'COLUMN',@level2name=N'"&amp;$C2&amp;"'"</f>
        <v>set @OldWording = N'險種代碼' set @NewWording = REPLACE(@OldWording,'***',char(13)+char(10)) EXEC sys.sp_addextendedproperty @name=N'MS_Description', @value=@NewWording , @level0type=N'SCHEMA',@level0name=N'dbo', @level1type=N'TABLE',@level1name=N'LifeInsCalcTypeAnnuity', @level2type=N'COLUMN',@level2name=N'PlanCode'</v>
      </c>
      <c r="R2" s="32" t="str">
        <f>"set @OldWording = N'"&amp;SUBSTITUTE($H2,CHAR(10),"")&amp;"'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@name=N'Rule', @value=@NewWording , @level0type=N'SCHEMA',@level0name=N'dbo', @level1type=N'TABLE',@level1name=N'LifeInsCalcTypeAnnuity', @level2type=N'COLUMN',@level2name=N'PlanCode'</v>
      </c>
      <c r="S2" s="36" t="str">
        <f>"set @OldWording = N'"&amp;SUBSTITUTE($I2,CHAR(10),"")&amp;"' set @NewWording = REPLACE(@OldWording,'***',char(13)+char(10)) "&amp;"EXEC sys.sp_addextendedproperty @name=N'Memo',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@name=N'Memo', @value=@NewWording , @level0type=N'SCHEMA',@level0name=N'dbo', @level1type=N'TABLE',@level1name=N'LifeInsCalcTypeAnnuity', @level2type=N'COLUMN',@level2name=N'PlanCode'</v>
      </c>
      <c r="V2" s="14"/>
      <c r="AC2" s="14"/>
      <c r="AD2" s="14"/>
      <c r="AE2" s="14"/>
      <c r="AF2" s="14"/>
      <c r="AG2" s="14"/>
      <c r="AH2" s="14"/>
    </row>
    <row r="3" spans="1:34">
      <c r="B3" s="14"/>
      <c r="C3" s="13" t="s">
        <v>4807</v>
      </c>
      <c r="D3" s="18" t="s">
        <v>23</v>
      </c>
      <c r="E3" s="11" t="s">
        <v>16</v>
      </c>
      <c r="F3" s="12"/>
      <c r="G3" s="74" t="s">
        <v>4816</v>
      </c>
      <c r="J3" s="10" t="str">
        <f>"["&amp;C3&amp;"] [int] null,"</f>
        <v>[DurCalcType] [int] null,</v>
      </c>
      <c r="L3" s="36"/>
      <c r="M3" s="34"/>
      <c r="N3" s="36"/>
      <c r="O3" s="36"/>
      <c r="P3" s="36"/>
      <c r="Q3" s="36"/>
      <c r="R3" s="32"/>
      <c r="S3" s="36"/>
      <c r="V3" s="14"/>
      <c r="AC3" s="14"/>
      <c r="AD3" s="14"/>
      <c r="AE3" s="14"/>
      <c r="AF3" s="14"/>
      <c r="AG3" s="14"/>
      <c r="AH3" s="14"/>
    </row>
    <row r="4" spans="1:34">
      <c r="B4" s="14"/>
      <c r="C4" s="13" t="s">
        <v>4808</v>
      </c>
      <c r="D4" s="18" t="s">
        <v>23</v>
      </c>
      <c r="E4" s="11" t="s">
        <v>16</v>
      </c>
      <c r="F4" s="12"/>
      <c r="G4" s="74" t="s">
        <v>4817</v>
      </c>
      <c r="J4" s="10" t="str">
        <f t="shared" ref="J4:J13" si="0">"["&amp;C4&amp;"] [int] null,"</f>
        <v>[AgeCalcType] [int] null,</v>
      </c>
      <c r="L4" s="36"/>
      <c r="M4" s="34"/>
      <c r="N4" s="36"/>
      <c r="O4" s="36"/>
      <c r="P4" s="36"/>
      <c r="Q4" s="36"/>
      <c r="R4" s="32"/>
      <c r="S4" s="36"/>
      <c r="V4" s="14"/>
      <c r="AC4" s="14"/>
      <c r="AD4" s="14"/>
      <c r="AE4" s="14"/>
      <c r="AF4" s="14"/>
      <c r="AG4" s="14"/>
      <c r="AH4" s="14"/>
    </row>
    <row r="5" spans="1:34">
      <c r="B5" s="14"/>
      <c r="C5" s="13" t="s">
        <v>4809</v>
      </c>
      <c r="D5" s="18" t="s">
        <v>23</v>
      </c>
      <c r="E5" s="11" t="s">
        <v>16</v>
      </c>
      <c r="F5" s="12"/>
      <c r="G5" s="74" t="s">
        <v>4818</v>
      </c>
      <c r="J5" s="10" t="str">
        <f t="shared" si="0"/>
        <v>[QxCalcType] [int] null,</v>
      </c>
      <c r="L5" s="36"/>
      <c r="M5" s="34"/>
      <c r="N5" s="36"/>
      <c r="O5" s="36"/>
      <c r="P5" s="36"/>
      <c r="Q5" s="36"/>
      <c r="R5" s="32"/>
      <c r="S5" s="36"/>
      <c r="V5" s="14"/>
      <c r="AC5" s="14"/>
      <c r="AD5" s="14"/>
      <c r="AE5" s="14"/>
      <c r="AF5" s="14"/>
      <c r="AG5" s="14"/>
      <c r="AH5" s="14"/>
    </row>
    <row r="6" spans="1:34">
      <c r="B6" s="14"/>
      <c r="C6" s="13" t="s">
        <v>4810</v>
      </c>
      <c r="D6" s="18" t="s">
        <v>23</v>
      </c>
      <c r="E6" s="11" t="s">
        <v>16</v>
      </c>
      <c r="F6" s="12"/>
      <c r="G6" s="74" t="s">
        <v>4819</v>
      </c>
      <c r="J6" s="10" t="str">
        <f t="shared" si="0"/>
        <v>[QxAdjCalcType] [int] null,</v>
      </c>
      <c r="L6" s="36"/>
      <c r="M6" s="34"/>
      <c r="N6" s="36"/>
      <c r="O6" s="36"/>
      <c r="P6" s="36"/>
      <c r="Q6" s="36"/>
      <c r="R6" s="32"/>
      <c r="S6" s="36"/>
      <c r="V6" s="14"/>
      <c r="AC6" s="14"/>
      <c r="AD6" s="14"/>
      <c r="AE6" s="14"/>
      <c r="AF6" s="14"/>
      <c r="AG6" s="14"/>
      <c r="AH6" s="14"/>
    </row>
    <row r="7" spans="1:34">
      <c r="B7" s="14"/>
      <c r="C7" s="13" t="s">
        <v>4811</v>
      </c>
      <c r="D7" s="18" t="s">
        <v>23</v>
      </c>
      <c r="E7" s="11" t="s">
        <v>16</v>
      </c>
      <c r="F7" s="12"/>
      <c r="G7" s="74" t="s">
        <v>4820</v>
      </c>
      <c r="J7" s="10" t="str">
        <f t="shared" si="0"/>
        <v>[TPxCalcType] [int] null,</v>
      </c>
      <c r="L7" s="36"/>
      <c r="M7" s="34"/>
      <c r="N7" s="36"/>
      <c r="O7" s="36"/>
      <c r="P7" s="36"/>
      <c r="Q7" s="36"/>
      <c r="R7" s="32"/>
      <c r="S7" s="36"/>
      <c r="V7" s="14"/>
      <c r="AC7" s="14"/>
      <c r="AD7" s="14"/>
      <c r="AE7" s="14"/>
      <c r="AF7" s="14"/>
      <c r="AG7" s="14"/>
      <c r="AH7" s="14"/>
    </row>
    <row r="8" spans="1:34">
      <c r="B8" s="14"/>
      <c r="C8" s="13" t="s">
        <v>4812</v>
      </c>
      <c r="D8" s="18" t="s">
        <v>23</v>
      </c>
      <c r="E8" s="11" t="s">
        <v>16</v>
      </c>
      <c r="F8" s="12"/>
      <c r="G8" s="74" t="s">
        <v>4821</v>
      </c>
      <c r="J8" s="10" t="str">
        <f t="shared" si="0"/>
        <v>[TPxAdjCalcType] [int] null,</v>
      </c>
      <c r="L8" s="36"/>
      <c r="M8" s="34"/>
      <c r="N8" s="36"/>
      <c r="O8" s="36"/>
      <c r="P8" s="36"/>
      <c r="Q8" s="36"/>
      <c r="R8" s="32"/>
      <c r="S8" s="36"/>
      <c r="V8" s="14"/>
      <c r="AC8" s="14"/>
      <c r="AD8" s="14"/>
      <c r="AE8" s="14"/>
      <c r="AF8" s="14"/>
      <c r="AG8" s="14"/>
      <c r="AH8" s="14"/>
    </row>
    <row r="9" spans="1:34">
      <c r="B9" s="11"/>
      <c r="C9" s="13" t="s">
        <v>4813</v>
      </c>
      <c r="D9" s="18" t="s">
        <v>23</v>
      </c>
      <c r="E9" s="11" t="s">
        <v>16</v>
      </c>
      <c r="F9" s="10"/>
      <c r="G9" s="10" t="s">
        <v>4822</v>
      </c>
      <c r="H9" s="16"/>
      <c r="J9" s="10" t="str">
        <f t="shared" si="0"/>
        <v>[TPxTotCalcType] [int] null,</v>
      </c>
      <c r="V9" s="14"/>
      <c r="AC9" s="14"/>
      <c r="AD9" s="14"/>
      <c r="AE9" s="14"/>
      <c r="AF9" s="14"/>
      <c r="AG9" s="14"/>
      <c r="AH9" s="14"/>
    </row>
    <row r="10" spans="1:34">
      <c r="B10" s="11"/>
      <c r="C10" s="15" t="s">
        <v>4814</v>
      </c>
      <c r="D10" s="18" t="s">
        <v>23</v>
      </c>
      <c r="E10" s="11" t="s">
        <v>16</v>
      </c>
      <c r="F10" s="13"/>
      <c r="G10" s="12" t="s">
        <v>4823</v>
      </c>
      <c r="J10" s="10" t="str">
        <f t="shared" si="0"/>
        <v>[DiscFact1CalcType] [int] null,</v>
      </c>
      <c r="V10" s="14"/>
      <c r="AC10" s="14"/>
      <c r="AD10" s="14"/>
      <c r="AE10" s="14"/>
      <c r="AF10" s="14"/>
      <c r="AG10" s="14"/>
      <c r="AH10" s="14"/>
    </row>
    <row r="11" spans="1:34">
      <c r="B11" s="11"/>
      <c r="C11" s="15" t="s">
        <v>4952</v>
      </c>
      <c r="D11" s="18" t="s">
        <v>23</v>
      </c>
      <c r="E11" s="11" t="s">
        <v>16</v>
      </c>
      <c r="F11" s="13"/>
      <c r="G11" s="12" t="s">
        <v>4953</v>
      </c>
      <c r="J11" s="10" t="str">
        <f t="shared" si="0"/>
        <v>[AccDiscFact1CalcType] [int] null,</v>
      </c>
      <c r="V11" s="14"/>
      <c r="AC11" s="14"/>
      <c r="AD11" s="14"/>
      <c r="AE11" s="14"/>
      <c r="AF11" s="14"/>
      <c r="AG11" s="14"/>
      <c r="AH11" s="14"/>
    </row>
    <row r="12" spans="1:34">
      <c r="B12" s="11"/>
      <c r="C12" s="12" t="s">
        <v>4815</v>
      </c>
      <c r="D12" s="18" t="s">
        <v>23</v>
      </c>
      <c r="E12" s="11" t="s">
        <v>16</v>
      </c>
      <c r="F12" s="13"/>
      <c r="G12" s="12" t="s">
        <v>4824</v>
      </c>
      <c r="H12" s="16"/>
      <c r="J12" s="10" t="str">
        <f t="shared" si="0"/>
        <v>[DiscFact2CalcType] [int] null,</v>
      </c>
      <c r="V12" s="14"/>
      <c r="AC12" s="14"/>
      <c r="AD12" s="14"/>
      <c r="AE12" s="14"/>
      <c r="AF12" s="14"/>
      <c r="AG12" s="14"/>
      <c r="AH12" s="14"/>
    </row>
    <row r="13" spans="1:34">
      <c r="B13" s="11"/>
      <c r="C13" s="12" t="s">
        <v>4954</v>
      </c>
      <c r="D13" s="18" t="s">
        <v>23</v>
      </c>
      <c r="E13" s="11" t="s">
        <v>16</v>
      </c>
      <c r="F13" s="13"/>
      <c r="G13" s="12" t="s">
        <v>4955</v>
      </c>
      <c r="H13" s="16"/>
      <c r="J13" s="10" t="str">
        <f t="shared" si="0"/>
        <v>[AccDiscFact2CalcType] [int] null,</v>
      </c>
      <c r="V13" s="14"/>
      <c r="AC13" s="14"/>
      <c r="AD13" s="14"/>
      <c r="AE13" s="14"/>
      <c r="AF13" s="14"/>
      <c r="AG13" s="14"/>
      <c r="AH13" s="14"/>
    </row>
    <row r="14" spans="1:34">
      <c r="C14" s="12" t="s">
        <v>0</v>
      </c>
      <c r="D14" s="12" t="s">
        <v>11</v>
      </c>
      <c r="E14" s="11" t="s">
        <v>16</v>
      </c>
      <c r="F14" s="13" t="s">
        <v>20</v>
      </c>
      <c r="G14" s="12" t="s">
        <v>30</v>
      </c>
    </row>
    <row r="15" spans="1:34">
      <c r="C15" s="12" t="s">
        <v>1</v>
      </c>
      <c r="D15" s="12" t="s">
        <v>37</v>
      </c>
      <c r="E15" s="11"/>
      <c r="F15" s="13"/>
      <c r="G15" s="12" t="s">
        <v>31</v>
      </c>
    </row>
    <row r="16" spans="1:34">
      <c r="C16" s="12" t="s">
        <v>19</v>
      </c>
      <c r="D16" s="12" t="s">
        <v>11</v>
      </c>
      <c r="E16" s="11" t="s">
        <v>16</v>
      </c>
      <c r="F16" s="13" t="s">
        <v>20</v>
      </c>
      <c r="G16" s="12" t="s">
        <v>32</v>
      </c>
    </row>
    <row r="17" spans="3:7">
      <c r="C17" s="12" t="s">
        <v>2</v>
      </c>
      <c r="D17" s="12" t="s">
        <v>37</v>
      </c>
      <c r="E17" s="11"/>
      <c r="F17" s="13"/>
      <c r="G17" s="12" t="s">
        <v>33</v>
      </c>
    </row>
  </sheetData>
  <phoneticPr fontId="3" type="noConversion"/>
  <hyperlinks>
    <hyperlink ref="A1" location="目錄!A1" display="回到目錄"/>
  </hyperlinks>
  <pageMargins left="0.7" right="0.7" top="0.75" bottom="0.75" header="0.3" footer="0.3"/>
  <pageSetup paperSize="9" orientation="portrait" horizontalDpi="300" verticalDpi="30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4"/>
  <dimension ref="A1:M14"/>
  <sheetViews>
    <sheetView workbookViewId="0">
      <pane ySplit="1" topLeftCell="A2" activePane="bottomLeft" state="frozen"/>
      <selection pane="bottomLeft"/>
    </sheetView>
  </sheetViews>
  <sheetFormatPr defaultColWidth="11.1796875" defaultRowHeight="13.8"/>
  <cols>
    <col min="1" max="1" width="7.453125" style="10" bestFit="1" customWidth="1"/>
    <col min="2" max="2" width="4.36328125" style="14" bestFit="1" customWidth="1"/>
    <col min="3" max="3" width="12.54296875" style="15" bestFit="1" customWidth="1"/>
    <col min="4" max="4" width="10.08984375" style="15" bestFit="1" customWidth="1"/>
    <col min="5" max="5" width="7.54296875" style="14" bestFit="1" customWidth="1"/>
    <col min="6" max="6" width="10" style="10" bestFit="1" customWidth="1"/>
    <col min="7" max="7" width="10.6328125" style="10" bestFit="1" customWidth="1"/>
    <col min="8" max="8" width="24.54296875" style="15" bestFit="1" customWidth="1"/>
    <col min="9" max="9" width="7.453125" style="15" bestFit="1" customWidth="1"/>
    <col min="10" max="13" width="3.6328125" style="14" bestFit="1" customWidth="1"/>
    <col min="14" max="16384" width="11.1796875" style="10"/>
  </cols>
  <sheetData>
    <row r="1" spans="1:13" s="17" customFormat="1">
      <c r="A1" s="23" t="s">
        <v>36</v>
      </c>
      <c r="B1" s="5" t="s">
        <v>5</v>
      </c>
      <c r="C1" s="20" t="s">
        <v>3</v>
      </c>
      <c r="D1" s="20" t="s">
        <v>4</v>
      </c>
      <c r="E1" s="7" t="s">
        <v>6</v>
      </c>
      <c r="F1" s="8" t="s">
        <v>13</v>
      </c>
      <c r="G1" s="8" t="s">
        <v>7</v>
      </c>
      <c r="H1" s="9" t="s">
        <v>8</v>
      </c>
      <c r="I1" s="9" t="s">
        <v>105</v>
      </c>
      <c r="J1" s="33"/>
      <c r="K1" s="33"/>
      <c r="L1" s="33"/>
      <c r="M1" s="33"/>
    </row>
    <row r="2" spans="1:13">
      <c r="C2" s="13" t="s">
        <v>4948</v>
      </c>
      <c r="D2" s="12" t="s">
        <v>24</v>
      </c>
      <c r="E2" s="11"/>
      <c r="F2" s="12"/>
      <c r="G2" s="12" t="s">
        <v>4949</v>
      </c>
      <c r="I2" s="24"/>
    </row>
    <row r="3" spans="1:13">
      <c r="B3" s="14" t="s">
        <v>14</v>
      </c>
      <c r="C3" s="12" t="s">
        <v>4162</v>
      </c>
      <c r="D3" s="12" t="s">
        <v>24</v>
      </c>
      <c r="E3" s="11"/>
      <c r="F3" s="4"/>
      <c r="G3" s="12" t="s">
        <v>4163</v>
      </c>
    </row>
    <row r="4" spans="1:13">
      <c r="C4" s="13" t="s">
        <v>171</v>
      </c>
      <c r="D4" s="12" t="s">
        <v>24</v>
      </c>
      <c r="E4" s="11"/>
      <c r="F4" s="12"/>
      <c r="G4" s="12" t="s">
        <v>3522</v>
      </c>
      <c r="I4" s="24"/>
    </row>
    <row r="5" spans="1:13" ht="27.6">
      <c r="C5" s="15" t="s">
        <v>3728</v>
      </c>
      <c r="D5" s="15" t="s">
        <v>21</v>
      </c>
      <c r="G5" s="10" t="s">
        <v>78</v>
      </c>
      <c r="H5" s="16" t="s">
        <v>3652</v>
      </c>
      <c r="I5" s="24"/>
    </row>
    <row r="6" spans="1:13">
      <c r="C6" s="12" t="s">
        <v>528</v>
      </c>
      <c r="D6" s="12" t="s">
        <v>34</v>
      </c>
      <c r="F6" s="13"/>
      <c r="G6" s="12" t="s">
        <v>87</v>
      </c>
    </row>
    <row r="7" spans="1:13">
      <c r="C7" s="12" t="s">
        <v>303</v>
      </c>
      <c r="D7" s="12" t="s">
        <v>21</v>
      </c>
      <c r="F7" s="13"/>
      <c r="G7" s="12" t="s">
        <v>122</v>
      </c>
      <c r="H7" s="15" t="s">
        <v>3524</v>
      </c>
    </row>
    <row r="8" spans="1:13">
      <c r="C8" s="12" t="s">
        <v>551</v>
      </c>
      <c r="D8" s="12" t="s">
        <v>3523</v>
      </c>
      <c r="F8" s="4"/>
      <c r="G8" s="12" t="s">
        <v>3525</v>
      </c>
      <c r="H8" s="15" t="s">
        <v>3526</v>
      </c>
    </row>
    <row r="9" spans="1:13">
      <c r="C9" s="29" t="s">
        <v>3730</v>
      </c>
      <c r="D9" s="29" t="s">
        <v>126</v>
      </c>
      <c r="E9" s="28"/>
      <c r="F9" s="22"/>
      <c r="G9" s="22" t="s">
        <v>125</v>
      </c>
      <c r="H9" s="27" t="s">
        <v>3598</v>
      </c>
    </row>
    <row r="10" spans="1:13">
      <c r="C10" s="29" t="s">
        <v>123</v>
      </c>
      <c r="D10" s="29" t="s">
        <v>126</v>
      </c>
      <c r="E10" s="28"/>
      <c r="F10" s="22"/>
      <c r="G10" s="22" t="s">
        <v>124</v>
      </c>
      <c r="H10" s="27" t="s">
        <v>3598</v>
      </c>
    </row>
    <row r="11" spans="1:13">
      <c r="C11" s="12" t="s">
        <v>69</v>
      </c>
      <c r="D11" s="12" t="s">
        <v>11</v>
      </c>
      <c r="E11" s="11" t="s">
        <v>16</v>
      </c>
      <c r="F11" s="13" t="s">
        <v>20</v>
      </c>
      <c r="G11" s="12" t="s">
        <v>30</v>
      </c>
    </row>
    <row r="12" spans="1:13">
      <c r="C12" s="12" t="s">
        <v>1</v>
      </c>
      <c r="D12" s="12" t="s">
        <v>37</v>
      </c>
      <c r="E12" s="11"/>
      <c r="F12" s="13"/>
      <c r="G12" s="12" t="s">
        <v>31</v>
      </c>
    </row>
    <row r="13" spans="1:13">
      <c r="C13" s="12" t="s">
        <v>19</v>
      </c>
      <c r="D13" s="12" t="s">
        <v>11</v>
      </c>
      <c r="E13" s="11" t="s">
        <v>16</v>
      </c>
      <c r="F13" s="13" t="s">
        <v>20</v>
      </c>
      <c r="G13" s="12" t="s">
        <v>32</v>
      </c>
    </row>
    <row r="14" spans="1:13">
      <c r="C14" s="12" t="s">
        <v>70</v>
      </c>
      <c r="D14" s="12" t="s">
        <v>37</v>
      </c>
      <c r="E14" s="11"/>
      <c r="F14" s="13"/>
      <c r="G14" s="12" t="s">
        <v>33</v>
      </c>
    </row>
  </sheetData>
  <phoneticPr fontId="3" type="noConversion"/>
  <hyperlinks>
    <hyperlink ref="A1" location="目錄!A1" display="回到目錄"/>
  </hyperlinks>
  <pageMargins left="0.7" right="0.7" top="0.75" bottom="0.75" header="0.3" footer="0.3"/>
  <pageSetup paperSize="9" orientation="portrait" horizontalDpi="300" verticalDpi="30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5"/>
  <dimension ref="A1:N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.453125" style="15" bestFit="1" customWidth="1"/>
    <col min="3" max="3" width="11.36328125" style="15" bestFit="1" customWidth="1"/>
    <col min="4" max="4" width="8.54296875" style="15" bestFit="1" customWidth="1"/>
    <col min="5" max="5" width="7.90625" style="15" bestFit="1" customWidth="1"/>
    <col min="6" max="6" width="8.08984375" style="15" bestFit="1" customWidth="1"/>
    <col min="7" max="7" width="8.54296875" style="15" bestFit="1" customWidth="1"/>
    <col min="8" max="8" width="7.81640625" style="15" bestFit="1" customWidth="1"/>
    <col min="9" max="9" width="8.6328125" style="15" bestFit="1" customWidth="1"/>
    <col min="10" max="10" width="8.54296875" style="15" bestFit="1" customWidth="1"/>
    <col min="11" max="11" width="10" style="15" bestFit="1" customWidth="1"/>
    <col min="12" max="12" width="7" bestFit="1" customWidth="1"/>
    <col min="13" max="13" width="10.36328125" style="15" bestFit="1" customWidth="1"/>
    <col min="14" max="14" width="7.81640625" style="15" bestFit="1" customWidth="1"/>
    <col min="15" max="16384" width="8.7265625" style="15"/>
  </cols>
  <sheetData>
    <row r="1" spans="1:14" ht="13.8">
      <c r="A1" s="63" t="s">
        <v>36</v>
      </c>
      <c r="B1" s="82" t="s">
        <v>4950</v>
      </c>
      <c r="C1" s="82" t="s">
        <v>4164</v>
      </c>
      <c r="D1" s="82" t="s">
        <v>3506</v>
      </c>
      <c r="E1" s="82" t="s">
        <v>3728</v>
      </c>
      <c r="F1" s="82" t="s">
        <v>86</v>
      </c>
      <c r="G1" s="82" t="s">
        <v>121</v>
      </c>
      <c r="H1" s="82" t="s">
        <v>551</v>
      </c>
      <c r="I1" s="82" t="s">
        <v>3730</v>
      </c>
      <c r="J1" s="82" t="s">
        <v>2924</v>
      </c>
      <c r="K1" s="80" t="s">
        <v>0</v>
      </c>
      <c r="L1" s="80" t="s">
        <v>1</v>
      </c>
      <c r="M1" s="80" t="s">
        <v>19</v>
      </c>
      <c r="N1" s="80" t="s">
        <v>2</v>
      </c>
    </row>
    <row r="2" spans="1:14" ht="13.8">
      <c r="B2" s="15" t="s">
        <v>503</v>
      </c>
      <c r="C2" s="15" t="s">
        <v>3503</v>
      </c>
      <c r="D2" s="15" t="s">
        <v>503</v>
      </c>
      <c r="E2" s="15" t="s">
        <v>154</v>
      </c>
      <c r="F2" s="15">
        <v>10</v>
      </c>
      <c r="G2" s="15" t="s">
        <v>154</v>
      </c>
      <c r="H2" s="15">
        <v>0</v>
      </c>
      <c r="I2" s="15">
        <v>20200101</v>
      </c>
      <c r="J2" s="15">
        <v>99991231</v>
      </c>
      <c r="K2" s="81"/>
      <c r="L2" s="1" t="s">
        <v>522</v>
      </c>
      <c r="M2" s="81"/>
      <c r="N2" s="1" t="s">
        <v>522</v>
      </c>
    </row>
    <row r="3" spans="1:14" ht="13.8">
      <c r="B3" s="15" t="s">
        <v>503</v>
      </c>
      <c r="C3" s="15" t="s">
        <v>3504</v>
      </c>
      <c r="D3" s="15" t="s">
        <v>503</v>
      </c>
      <c r="E3" s="15" t="s">
        <v>154</v>
      </c>
      <c r="F3" s="15">
        <v>20</v>
      </c>
      <c r="G3" s="15" t="s">
        <v>154</v>
      </c>
      <c r="H3" s="15">
        <v>0</v>
      </c>
      <c r="I3" s="15">
        <v>20200101</v>
      </c>
      <c r="J3" s="15">
        <v>99991231</v>
      </c>
      <c r="K3" s="81"/>
      <c r="L3" s="1" t="s">
        <v>522</v>
      </c>
      <c r="M3" s="81"/>
      <c r="N3" s="1" t="s">
        <v>522</v>
      </c>
    </row>
    <row r="4" spans="1:14" ht="13.8">
      <c r="B4" s="15" t="s">
        <v>503</v>
      </c>
      <c r="C4" s="15" t="s">
        <v>3505</v>
      </c>
      <c r="D4" s="15" t="s">
        <v>503</v>
      </c>
      <c r="E4" s="15" t="s">
        <v>154</v>
      </c>
      <c r="F4" s="15">
        <v>6</v>
      </c>
      <c r="G4" s="15" t="s">
        <v>154</v>
      </c>
      <c r="H4" s="15">
        <v>0</v>
      </c>
      <c r="I4" s="15">
        <v>20200101</v>
      </c>
      <c r="J4" s="15">
        <v>99991231</v>
      </c>
      <c r="K4" s="81"/>
      <c r="L4" s="1" t="s">
        <v>522</v>
      </c>
      <c r="M4" s="81"/>
      <c r="N4" s="1" t="s">
        <v>522</v>
      </c>
    </row>
    <row r="5" spans="1:14" ht="13.8">
      <c r="B5" s="15" t="s">
        <v>553</v>
      </c>
      <c r="C5" s="15" t="s">
        <v>3513</v>
      </c>
      <c r="D5" s="15" t="s">
        <v>3060</v>
      </c>
      <c r="E5" s="15" t="s">
        <v>154</v>
      </c>
      <c r="F5" s="15">
        <v>1</v>
      </c>
      <c r="G5" s="15" t="s">
        <v>154</v>
      </c>
      <c r="H5" s="15">
        <v>1</v>
      </c>
      <c r="I5" s="15">
        <v>20200101</v>
      </c>
      <c r="J5" s="15">
        <v>99991231</v>
      </c>
      <c r="K5" s="81"/>
      <c r="L5" s="1" t="s">
        <v>522</v>
      </c>
      <c r="M5" s="81"/>
      <c r="N5" s="1" t="s">
        <v>522</v>
      </c>
    </row>
    <row r="6" spans="1:14" ht="13.8">
      <c r="B6" s="15" t="s">
        <v>553</v>
      </c>
      <c r="C6" s="15" t="s">
        <v>3514</v>
      </c>
      <c r="D6" s="15" t="s">
        <v>3060</v>
      </c>
      <c r="E6" s="15" t="s">
        <v>154</v>
      </c>
      <c r="F6" s="15">
        <v>1</v>
      </c>
      <c r="G6" s="15" t="s">
        <v>154</v>
      </c>
      <c r="H6" s="15">
        <v>2</v>
      </c>
      <c r="I6" s="15">
        <v>20200101</v>
      </c>
      <c r="J6" s="15">
        <v>99991231</v>
      </c>
      <c r="K6" s="81"/>
      <c r="L6" s="1" t="s">
        <v>522</v>
      </c>
      <c r="M6" s="81"/>
      <c r="N6" s="1" t="s">
        <v>522</v>
      </c>
    </row>
    <row r="7" spans="1:14" ht="13.8">
      <c r="B7" s="15" t="s">
        <v>553</v>
      </c>
      <c r="C7" s="15" t="s">
        <v>3515</v>
      </c>
      <c r="D7" s="15" t="s">
        <v>3060</v>
      </c>
      <c r="E7" s="15" t="s">
        <v>154</v>
      </c>
      <c r="F7" s="15">
        <v>1</v>
      </c>
      <c r="G7" s="15" t="s">
        <v>154</v>
      </c>
      <c r="H7" s="15">
        <v>3</v>
      </c>
      <c r="I7" s="15">
        <v>20200101</v>
      </c>
      <c r="J7" s="15">
        <v>99991231</v>
      </c>
      <c r="K7" s="81"/>
      <c r="L7" s="1" t="s">
        <v>522</v>
      </c>
      <c r="M7" s="81"/>
      <c r="N7" s="1" t="s">
        <v>522</v>
      </c>
    </row>
    <row r="8" spans="1:14" ht="13.8">
      <c r="B8" s="15" t="s">
        <v>553</v>
      </c>
      <c r="C8" s="15" t="s">
        <v>3516</v>
      </c>
      <c r="D8" s="15" t="s">
        <v>3060</v>
      </c>
      <c r="E8" s="15" t="s">
        <v>154</v>
      </c>
      <c r="F8" s="15">
        <v>1</v>
      </c>
      <c r="G8" s="15" t="s">
        <v>154</v>
      </c>
      <c r="H8" s="15">
        <v>4</v>
      </c>
      <c r="I8" s="15">
        <v>20200101</v>
      </c>
      <c r="J8" s="15">
        <v>99991231</v>
      </c>
      <c r="K8" s="81"/>
      <c r="L8" s="1" t="s">
        <v>522</v>
      </c>
      <c r="M8" s="81"/>
      <c r="N8" s="1" t="s">
        <v>522</v>
      </c>
    </row>
    <row r="9" spans="1:14" ht="13.8">
      <c r="B9" s="15" t="s">
        <v>553</v>
      </c>
      <c r="C9" s="15" t="s">
        <v>3517</v>
      </c>
      <c r="D9" s="15" t="s">
        <v>3060</v>
      </c>
      <c r="E9" s="15" t="s">
        <v>154</v>
      </c>
      <c r="F9" s="15">
        <v>1</v>
      </c>
      <c r="G9" s="15" t="s">
        <v>154</v>
      </c>
      <c r="H9" s="15">
        <v>5</v>
      </c>
      <c r="I9" s="15">
        <v>20200101</v>
      </c>
      <c r="J9" s="15">
        <v>99991231</v>
      </c>
      <c r="K9" s="81"/>
      <c r="L9" s="1" t="s">
        <v>522</v>
      </c>
      <c r="M9" s="81"/>
      <c r="N9" s="1" t="s">
        <v>522</v>
      </c>
    </row>
    <row r="10" spans="1:14" ht="13.8">
      <c r="B10" s="15" t="s">
        <v>553</v>
      </c>
      <c r="C10" s="15" t="s">
        <v>3518</v>
      </c>
      <c r="D10" s="15" t="s">
        <v>3060</v>
      </c>
      <c r="E10" s="15" t="s">
        <v>154</v>
      </c>
      <c r="F10" s="15">
        <v>1</v>
      </c>
      <c r="G10" s="15" t="s">
        <v>154</v>
      </c>
      <c r="H10" s="15">
        <v>6</v>
      </c>
      <c r="I10" s="15">
        <v>20200101</v>
      </c>
      <c r="J10" s="15">
        <v>99991231</v>
      </c>
      <c r="K10" s="81"/>
      <c r="L10" s="1" t="s">
        <v>522</v>
      </c>
      <c r="M10" s="81"/>
      <c r="N10" s="1" t="s">
        <v>522</v>
      </c>
    </row>
    <row r="11" spans="1:14" ht="13.8">
      <c r="B11" s="15" t="s">
        <v>3124</v>
      </c>
      <c r="C11" s="15" t="s">
        <v>3507</v>
      </c>
      <c r="D11" s="15" t="s">
        <v>3415</v>
      </c>
      <c r="E11" s="15" t="s">
        <v>154</v>
      </c>
      <c r="F11" s="15">
        <v>1</v>
      </c>
      <c r="G11" s="15">
        <v>1</v>
      </c>
      <c r="H11" s="15">
        <v>0</v>
      </c>
      <c r="I11" s="15">
        <v>20200101</v>
      </c>
      <c r="J11" s="15">
        <v>99991231</v>
      </c>
      <c r="K11" s="81"/>
      <c r="L11" s="1" t="s">
        <v>522</v>
      </c>
      <c r="M11" s="81"/>
      <c r="N11" s="1" t="s">
        <v>522</v>
      </c>
    </row>
    <row r="12" spans="1:14" ht="13.8">
      <c r="B12" s="15" t="s">
        <v>3124</v>
      </c>
      <c r="C12" s="15" t="s">
        <v>3508</v>
      </c>
      <c r="D12" s="15" t="s">
        <v>3415</v>
      </c>
      <c r="E12" s="15" t="s">
        <v>154</v>
      </c>
      <c r="F12" s="15">
        <v>1</v>
      </c>
      <c r="G12" s="15">
        <v>2</v>
      </c>
      <c r="H12" s="15">
        <v>0</v>
      </c>
      <c r="I12" s="15">
        <v>20200101</v>
      </c>
      <c r="J12" s="15">
        <v>99991231</v>
      </c>
      <c r="K12" s="81"/>
      <c r="L12" s="1" t="s">
        <v>522</v>
      </c>
      <c r="M12" s="81"/>
      <c r="N12" s="1" t="s">
        <v>522</v>
      </c>
    </row>
    <row r="13" spans="1:14" ht="13.8">
      <c r="B13" s="15" t="s">
        <v>3124</v>
      </c>
      <c r="C13" s="15" t="s">
        <v>3509</v>
      </c>
      <c r="D13" s="15" t="s">
        <v>3415</v>
      </c>
      <c r="E13" s="15" t="s">
        <v>154</v>
      </c>
      <c r="F13" s="15">
        <v>1</v>
      </c>
      <c r="G13" s="15">
        <v>3</v>
      </c>
      <c r="H13" s="15">
        <v>0</v>
      </c>
      <c r="I13" s="15">
        <v>20200101</v>
      </c>
      <c r="J13" s="15">
        <v>99991231</v>
      </c>
      <c r="K13" s="81"/>
      <c r="L13" s="1" t="s">
        <v>522</v>
      </c>
      <c r="M13" s="81"/>
      <c r="N13" s="1" t="s">
        <v>522</v>
      </c>
    </row>
    <row r="14" spans="1:14" ht="13.8">
      <c r="B14" s="15" t="s">
        <v>3124</v>
      </c>
      <c r="C14" s="15" t="s">
        <v>3510</v>
      </c>
      <c r="D14" s="15" t="s">
        <v>3415</v>
      </c>
      <c r="E14" s="15" t="s">
        <v>154</v>
      </c>
      <c r="F14" s="15">
        <v>1</v>
      </c>
      <c r="G14" s="15">
        <v>4</v>
      </c>
      <c r="H14" s="15">
        <v>0</v>
      </c>
      <c r="I14" s="15">
        <v>20200101</v>
      </c>
      <c r="J14" s="15">
        <v>99991231</v>
      </c>
      <c r="K14" s="81"/>
      <c r="L14" s="1" t="s">
        <v>522</v>
      </c>
      <c r="M14" s="81"/>
      <c r="N14" s="1" t="s">
        <v>522</v>
      </c>
    </row>
    <row r="15" spans="1:14" ht="13.8">
      <c r="B15" s="15" t="s">
        <v>3124</v>
      </c>
      <c r="C15" s="15" t="s">
        <v>3511</v>
      </c>
      <c r="D15" s="15" t="s">
        <v>3415</v>
      </c>
      <c r="E15" s="15" t="s">
        <v>154</v>
      </c>
      <c r="F15" s="15">
        <v>1</v>
      </c>
      <c r="G15" s="15">
        <v>5</v>
      </c>
      <c r="H15" s="15">
        <v>0</v>
      </c>
      <c r="I15" s="15">
        <v>20200101</v>
      </c>
      <c r="J15" s="15">
        <v>99991231</v>
      </c>
      <c r="K15" s="81"/>
      <c r="L15" s="1" t="s">
        <v>522</v>
      </c>
      <c r="M15" s="81"/>
      <c r="N15" s="1" t="s">
        <v>522</v>
      </c>
    </row>
    <row r="16" spans="1:14" ht="13.8">
      <c r="B16" s="15" t="s">
        <v>3124</v>
      </c>
      <c r="C16" s="15" t="s">
        <v>3512</v>
      </c>
      <c r="D16" s="15" t="s">
        <v>3415</v>
      </c>
      <c r="E16" s="15" t="s">
        <v>154</v>
      </c>
      <c r="F16" s="15">
        <v>1</v>
      </c>
      <c r="G16" s="15">
        <v>6</v>
      </c>
      <c r="H16" s="15">
        <v>0</v>
      </c>
      <c r="I16" s="15">
        <v>20200101</v>
      </c>
      <c r="J16" s="15">
        <v>99991231</v>
      </c>
      <c r="K16" s="81"/>
      <c r="L16" s="1" t="s">
        <v>522</v>
      </c>
      <c r="M16" s="81"/>
      <c r="N16" s="1" t="s">
        <v>522</v>
      </c>
    </row>
    <row r="17" spans="2:14" ht="13.8">
      <c r="B17" s="15" t="s">
        <v>3520</v>
      </c>
      <c r="C17" s="15" t="s">
        <v>3519</v>
      </c>
      <c r="D17" s="15" t="s">
        <v>3520</v>
      </c>
      <c r="E17" s="15" t="s">
        <v>154</v>
      </c>
      <c r="F17" s="15">
        <v>1</v>
      </c>
      <c r="G17" s="15" t="s">
        <v>3521</v>
      </c>
      <c r="H17" s="15">
        <v>0</v>
      </c>
      <c r="I17" s="15">
        <v>20200101</v>
      </c>
      <c r="J17" s="15">
        <v>99991231</v>
      </c>
      <c r="K17" s="81"/>
      <c r="L17" s="1" t="s">
        <v>522</v>
      </c>
      <c r="M17" s="81"/>
      <c r="N17" s="1" t="s">
        <v>522</v>
      </c>
    </row>
  </sheetData>
  <phoneticPr fontId="3" type="noConversion"/>
  <hyperlinks>
    <hyperlink ref="A1" location="目錄!A1" display="回到目錄"/>
  </hyperlinks>
  <pageMargins left="0.7" right="0.7" top="0.75" bottom="0.75" header="0.3" footer="0.3"/>
  <pageSetup paperSize="9" orientation="portrait" horizontalDpi="300" verticalDpi="30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8"/>
  <dimension ref="A1:O8"/>
  <sheetViews>
    <sheetView workbookViewId="0"/>
  </sheetViews>
  <sheetFormatPr defaultColWidth="11.1796875" defaultRowHeight="13.8"/>
  <cols>
    <col min="1" max="1" width="7.453125" style="10" bestFit="1" customWidth="1"/>
    <col min="2" max="2" width="4.36328125" style="14" bestFit="1" customWidth="1"/>
    <col min="3" max="3" width="12.54296875" style="15" bestFit="1" customWidth="1"/>
    <col min="4" max="4" width="10.08984375" style="15" bestFit="1" customWidth="1"/>
    <col min="5" max="5" width="7.54296875" style="14" bestFit="1" customWidth="1"/>
    <col min="6" max="7" width="11.54296875" style="10" bestFit="1" customWidth="1"/>
    <col min="8" max="8" width="20.453125" style="15" customWidth="1"/>
    <col min="9" max="9" width="10.08984375" style="15" bestFit="1" customWidth="1"/>
    <col min="10" max="10" width="3.6328125" style="15" bestFit="1" customWidth="1"/>
    <col min="11" max="12" width="5.90625" style="15" bestFit="1" customWidth="1"/>
    <col min="13" max="13" width="9" style="15" bestFit="1" customWidth="1"/>
    <col min="14" max="15" width="11.1796875" style="15"/>
    <col min="16" max="16384" width="11.1796875" style="10"/>
  </cols>
  <sheetData>
    <row r="1" spans="1:15" s="17" customFormat="1">
      <c r="A1" s="23" t="s">
        <v>36</v>
      </c>
      <c r="B1" s="5" t="s">
        <v>5</v>
      </c>
      <c r="C1" s="20" t="s">
        <v>3</v>
      </c>
      <c r="D1" s="20" t="s">
        <v>4</v>
      </c>
      <c r="E1" s="7" t="s">
        <v>6</v>
      </c>
      <c r="F1" s="8" t="s">
        <v>13</v>
      </c>
      <c r="G1" s="8" t="s">
        <v>7</v>
      </c>
      <c r="H1" s="9" t="s">
        <v>8</v>
      </c>
      <c r="I1" s="9" t="s">
        <v>105</v>
      </c>
      <c r="J1" s="38"/>
      <c r="K1" s="38"/>
      <c r="L1" s="38"/>
      <c r="M1" s="38"/>
      <c r="N1" s="38"/>
      <c r="O1" s="38"/>
    </row>
    <row r="2" spans="1:15">
      <c r="C2" s="12" t="s">
        <v>3752</v>
      </c>
      <c r="D2" s="12" t="s">
        <v>3529</v>
      </c>
      <c r="E2" s="11"/>
      <c r="G2" s="4" t="s">
        <v>157</v>
      </c>
      <c r="H2" s="34"/>
      <c r="I2" s="39" t="s">
        <v>3530</v>
      </c>
    </row>
    <row r="3" spans="1:15">
      <c r="B3" s="14" t="s">
        <v>161</v>
      </c>
      <c r="C3" s="12" t="s">
        <v>165</v>
      </c>
      <c r="D3" s="12" t="s">
        <v>242</v>
      </c>
      <c r="E3" s="11"/>
      <c r="G3" s="4" t="s">
        <v>166</v>
      </c>
    </row>
    <row r="4" spans="1:15">
      <c r="C4" s="13" t="s">
        <v>163</v>
      </c>
      <c r="D4" s="15" t="s">
        <v>134</v>
      </c>
      <c r="E4" s="11"/>
      <c r="G4" s="12" t="s">
        <v>164</v>
      </c>
      <c r="H4" s="24"/>
      <c r="I4" s="24"/>
    </row>
    <row r="5" spans="1:15">
      <c r="C5" s="12" t="s">
        <v>69</v>
      </c>
      <c r="D5" s="12" t="s">
        <v>11</v>
      </c>
      <c r="E5" s="11" t="s">
        <v>16</v>
      </c>
      <c r="F5" s="13" t="s">
        <v>20</v>
      </c>
      <c r="G5" s="12" t="s">
        <v>30</v>
      </c>
    </row>
    <row r="6" spans="1:15">
      <c r="C6" s="12" t="s">
        <v>1</v>
      </c>
      <c r="D6" s="12" t="s">
        <v>37</v>
      </c>
      <c r="E6" s="11"/>
      <c r="F6" s="13"/>
      <c r="G6" s="12" t="s">
        <v>31</v>
      </c>
    </row>
    <row r="7" spans="1:15">
      <c r="C7" s="12" t="s">
        <v>19</v>
      </c>
      <c r="D7" s="12" t="s">
        <v>11</v>
      </c>
      <c r="E7" s="11" t="s">
        <v>16</v>
      </c>
      <c r="F7" s="13" t="s">
        <v>20</v>
      </c>
      <c r="G7" s="12" t="s">
        <v>32</v>
      </c>
    </row>
    <row r="8" spans="1:15">
      <c r="C8" s="12" t="s">
        <v>70</v>
      </c>
      <c r="D8" s="12" t="s">
        <v>37</v>
      </c>
      <c r="E8" s="11"/>
      <c r="F8" s="13"/>
      <c r="G8" s="12" t="s">
        <v>33</v>
      </c>
    </row>
  </sheetData>
  <phoneticPr fontId="3" type="noConversion"/>
  <hyperlinks>
    <hyperlink ref="A1" location="目錄!A1" display="回到目錄"/>
  </hyperlink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5"/>
  <dimension ref="A1:H5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" width="7.453125" style="1" bestFit="1" customWidth="1"/>
    <col min="2" max="2" width="11.54296875" style="1" bestFit="1" customWidth="1"/>
    <col min="3" max="3" width="11.81640625" style="1" bestFit="1" customWidth="1"/>
    <col min="4" max="4" width="15.6328125" style="1" bestFit="1" customWidth="1"/>
    <col min="5" max="5" width="10" style="1" bestFit="1" customWidth="1"/>
    <col min="6" max="6" width="7" style="1" bestFit="1" customWidth="1"/>
    <col min="7" max="7" width="10.36328125" style="1" bestFit="1" customWidth="1"/>
    <col min="8" max="8" width="7.81640625" style="1" bestFit="1" customWidth="1"/>
    <col min="9" max="16384" width="8.7265625" style="1"/>
  </cols>
  <sheetData>
    <row r="1" spans="1:8">
      <c r="A1" s="63" t="s">
        <v>36</v>
      </c>
      <c r="B1" s="80" t="s">
        <v>3752</v>
      </c>
      <c r="C1" s="80" t="s">
        <v>3227</v>
      </c>
      <c r="D1" s="80" t="s">
        <v>3228</v>
      </c>
      <c r="E1" s="80" t="s">
        <v>0</v>
      </c>
      <c r="F1" s="80" t="s">
        <v>1</v>
      </c>
      <c r="G1" s="80" t="s">
        <v>19</v>
      </c>
      <c r="H1" s="80" t="s">
        <v>2</v>
      </c>
    </row>
    <row r="2" spans="1:8">
      <c r="B2" s="1" t="s">
        <v>4165</v>
      </c>
      <c r="C2" s="1">
        <v>1</v>
      </c>
      <c r="D2" s="1" t="s">
        <v>4166</v>
      </c>
      <c r="E2" s="81"/>
      <c r="F2" s="1" t="s">
        <v>522</v>
      </c>
      <c r="G2" s="81"/>
      <c r="H2" s="1" t="s">
        <v>522</v>
      </c>
    </row>
    <row r="3" spans="1:8">
      <c r="B3" s="1" t="s">
        <v>4167</v>
      </c>
      <c r="C3" s="1">
        <v>2</v>
      </c>
      <c r="D3" s="1" t="s">
        <v>4168</v>
      </c>
      <c r="E3" s="81"/>
      <c r="F3" s="1" t="s">
        <v>522</v>
      </c>
      <c r="G3" s="81"/>
      <c r="H3" s="1" t="s">
        <v>522</v>
      </c>
    </row>
    <row r="4" spans="1:8">
      <c r="B4" s="1" t="s">
        <v>4169</v>
      </c>
      <c r="C4" s="1">
        <v>3</v>
      </c>
      <c r="D4" s="1" t="s">
        <v>3229</v>
      </c>
      <c r="E4" s="81"/>
      <c r="F4" s="1" t="s">
        <v>522</v>
      </c>
      <c r="G4" s="81"/>
      <c r="H4" s="1" t="s">
        <v>522</v>
      </c>
    </row>
    <row r="5" spans="1:8">
      <c r="B5" s="1" t="s">
        <v>4170</v>
      </c>
      <c r="C5" s="1">
        <v>4</v>
      </c>
      <c r="D5" s="1" t="s">
        <v>4171</v>
      </c>
      <c r="E5" s="81"/>
      <c r="F5" s="1" t="s">
        <v>522</v>
      </c>
      <c r="G5" s="81"/>
      <c r="H5" s="1" t="s">
        <v>522</v>
      </c>
    </row>
  </sheetData>
  <phoneticPr fontId="3" type="noConversion"/>
  <hyperlinks>
    <hyperlink ref="A1" location="目錄!A1" display="回到目錄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6"/>
  <dimension ref="A1:S12"/>
  <sheetViews>
    <sheetView workbookViewId="0">
      <pane ySplit="1" topLeftCell="A2" activePane="bottomLeft" state="frozen"/>
      <selection activeCell="B1" sqref="B1"/>
      <selection pane="bottomLeft"/>
    </sheetView>
  </sheetViews>
  <sheetFormatPr defaultColWidth="11.1796875" defaultRowHeight="13.8"/>
  <cols>
    <col min="1" max="1" width="7.453125" style="10" bestFit="1" customWidth="1"/>
    <col min="2" max="2" width="4.36328125" style="14" bestFit="1" customWidth="1"/>
    <col min="3" max="3" width="17" style="15" bestFit="1" customWidth="1"/>
    <col min="4" max="4" width="10.08984375" style="15" bestFit="1" customWidth="1"/>
    <col min="5" max="5" width="7.54296875" style="14" bestFit="1" customWidth="1"/>
    <col min="6" max="7" width="11.54296875" style="10" bestFit="1" customWidth="1"/>
    <col min="8" max="8" width="30.81640625" style="15" bestFit="1" customWidth="1"/>
    <col min="9" max="9" width="10.08984375" style="15" bestFit="1" customWidth="1"/>
    <col min="10" max="11" width="11.1796875" style="10"/>
    <col min="12" max="12" width="4.26953125" style="10" bestFit="1" customWidth="1"/>
    <col min="13" max="13" width="6.36328125" style="10" bestFit="1" customWidth="1"/>
    <col min="14" max="16384" width="11.1796875" style="10"/>
  </cols>
  <sheetData>
    <row r="1" spans="1:19" s="17" customFormat="1">
      <c r="A1" s="23" t="s">
        <v>36</v>
      </c>
      <c r="B1" s="5" t="s">
        <v>5</v>
      </c>
      <c r="C1" s="20" t="s">
        <v>3</v>
      </c>
      <c r="D1" s="20" t="s">
        <v>4</v>
      </c>
      <c r="E1" s="7" t="s">
        <v>6</v>
      </c>
      <c r="F1" s="8" t="s">
        <v>13</v>
      </c>
      <c r="G1" s="8" t="s">
        <v>7</v>
      </c>
      <c r="H1" s="9" t="s">
        <v>8</v>
      </c>
      <c r="I1" s="9" t="s">
        <v>105</v>
      </c>
      <c r="L1" s="72" t="s">
        <v>240</v>
      </c>
      <c r="M1" s="72" t="s">
        <v>3664</v>
      </c>
      <c r="N1" s="72" t="s">
        <v>470</v>
      </c>
      <c r="O1" s="72" t="s">
        <v>471</v>
      </c>
      <c r="P1" s="72" t="s">
        <v>472</v>
      </c>
      <c r="Q1" s="72" t="s">
        <v>473</v>
      </c>
      <c r="R1" s="72" t="s">
        <v>474</v>
      </c>
      <c r="S1" s="73" t="s">
        <v>475</v>
      </c>
    </row>
    <row r="2" spans="1:19">
      <c r="B2" s="14" t="s">
        <v>161</v>
      </c>
      <c r="C2" s="12" t="s">
        <v>3752</v>
      </c>
      <c r="D2" s="12" t="s">
        <v>3529</v>
      </c>
      <c r="E2" s="11"/>
      <c r="G2" s="4" t="s">
        <v>157</v>
      </c>
      <c r="H2" s="34"/>
      <c r="I2" s="39" t="s">
        <v>3530</v>
      </c>
      <c r="J2" s="10" t="s">
        <v>749</v>
      </c>
      <c r="K2" s="10" t="s">
        <v>749</v>
      </c>
      <c r="L2" s="36"/>
      <c r="M2" s="34"/>
      <c r="N2" s="36" t="str">
        <f>"EXEC sp_dropextendedproperty @name = N'MS_Description', @level0type=N'SCHEMA',@level0name=N'"&amp;$L$1&amp;"', @level1type=N'TABLE',@level1name=N'"&amp;$M$1&amp;"', @level2type=N'COLUMN',@level2name=N'"&amp;$C2&amp;"'"</f>
        <v>EXEC sp_dropextendedproperty @name = N'MS_Description', @level0type=N'SCHEMA',@level0name=N'dbo', @level1type=N'TABLE',@level1name=N'Channel', @level2type=N'COLUMN',@level2name=N'ChannelCode'</v>
      </c>
      <c r="O2" s="36" t="str">
        <f>"EXEC sp_dropextendedproperty @name = N'Rule', @level0type=N'SCHEMA',@level0name=N'"&amp;$L$1&amp;"', @level1type=N'TABLE',@level1name=N'"&amp;$M$1&amp;"', @level2type=N'COLUMN',@level2name=N'"&amp;$C2&amp;"'"</f>
        <v>EXEC sp_dropextendedproperty @name = N'Rule', @level0type=N'SCHEMA',@level0name=N'dbo', @level1type=N'TABLE',@level1name=N'Channel', @level2type=N'COLUMN',@level2name=N'ChannelCode'</v>
      </c>
      <c r="P2" s="36" t="str">
        <f>"EXEC sp_dropextendedproperty @name = N'Memo', @level0type=N'SCHEMA',@level0name=N'"&amp;$L$1&amp;"', @level1type=N'TABLE',@level1name=N'"&amp;$M$1&amp;"', @level2type=N'COLUMN',@level2name=N'"&amp;$C2&amp;"'"</f>
        <v>EXEC sp_dropextendedproperty @name = N'Memo', @level0type=N'SCHEMA',@level0name=N'dbo', @level1type=N'TABLE',@level1name=N'Channel', @level2type=N'COLUMN',@level2name=N'ChannelCode'</v>
      </c>
      <c r="Q2" s="36" t="str">
        <f>"set @OldWording = N'"&amp;SUBSTITUTE($G2,CHAR(10),"")&amp;"'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@level2type=N'COLUMN',@level2name=N'"&amp;$C2&amp;"'"</f>
        <v>set @OldWording = N'通路代碼' set @NewWording = REPLACE(@OldWording,'***',char(13)+char(10)) EXEC sys.sp_addextendedproperty @name=N'MS_Description', @value=@NewWording , @level0type=N'SCHEMA',@level0name=N'dbo', @level1type=N'TABLE',@level1name=N'Channel', @level2type=N'COLUMN',@level2name=N'ChannelCode'</v>
      </c>
      <c r="R2" s="32" t="str">
        <f>"set @OldWording = N'"&amp;SUBSTITUTE($H2,CHAR(10),"")&amp;"'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@name=N'Rule', @value=@NewWording , @level0type=N'SCHEMA',@level0name=N'dbo', @level1type=N'TABLE',@level1name=N'Channel', @level2type=N'COLUMN',@level2name=N'ChannelCode'</v>
      </c>
      <c r="S2" s="36" t="str">
        <f>"set @OldWording = N'"&amp;SUBSTITUTE($I2,CHAR(10),"")&amp;"' set @NewWording = REPLACE(@OldWording,'***',char(13)+char(10)) "&amp;"EXEC sys.sp_addextendedproperty @name=N'Memo', @value=@NewWording , @level0type=N'SCHEMA',@level0name=N'"&amp;$L$1&amp;"', @level1type=N'TABLE',@level1name=N'"&amp;$M$1&amp;"', @level2type=N'COLUMN',@level2name=N'"&amp;$C2&amp;"'"</f>
        <v>set @OldWording = N'PPL.000.032' set @NewWording = REPLACE(@OldWording,'***',char(13)+char(10)) EXEC sys.sp_addextendedproperty @name=N'Memo', @value=@NewWording , @level0type=N'SCHEMA',@level0name=N'dbo', @level1type=N'TABLE',@level1name=N'Channel', @level2type=N'COLUMN',@level2name=N'ChannelCode'</v>
      </c>
    </row>
    <row r="3" spans="1:19">
      <c r="B3" s="14" t="s">
        <v>14</v>
      </c>
      <c r="C3" s="13" t="s">
        <v>3751</v>
      </c>
      <c r="D3" s="13" t="s">
        <v>215</v>
      </c>
      <c r="E3" s="11"/>
      <c r="G3" s="12" t="s">
        <v>158</v>
      </c>
      <c r="H3" s="24" t="s">
        <v>168</v>
      </c>
      <c r="I3" s="24"/>
      <c r="J3" s="10" t="s">
        <v>750</v>
      </c>
      <c r="K3" s="10" t="s">
        <v>751</v>
      </c>
    </row>
    <row r="4" spans="1:19">
      <c r="C4" s="12" t="s">
        <v>165</v>
      </c>
      <c r="D4" s="12" t="s">
        <v>242</v>
      </c>
      <c r="E4" s="11"/>
      <c r="G4" s="4" t="s">
        <v>166</v>
      </c>
      <c r="H4" s="15" t="s">
        <v>167</v>
      </c>
      <c r="J4" s="10">
        <v>1</v>
      </c>
      <c r="K4" s="10">
        <v>2</v>
      </c>
    </row>
    <row r="5" spans="1:19">
      <c r="C5" s="12" t="s">
        <v>69</v>
      </c>
      <c r="D5" s="12" t="s">
        <v>11</v>
      </c>
      <c r="E5" s="11" t="s">
        <v>16</v>
      </c>
      <c r="F5" s="13" t="s">
        <v>20</v>
      </c>
      <c r="G5" s="12" t="s">
        <v>30</v>
      </c>
    </row>
    <row r="6" spans="1:19">
      <c r="C6" s="12" t="s">
        <v>1</v>
      </c>
      <c r="D6" s="12" t="s">
        <v>37</v>
      </c>
      <c r="E6" s="11"/>
      <c r="F6" s="13"/>
      <c r="G6" s="12" t="s">
        <v>31</v>
      </c>
    </row>
    <row r="7" spans="1:19">
      <c r="C7" s="12" t="s">
        <v>19</v>
      </c>
      <c r="D7" s="12" t="s">
        <v>11</v>
      </c>
      <c r="E7" s="11" t="s">
        <v>16</v>
      </c>
      <c r="F7" s="13" t="s">
        <v>20</v>
      </c>
      <c r="G7" s="12" t="s">
        <v>32</v>
      </c>
    </row>
    <row r="8" spans="1:19">
      <c r="C8" s="12" t="s">
        <v>70</v>
      </c>
      <c r="D8" s="12" t="s">
        <v>37</v>
      </c>
      <c r="E8" s="11"/>
      <c r="F8" s="13"/>
      <c r="G8" s="12" t="s">
        <v>33</v>
      </c>
    </row>
    <row r="10" spans="1:19">
      <c r="G10" s="10" t="s">
        <v>2947</v>
      </c>
    </row>
    <row r="11" spans="1:19">
      <c r="G11" s="10" t="s">
        <v>2948</v>
      </c>
    </row>
    <row r="12" spans="1:19">
      <c r="G12" s="10" t="s">
        <v>2949</v>
      </c>
    </row>
  </sheetData>
  <phoneticPr fontId="3" type="noConversion"/>
  <hyperlinks>
    <hyperlink ref="A1" location="目錄!A1" display="回到目錄"/>
  </hyperlinks>
  <pageMargins left="0.7" right="0.7" top="0.75" bottom="0.75" header="0.3" footer="0.3"/>
  <pageSetup paperSize="9" orientation="portrait" horizontalDpi="300" verticalDpi="300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3"/>
  <dimension ref="A1:H5"/>
  <sheetViews>
    <sheetView workbookViewId="0"/>
  </sheetViews>
  <sheetFormatPr defaultRowHeight="13.8"/>
  <cols>
    <col min="1" max="1" width="7.453125" style="1" bestFit="1" customWidth="1"/>
    <col min="2" max="2" width="13.81640625" style="1" customWidth="1"/>
    <col min="3" max="3" width="16.54296875" style="1" customWidth="1"/>
    <col min="4" max="4" width="11.81640625" style="1" bestFit="1" customWidth="1"/>
    <col min="5" max="5" width="10" style="1" bestFit="1" customWidth="1"/>
    <col min="6" max="6" width="7" style="1" bestFit="1" customWidth="1"/>
    <col min="7" max="7" width="10.36328125" style="1" bestFit="1" customWidth="1"/>
    <col min="8" max="8" width="7.81640625" style="1" bestFit="1" customWidth="1"/>
    <col min="9" max="16384" width="8.7265625" style="1"/>
  </cols>
  <sheetData>
    <row r="1" spans="1:8">
      <c r="A1" s="63" t="s">
        <v>36</v>
      </c>
      <c r="B1" s="80" t="s">
        <v>3752</v>
      </c>
      <c r="C1" s="80" t="s">
        <v>3751</v>
      </c>
      <c r="D1" s="80" t="s">
        <v>3227</v>
      </c>
      <c r="E1" s="80" t="s">
        <v>0</v>
      </c>
      <c r="F1" s="80" t="s">
        <v>1</v>
      </c>
      <c r="G1" s="80" t="s">
        <v>19</v>
      </c>
      <c r="H1" s="80" t="s">
        <v>2</v>
      </c>
    </row>
    <row r="2" spans="1:8">
      <c r="B2" s="1" t="s">
        <v>4165</v>
      </c>
      <c r="C2" s="1" t="s">
        <v>526</v>
      </c>
      <c r="D2" s="1">
        <v>1</v>
      </c>
      <c r="E2" s="81"/>
      <c r="F2" s="1" t="s">
        <v>522</v>
      </c>
      <c r="G2" s="81"/>
      <c r="H2" s="1" t="s">
        <v>522</v>
      </c>
    </row>
    <row r="3" spans="1:8">
      <c r="B3" s="1" t="s">
        <v>4167</v>
      </c>
      <c r="C3" s="1" t="s">
        <v>526</v>
      </c>
      <c r="D3" s="1">
        <v>2</v>
      </c>
      <c r="E3" s="81"/>
      <c r="F3" s="1" t="s">
        <v>522</v>
      </c>
      <c r="G3" s="81"/>
      <c r="H3" s="1" t="s">
        <v>522</v>
      </c>
    </row>
    <row r="4" spans="1:8">
      <c r="B4" s="1" t="s">
        <v>4169</v>
      </c>
      <c r="C4" s="1" t="s">
        <v>526</v>
      </c>
      <c r="D4" s="1">
        <v>3</v>
      </c>
      <c r="E4" s="81"/>
      <c r="F4" s="1" t="s">
        <v>522</v>
      </c>
      <c r="G4" s="81"/>
      <c r="H4" s="1" t="s">
        <v>522</v>
      </c>
    </row>
    <row r="5" spans="1:8">
      <c r="B5" s="1" t="s">
        <v>4170</v>
      </c>
      <c r="C5" s="1" t="s">
        <v>526</v>
      </c>
      <c r="D5" s="1">
        <v>4</v>
      </c>
      <c r="E5" s="81"/>
      <c r="F5" s="1" t="s">
        <v>522</v>
      </c>
      <c r="G5" s="81"/>
      <c r="H5" s="1" t="s">
        <v>522</v>
      </c>
    </row>
  </sheetData>
  <phoneticPr fontId="3" type="noConversion"/>
  <hyperlinks>
    <hyperlink ref="A1" location="目錄!A1" display="回到目錄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7"/>
  <dimension ref="A1:L9"/>
  <sheetViews>
    <sheetView workbookViewId="0">
      <pane ySplit="1" topLeftCell="A2" activePane="bottomLeft" state="frozen"/>
      <selection activeCell="B1" sqref="B1"/>
      <selection pane="bottomLeft"/>
    </sheetView>
  </sheetViews>
  <sheetFormatPr defaultColWidth="11.1796875" defaultRowHeight="13.8"/>
  <cols>
    <col min="1" max="1" width="7.453125" style="10" bestFit="1" customWidth="1"/>
    <col min="2" max="2" width="4.36328125" style="14" bestFit="1" customWidth="1"/>
    <col min="3" max="3" width="12.54296875" style="15" bestFit="1" customWidth="1"/>
    <col min="4" max="4" width="10.08984375" style="15" bestFit="1" customWidth="1"/>
    <col min="5" max="5" width="7.54296875" style="14" bestFit="1" customWidth="1"/>
    <col min="6" max="7" width="11.54296875" style="10" bestFit="1" customWidth="1"/>
    <col min="8" max="8" width="30.81640625" style="15" bestFit="1" customWidth="1"/>
    <col min="9" max="9" width="10.08984375" style="15" bestFit="1" customWidth="1"/>
    <col min="10" max="10" width="3.6328125" style="14" bestFit="1" customWidth="1"/>
    <col min="11" max="12" width="8.54296875" style="15" bestFit="1" customWidth="1"/>
    <col min="13" max="16384" width="11.1796875" style="10"/>
  </cols>
  <sheetData>
    <row r="1" spans="1:12" s="17" customFormat="1">
      <c r="A1" s="23" t="s">
        <v>36</v>
      </c>
      <c r="B1" s="5" t="s">
        <v>5</v>
      </c>
      <c r="C1" s="20" t="s">
        <v>3</v>
      </c>
      <c r="D1" s="20" t="s">
        <v>4</v>
      </c>
      <c r="E1" s="7" t="s">
        <v>6</v>
      </c>
      <c r="F1" s="8" t="s">
        <v>13</v>
      </c>
      <c r="G1" s="8" t="s">
        <v>7</v>
      </c>
      <c r="H1" s="9" t="s">
        <v>8</v>
      </c>
      <c r="I1" s="9" t="s">
        <v>105</v>
      </c>
      <c r="J1" s="33"/>
      <c r="K1" s="38"/>
      <c r="L1" s="38"/>
    </row>
    <row r="2" spans="1:12">
      <c r="B2" s="14" t="s">
        <v>14</v>
      </c>
      <c r="C2" s="12" t="s">
        <v>3752</v>
      </c>
      <c r="D2" s="12" t="s">
        <v>3529</v>
      </c>
      <c r="E2" s="11"/>
      <c r="G2" s="4" t="s">
        <v>157</v>
      </c>
      <c r="H2" s="34"/>
      <c r="I2" s="39" t="s">
        <v>3530</v>
      </c>
    </row>
    <row r="3" spans="1:12">
      <c r="B3" s="14" t="s">
        <v>14</v>
      </c>
      <c r="C3" s="13" t="s">
        <v>80</v>
      </c>
      <c r="D3" s="18" t="s">
        <v>24</v>
      </c>
      <c r="E3" s="11"/>
      <c r="F3" s="12"/>
      <c r="G3" s="12" t="s">
        <v>81</v>
      </c>
      <c r="H3" s="24"/>
      <c r="I3" s="24"/>
    </row>
    <row r="4" spans="1:12" ht="27.6">
      <c r="C4" s="29" t="s">
        <v>3730</v>
      </c>
      <c r="D4" s="29" t="s">
        <v>126</v>
      </c>
      <c r="E4" s="28"/>
      <c r="F4" s="22"/>
      <c r="G4" s="22" t="s">
        <v>125</v>
      </c>
      <c r="H4" s="27" t="s">
        <v>183</v>
      </c>
    </row>
    <row r="5" spans="1:12" ht="27.6">
      <c r="C5" s="29" t="s">
        <v>123</v>
      </c>
      <c r="D5" s="29" t="s">
        <v>126</v>
      </c>
      <c r="E5" s="28"/>
      <c r="F5" s="22"/>
      <c r="G5" s="22" t="s">
        <v>124</v>
      </c>
      <c r="H5" s="27" t="s">
        <v>183</v>
      </c>
    </row>
    <row r="6" spans="1:12">
      <c r="C6" s="12" t="s">
        <v>69</v>
      </c>
      <c r="D6" s="12" t="s">
        <v>11</v>
      </c>
      <c r="E6" s="11" t="s">
        <v>16</v>
      </c>
      <c r="F6" s="13" t="s">
        <v>20</v>
      </c>
      <c r="G6" s="12" t="s">
        <v>30</v>
      </c>
    </row>
    <row r="7" spans="1:12">
      <c r="C7" s="12" t="s">
        <v>1</v>
      </c>
      <c r="D7" s="12" t="s">
        <v>37</v>
      </c>
      <c r="E7" s="11"/>
      <c r="F7" s="13"/>
      <c r="G7" s="12" t="s">
        <v>31</v>
      </c>
    </row>
    <row r="8" spans="1:12">
      <c r="C8" s="12" t="s">
        <v>19</v>
      </c>
      <c r="D8" s="12" t="s">
        <v>11</v>
      </c>
      <c r="E8" s="11" t="s">
        <v>16</v>
      </c>
      <c r="F8" s="13" t="s">
        <v>20</v>
      </c>
      <c r="G8" s="12" t="s">
        <v>32</v>
      </c>
    </row>
    <row r="9" spans="1:12">
      <c r="C9" s="12" t="s">
        <v>70</v>
      </c>
      <c r="D9" s="12" t="s">
        <v>37</v>
      </c>
      <c r="E9" s="11"/>
      <c r="F9" s="13"/>
      <c r="G9" s="12" t="s">
        <v>33</v>
      </c>
    </row>
  </sheetData>
  <phoneticPr fontId="3" type="noConversion"/>
  <hyperlinks>
    <hyperlink ref="A1" location="目錄!A1" display="回到目錄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4"/>
  <dimension ref="A1:I97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" width="7.453125" style="1" bestFit="1" customWidth="1"/>
    <col min="2" max="2" width="7.6328125" style="1" bestFit="1" customWidth="1"/>
    <col min="3" max="3" width="8.54296875" style="1" customWidth="1"/>
    <col min="4" max="4" width="8.6328125" style="1" customWidth="1"/>
    <col min="5" max="5" width="8.54296875" style="1" bestFit="1" customWidth="1"/>
    <col min="6" max="6" width="10" style="1" customWidth="1"/>
    <col min="7" max="7" width="7" style="1" customWidth="1"/>
    <col min="8" max="8" width="10.36328125" style="1" bestFit="1" customWidth="1"/>
    <col min="9" max="9" width="7.81640625" style="1" customWidth="1"/>
    <col min="10" max="16384" width="8.7265625" style="1"/>
  </cols>
  <sheetData>
    <row r="1" spans="1:9">
      <c r="A1" s="63" t="s">
        <v>36</v>
      </c>
      <c r="B1" s="80" t="s">
        <v>3752</v>
      </c>
      <c r="C1" s="80" t="s">
        <v>171</v>
      </c>
      <c r="D1" s="80" t="s">
        <v>3730</v>
      </c>
      <c r="E1" s="80" t="s">
        <v>2924</v>
      </c>
      <c r="F1" s="80" t="s">
        <v>0</v>
      </c>
      <c r="G1" s="80" t="s">
        <v>1</v>
      </c>
      <c r="H1" s="80" t="s">
        <v>19</v>
      </c>
      <c r="I1" s="80" t="s">
        <v>2</v>
      </c>
    </row>
    <row r="2" spans="1:9">
      <c r="B2" s="1" t="s">
        <v>4165</v>
      </c>
      <c r="C2" s="1" t="s">
        <v>176</v>
      </c>
      <c r="D2" s="1">
        <v>20200101</v>
      </c>
      <c r="E2" s="1">
        <v>20991231</v>
      </c>
      <c r="F2" s="81"/>
      <c r="G2" s="1" t="s">
        <v>522</v>
      </c>
      <c r="H2" s="81"/>
      <c r="I2" s="1" t="s">
        <v>522</v>
      </c>
    </row>
    <row r="3" spans="1:9">
      <c r="B3" s="1" t="s">
        <v>4165</v>
      </c>
      <c r="C3" s="1" t="s">
        <v>177</v>
      </c>
      <c r="D3" s="1">
        <v>20200101</v>
      </c>
      <c r="E3" s="1">
        <v>20991231</v>
      </c>
      <c r="F3" s="81"/>
      <c r="G3" s="1" t="s">
        <v>522</v>
      </c>
      <c r="H3" s="81"/>
      <c r="I3" s="1" t="s">
        <v>522</v>
      </c>
    </row>
    <row r="4" spans="1:9">
      <c r="B4" s="1" t="s">
        <v>4165</v>
      </c>
      <c r="C4" s="1" t="s">
        <v>510</v>
      </c>
      <c r="D4" s="1">
        <v>20200101</v>
      </c>
      <c r="E4" s="1">
        <v>20991231</v>
      </c>
      <c r="F4" s="81"/>
      <c r="G4" s="1" t="s">
        <v>522</v>
      </c>
      <c r="H4" s="81"/>
      <c r="I4" s="1" t="s">
        <v>522</v>
      </c>
    </row>
    <row r="5" spans="1:9">
      <c r="B5" s="1" t="s">
        <v>4165</v>
      </c>
      <c r="C5" s="1" t="s">
        <v>507</v>
      </c>
      <c r="D5" s="1">
        <v>20200101</v>
      </c>
      <c r="E5" s="1">
        <v>20991231</v>
      </c>
      <c r="F5" s="81"/>
      <c r="G5" s="1" t="s">
        <v>522</v>
      </c>
      <c r="H5" s="81"/>
      <c r="I5" s="1" t="s">
        <v>522</v>
      </c>
    </row>
    <row r="6" spans="1:9">
      <c r="B6" s="1" t="s">
        <v>4165</v>
      </c>
      <c r="C6" s="1" t="s">
        <v>508</v>
      </c>
      <c r="D6" s="1">
        <v>20200101</v>
      </c>
      <c r="E6" s="1">
        <v>20991231</v>
      </c>
      <c r="F6" s="81"/>
      <c r="G6" s="1" t="s">
        <v>522</v>
      </c>
      <c r="H6" s="81"/>
      <c r="I6" s="1" t="s">
        <v>522</v>
      </c>
    </row>
    <row r="7" spans="1:9">
      <c r="B7" s="1" t="s">
        <v>4165</v>
      </c>
      <c r="C7" s="1" t="s">
        <v>511</v>
      </c>
      <c r="D7" s="1">
        <v>20200101</v>
      </c>
      <c r="E7" s="1">
        <v>20991231</v>
      </c>
      <c r="F7" s="81"/>
      <c r="G7" s="1" t="s">
        <v>522</v>
      </c>
      <c r="H7" s="81"/>
      <c r="I7" s="1" t="s">
        <v>522</v>
      </c>
    </row>
    <row r="8" spans="1:9">
      <c r="B8" s="1" t="s">
        <v>4165</v>
      </c>
      <c r="C8" s="1" t="s">
        <v>509</v>
      </c>
      <c r="D8" s="1">
        <v>20200101</v>
      </c>
      <c r="E8" s="1">
        <v>20991231</v>
      </c>
      <c r="F8" s="81"/>
      <c r="G8" s="1" t="s">
        <v>522</v>
      </c>
      <c r="H8" s="81"/>
      <c r="I8" s="1" t="s">
        <v>522</v>
      </c>
    </row>
    <row r="9" spans="1:9">
      <c r="B9" s="1" t="s">
        <v>4165</v>
      </c>
      <c r="C9" s="1" t="s">
        <v>518</v>
      </c>
      <c r="D9" s="1">
        <v>20200101</v>
      </c>
      <c r="E9" s="1">
        <v>20991231</v>
      </c>
      <c r="F9" s="81"/>
      <c r="G9" s="1" t="s">
        <v>522</v>
      </c>
      <c r="H9" s="81"/>
      <c r="I9" s="1" t="s">
        <v>522</v>
      </c>
    </row>
    <row r="10" spans="1:9">
      <c r="B10" s="1" t="s">
        <v>4165</v>
      </c>
      <c r="C10" s="1" t="s">
        <v>519</v>
      </c>
      <c r="D10" s="1">
        <v>20200101</v>
      </c>
      <c r="E10" s="1">
        <v>20991231</v>
      </c>
      <c r="F10" s="81"/>
      <c r="G10" s="1" t="s">
        <v>522</v>
      </c>
      <c r="H10" s="81"/>
      <c r="I10" s="1" t="s">
        <v>522</v>
      </c>
    </row>
    <row r="11" spans="1:9">
      <c r="B11" s="1" t="s">
        <v>4165</v>
      </c>
      <c r="C11" s="1" t="s">
        <v>172</v>
      </c>
      <c r="D11" s="1">
        <v>20200101</v>
      </c>
      <c r="E11" s="1">
        <v>20991231</v>
      </c>
      <c r="F11" s="81"/>
      <c r="G11" s="1" t="s">
        <v>522</v>
      </c>
      <c r="H11" s="81"/>
      <c r="I11" s="1" t="s">
        <v>522</v>
      </c>
    </row>
    <row r="12" spans="1:9">
      <c r="B12" s="1" t="s">
        <v>4165</v>
      </c>
      <c r="C12" s="1" t="s">
        <v>173</v>
      </c>
      <c r="D12" s="1">
        <v>20200101</v>
      </c>
      <c r="E12" s="1">
        <v>20991231</v>
      </c>
      <c r="F12" s="81"/>
      <c r="G12" s="1" t="s">
        <v>522</v>
      </c>
      <c r="H12" s="81"/>
      <c r="I12" s="1" t="s">
        <v>522</v>
      </c>
    </row>
    <row r="13" spans="1:9">
      <c r="B13" s="1" t="s">
        <v>4165</v>
      </c>
      <c r="C13" s="1" t="s">
        <v>505</v>
      </c>
      <c r="D13" s="1">
        <v>20200101</v>
      </c>
      <c r="E13" s="1">
        <v>20991231</v>
      </c>
      <c r="F13" s="81"/>
      <c r="G13" s="1" t="s">
        <v>522</v>
      </c>
      <c r="H13" s="81"/>
      <c r="I13" s="1" t="s">
        <v>522</v>
      </c>
    </row>
    <row r="14" spans="1:9">
      <c r="B14" s="1" t="s">
        <v>4165</v>
      </c>
      <c r="C14" s="1" t="s">
        <v>503</v>
      </c>
      <c r="D14" s="1">
        <v>20200101</v>
      </c>
      <c r="E14" s="1">
        <v>20991231</v>
      </c>
      <c r="F14" s="81"/>
      <c r="G14" s="1" t="s">
        <v>522</v>
      </c>
      <c r="H14" s="81"/>
      <c r="I14" s="1" t="s">
        <v>522</v>
      </c>
    </row>
    <row r="15" spans="1:9">
      <c r="B15" s="1" t="s">
        <v>4165</v>
      </c>
      <c r="C15" s="1" t="s">
        <v>512</v>
      </c>
      <c r="D15" s="1">
        <v>20200101</v>
      </c>
      <c r="E15" s="1">
        <v>20991231</v>
      </c>
      <c r="F15" s="81"/>
      <c r="G15" s="1" t="s">
        <v>522</v>
      </c>
      <c r="H15" s="81"/>
      <c r="I15" s="1" t="s">
        <v>522</v>
      </c>
    </row>
    <row r="16" spans="1:9">
      <c r="B16" s="1" t="s">
        <v>4165</v>
      </c>
      <c r="C16" s="1" t="s">
        <v>174</v>
      </c>
      <c r="D16" s="1">
        <v>20200101</v>
      </c>
      <c r="E16" s="1">
        <v>20991231</v>
      </c>
      <c r="F16" s="81"/>
      <c r="G16" s="1" t="s">
        <v>522</v>
      </c>
      <c r="H16" s="81"/>
      <c r="I16" s="1" t="s">
        <v>522</v>
      </c>
    </row>
    <row r="17" spans="2:9">
      <c r="B17" s="1" t="s">
        <v>4165</v>
      </c>
      <c r="C17" s="1" t="s">
        <v>502</v>
      </c>
      <c r="D17" s="1">
        <v>20200101</v>
      </c>
      <c r="E17" s="1">
        <v>20991231</v>
      </c>
      <c r="F17" s="81"/>
      <c r="G17" s="1" t="s">
        <v>522</v>
      </c>
      <c r="H17" s="81"/>
      <c r="I17" s="1" t="s">
        <v>522</v>
      </c>
    </row>
    <row r="18" spans="2:9">
      <c r="B18" s="1" t="s">
        <v>4165</v>
      </c>
      <c r="C18" s="1" t="s">
        <v>513</v>
      </c>
      <c r="D18" s="1">
        <v>20200101</v>
      </c>
      <c r="E18" s="1">
        <v>20991231</v>
      </c>
      <c r="F18" s="81"/>
      <c r="G18" s="1" t="s">
        <v>522</v>
      </c>
      <c r="H18" s="81"/>
      <c r="I18" s="1" t="s">
        <v>522</v>
      </c>
    </row>
    <row r="19" spans="2:9">
      <c r="B19" s="1" t="s">
        <v>4165</v>
      </c>
      <c r="C19" s="1" t="s">
        <v>527</v>
      </c>
      <c r="D19" s="1">
        <v>20200101</v>
      </c>
      <c r="E19" s="1">
        <v>20991231</v>
      </c>
      <c r="F19" s="81"/>
      <c r="G19" s="1" t="s">
        <v>522</v>
      </c>
      <c r="H19" s="81"/>
      <c r="I19" s="1" t="s">
        <v>522</v>
      </c>
    </row>
    <row r="20" spans="2:9">
      <c r="B20" s="1" t="s">
        <v>4165</v>
      </c>
      <c r="C20" s="1" t="s">
        <v>506</v>
      </c>
      <c r="D20" s="1">
        <v>20200101</v>
      </c>
      <c r="E20" s="1">
        <v>20991231</v>
      </c>
      <c r="F20" s="81"/>
      <c r="G20" s="1" t="s">
        <v>522</v>
      </c>
      <c r="H20" s="81"/>
      <c r="I20" s="1" t="s">
        <v>522</v>
      </c>
    </row>
    <row r="21" spans="2:9">
      <c r="B21" s="1" t="s">
        <v>4165</v>
      </c>
      <c r="C21" s="1" t="s">
        <v>504</v>
      </c>
      <c r="D21" s="1">
        <v>20200101</v>
      </c>
      <c r="E21" s="1">
        <v>20991231</v>
      </c>
      <c r="F21" s="81"/>
      <c r="G21" s="1" t="s">
        <v>522</v>
      </c>
      <c r="H21" s="81"/>
      <c r="I21" s="1" t="s">
        <v>522</v>
      </c>
    </row>
    <row r="22" spans="2:9">
      <c r="B22" s="1" t="s">
        <v>4165</v>
      </c>
      <c r="C22" s="1" t="s">
        <v>514</v>
      </c>
      <c r="D22" s="1">
        <v>20200101</v>
      </c>
      <c r="E22" s="1">
        <v>20991231</v>
      </c>
      <c r="F22" s="81"/>
      <c r="G22" s="1" t="s">
        <v>522</v>
      </c>
      <c r="H22" s="81"/>
      <c r="I22" s="1" t="s">
        <v>522</v>
      </c>
    </row>
    <row r="23" spans="2:9">
      <c r="B23" s="1" t="s">
        <v>4165</v>
      </c>
      <c r="C23" s="1" t="s">
        <v>515</v>
      </c>
      <c r="D23" s="1">
        <v>20200101</v>
      </c>
      <c r="E23" s="1">
        <v>20991231</v>
      </c>
      <c r="F23" s="81"/>
      <c r="G23" s="1" t="s">
        <v>522</v>
      </c>
      <c r="H23" s="81"/>
      <c r="I23" s="1" t="s">
        <v>522</v>
      </c>
    </row>
    <row r="24" spans="2:9">
      <c r="B24" s="1" t="s">
        <v>4165</v>
      </c>
      <c r="C24" s="1" t="s">
        <v>516</v>
      </c>
      <c r="D24" s="1">
        <v>20200101</v>
      </c>
      <c r="E24" s="1">
        <v>20991231</v>
      </c>
      <c r="F24" s="81"/>
      <c r="G24" s="1" t="s">
        <v>522</v>
      </c>
      <c r="H24" s="81"/>
      <c r="I24" s="1" t="s">
        <v>522</v>
      </c>
    </row>
    <row r="25" spans="2:9">
      <c r="B25" s="1" t="s">
        <v>4165</v>
      </c>
      <c r="C25" s="1" t="s">
        <v>517</v>
      </c>
      <c r="D25" s="1">
        <v>20200101</v>
      </c>
      <c r="E25" s="1">
        <v>20991231</v>
      </c>
      <c r="F25" s="81"/>
      <c r="G25" s="1" t="s">
        <v>522</v>
      </c>
      <c r="H25" s="81"/>
      <c r="I25" s="1" t="s">
        <v>522</v>
      </c>
    </row>
    <row r="26" spans="2:9">
      <c r="B26" s="1" t="s">
        <v>4167</v>
      </c>
      <c r="C26" s="1" t="s">
        <v>176</v>
      </c>
      <c r="D26" s="1">
        <v>20200101</v>
      </c>
      <c r="E26" s="1">
        <v>20991231</v>
      </c>
      <c r="F26" s="81"/>
      <c r="G26" s="1" t="s">
        <v>522</v>
      </c>
      <c r="H26" s="81"/>
      <c r="I26" s="1" t="s">
        <v>522</v>
      </c>
    </row>
    <row r="27" spans="2:9">
      <c r="B27" s="1" t="s">
        <v>4167</v>
      </c>
      <c r="C27" s="1" t="s">
        <v>177</v>
      </c>
      <c r="D27" s="1">
        <v>20200101</v>
      </c>
      <c r="E27" s="1">
        <v>20991231</v>
      </c>
      <c r="F27" s="81"/>
      <c r="G27" s="1" t="s">
        <v>522</v>
      </c>
      <c r="H27" s="81"/>
      <c r="I27" s="1" t="s">
        <v>522</v>
      </c>
    </row>
    <row r="28" spans="2:9">
      <c r="B28" s="1" t="s">
        <v>4167</v>
      </c>
      <c r="C28" s="1" t="s">
        <v>510</v>
      </c>
      <c r="D28" s="1">
        <v>20200101</v>
      </c>
      <c r="E28" s="1">
        <v>20991231</v>
      </c>
      <c r="F28" s="81"/>
      <c r="G28" s="1" t="s">
        <v>522</v>
      </c>
      <c r="H28" s="81"/>
      <c r="I28" s="1" t="s">
        <v>522</v>
      </c>
    </row>
    <row r="29" spans="2:9">
      <c r="B29" s="1" t="s">
        <v>4167</v>
      </c>
      <c r="C29" s="1" t="s">
        <v>507</v>
      </c>
      <c r="D29" s="1">
        <v>20200101</v>
      </c>
      <c r="E29" s="1">
        <v>20991231</v>
      </c>
      <c r="F29" s="81"/>
      <c r="G29" s="1" t="s">
        <v>522</v>
      </c>
      <c r="H29" s="81"/>
      <c r="I29" s="1" t="s">
        <v>522</v>
      </c>
    </row>
    <row r="30" spans="2:9">
      <c r="B30" s="1" t="s">
        <v>4167</v>
      </c>
      <c r="C30" s="1" t="s">
        <v>508</v>
      </c>
      <c r="D30" s="1">
        <v>20200101</v>
      </c>
      <c r="E30" s="1">
        <v>20991231</v>
      </c>
      <c r="F30" s="81"/>
      <c r="G30" s="1" t="s">
        <v>522</v>
      </c>
      <c r="H30" s="81"/>
      <c r="I30" s="1" t="s">
        <v>522</v>
      </c>
    </row>
    <row r="31" spans="2:9">
      <c r="B31" s="1" t="s">
        <v>4167</v>
      </c>
      <c r="C31" s="1" t="s">
        <v>511</v>
      </c>
      <c r="D31" s="1">
        <v>20200101</v>
      </c>
      <c r="E31" s="1">
        <v>20991231</v>
      </c>
      <c r="F31" s="81"/>
      <c r="G31" s="1" t="s">
        <v>522</v>
      </c>
      <c r="H31" s="81"/>
      <c r="I31" s="1" t="s">
        <v>522</v>
      </c>
    </row>
    <row r="32" spans="2:9">
      <c r="B32" s="1" t="s">
        <v>4167</v>
      </c>
      <c r="C32" s="1" t="s">
        <v>509</v>
      </c>
      <c r="D32" s="1">
        <v>20200101</v>
      </c>
      <c r="E32" s="1">
        <v>20991231</v>
      </c>
      <c r="F32" s="81"/>
      <c r="G32" s="1" t="s">
        <v>522</v>
      </c>
      <c r="H32" s="81"/>
      <c r="I32" s="1" t="s">
        <v>522</v>
      </c>
    </row>
    <row r="33" spans="2:9">
      <c r="B33" s="1" t="s">
        <v>4167</v>
      </c>
      <c r="C33" s="1" t="s">
        <v>518</v>
      </c>
      <c r="D33" s="1">
        <v>20200101</v>
      </c>
      <c r="E33" s="1">
        <v>20991231</v>
      </c>
      <c r="F33" s="81"/>
      <c r="G33" s="1" t="s">
        <v>522</v>
      </c>
      <c r="H33" s="81"/>
      <c r="I33" s="1" t="s">
        <v>522</v>
      </c>
    </row>
    <row r="34" spans="2:9">
      <c r="B34" s="1" t="s">
        <v>4167</v>
      </c>
      <c r="C34" s="1" t="s">
        <v>519</v>
      </c>
      <c r="D34" s="1">
        <v>20200101</v>
      </c>
      <c r="E34" s="1">
        <v>20991231</v>
      </c>
      <c r="F34" s="81"/>
      <c r="G34" s="1" t="s">
        <v>522</v>
      </c>
      <c r="H34" s="81"/>
      <c r="I34" s="1" t="s">
        <v>522</v>
      </c>
    </row>
    <row r="35" spans="2:9">
      <c r="B35" s="1" t="s">
        <v>4167</v>
      </c>
      <c r="C35" s="1" t="s">
        <v>172</v>
      </c>
      <c r="D35" s="1">
        <v>20200101</v>
      </c>
      <c r="E35" s="1">
        <v>20991231</v>
      </c>
      <c r="F35" s="81"/>
      <c r="G35" s="1" t="s">
        <v>522</v>
      </c>
      <c r="H35" s="81"/>
      <c r="I35" s="1" t="s">
        <v>522</v>
      </c>
    </row>
    <row r="36" spans="2:9">
      <c r="B36" s="1" t="s">
        <v>4167</v>
      </c>
      <c r="C36" s="1" t="s">
        <v>173</v>
      </c>
      <c r="D36" s="1">
        <v>20200101</v>
      </c>
      <c r="E36" s="1">
        <v>20991231</v>
      </c>
      <c r="F36" s="81"/>
      <c r="G36" s="1" t="s">
        <v>522</v>
      </c>
      <c r="H36" s="81"/>
      <c r="I36" s="1" t="s">
        <v>522</v>
      </c>
    </row>
    <row r="37" spans="2:9">
      <c r="B37" s="1" t="s">
        <v>4167</v>
      </c>
      <c r="C37" s="1" t="s">
        <v>505</v>
      </c>
      <c r="D37" s="1">
        <v>20200101</v>
      </c>
      <c r="E37" s="1">
        <v>20991231</v>
      </c>
      <c r="F37" s="81"/>
      <c r="G37" s="1" t="s">
        <v>522</v>
      </c>
      <c r="H37" s="81"/>
      <c r="I37" s="1" t="s">
        <v>522</v>
      </c>
    </row>
    <row r="38" spans="2:9">
      <c r="B38" s="1" t="s">
        <v>4167</v>
      </c>
      <c r="C38" s="1" t="s">
        <v>503</v>
      </c>
      <c r="D38" s="1">
        <v>20200101</v>
      </c>
      <c r="E38" s="1">
        <v>20991231</v>
      </c>
      <c r="F38" s="81"/>
      <c r="G38" s="1" t="s">
        <v>522</v>
      </c>
      <c r="H38" s="81"/>
      <c r="I38" s="1" t="s">
        <v>522</v>
      </c>
    </row>
    <row r="39" spans="2:9">
      <c r="B39" s="1" t="s">
        <v>4167</v>
      </c>
      <c r="C39" s="1" t="s">
        <v>512</v>
      </c>
      <c r="D39" s="1">
        <v>20200101</v>
      </c>
      <c r="E39" s="1">
        <v>20991231</v>
      </c>
      <c r="F39" s="81"/>
      <c r="G39" s="1" t="s">
        <v>522</v>
      </c>
      <c r="H39" s="81"/>
      <c r="I39" s="1" t="s">
        <v>522</v>
      </c>
    </row>
    <row r="40" spans="2:9">
      <c r="B40" s="1" t="s">
        <v>4167</v>
      </c>
      <c r="C40" s="1" t="s">
        <v>174</v>
      </c>
      <c r="D40" s="1">
        <v>20200101</v>
      </c>
      <c r="E40" s="1">
        <v>20991231</v>
      </c>
      <c r="F40" s="81"/>
      <c r="G40" s="1" t="s">
        <v>522</v>
      </c>
      <c r="H40" s="81"/>
      <c r="I40" s="1" t="s">
        <v>522</v>
      </c>
    </row>
    <row r="41" spans="2:9">
      <c r="B41" s="1" t="s">
        <v>4167</v>
      </c>
      <c r="C41" s="1" t="s">
        <v>502</v>
      </c>
      <c r="D41" s="1">
        <v>20200101</v>
      </c>
      <c r="E41" s="1">
        <v>20991231</v>
      </c>
      <c r="F41" s="81"/>
      <c r="G41" s="1" t="s">
        <v>522</v>
      </c>
      <c r="H41" s="81"/>
      <c r="I41" s="1" t="s">
        <v>522</v>
      </c>
    </row>
    <row r="42" spans="2:9">
      <c r="B42" s="1" t="s">
        <v>4167</v>
      </c>
      <c r="C42" s="1" t="s">
        <v>513</v>
      </c>
      <c r="D42" s="1">
        <v>20200101</v>
      </c>
      <c r="E42" s="1">
        <v>20991231</v>
      </c>
      <c r="F42" s="81"/>
      <c r="G42" s="1" t="s">
        <v>522</v>
      </c>
      <c r="H42" s="81"/>
      <c r="I42" s="1" t="s">
        <v>522</v>
      </c>
    </row>
    <row r="43" spans="2:9">
      <c r="B43" s="1" t="s">
        <v>4167</v>
      </c>
      <c r="C43" s="1" t="s">
        <v>527</v>
      </c>
      <c r="D43" s="1">
        <v>20200101</v>
      </c>
      <c r="E43" s="1">
        <v>20991231</v>
      </c>
      <c r="F43" s="81"/>
      <c r="G43" s="1" t="s">
        <v>522</v>
      </c>
      <c r="H43" s="81"/>
      <c r="I43" s="1" t="s">
        <v>522</v>
      </c>
    </row>
    <row r="44" spans="2:9">
      <c r="B44" s="1" t="s">
        <v>4167</v>
      </c>
      <c r="C44" s="1" t="s">
        <v>506</v>
      </c>
      <c r="D44" s="1">
        <v>20200101</v>
      </c>
      <c r="E44" s="1">
        <v>20991231</v>
      </c>
      <c r="F44" s="81"/>
      <c r="G44" s="1" t="s">
        <v>522</v>
      </c>
      <c r="H44" s="81"/>
      <c r="I44" s="1" t="s">
        <v>522</v>
      </c>
    </row>
    <row r="45" spans="2:9">
      <c r="B45" s="1" t="s">
        <v>4167</v>
      </c>
      <c r="C45" s="1" t="s">
        <v>504</v>
      </c>
      <c r="D45" s="1">
        <v>20200101</v>
      </c>
      <c r="E45" s="1">
        <v>20991231</v>
      </c>
      <c r="F45" s="81"/>
      <c r="G45" s="1" t="s">
        <v>522</v>
      </c>
      <c r="H45" s="81"/>
      <c r="I45" s="1" t="s">
        <v>522</v>
      </c>
    </row>
    <row r="46" spans="2:9">
      <c r="B46" s="1" t="s">
        <v>4167</v>
      </c>
      <c r="C46" s="1" t="s">
        <v>514</v>
      </c>
      <c r="D46" s="1">
        <v>20200101</v>
      </c>
      <c r="E46" s="1">
        <v>20991231</v>
      </c>
      <c r="F46" s="81"/>
      <c r="G46" s="1" t="s">
        <v>522</v>
      </c>
      <c r="H46" s="81"/>
      <c r="I46" s="1" t="s">
        <v>522</v>
      </c>
    </row>
    <row r="47" spans="2:9">
      <c r="B47" s="1" t="s">
        <v>4167</v>
      </c>
      <c r="C47" s="1" t="s">
        <v>515</v>
      </c>
      <c r="D47" s="1">
        <v>20200101</v>
      </c>
      <c r="E47" s="1">
        <v>20991231</v>
      </c>
      <c r="F47" s="81"/>
      <c r="G47" s="1" t="s">
        <v>522</v>
      </c>
      <c r="H47" s="81"/>
      <c r="I47" s="1" t="s">
        <v>522</v>
      </c>
    </row>
    <row r="48" spans="2:9">
      <c r="B48" s="1" t="s">
        <v>4167</v>
      </c>
      <c r="C48" s="1" t="s">
        <v>516</v>
      </c>
      <c r="D48" s="1">
        <v>20200101</v>
      </c>
      <c r="E48" s="1">
        <v>20991231</v>
      </c>
      <c r="F48" s="81"/>
      <c r="G48" s="1" t="s">
        <v>522</v>
      </c>
      <c r="H48" s="81"/>
      <c r="I48" s="1" t="s">
        <v>522</v>
      </c>
    </row>
    <row r="49" spans="2:9">
      <c r="B49" s="1" t="s">
        <v>4167</v>
      </c>
      <c r="C49" s="1" t="s">
        <v>517</v>
      </c>
      <c r="D49" s="1">
        <v>20200101</v>
      </c>
      <c r="E49" s="1">
        <v>20991231</v>
      </c>
      <c r="F49" s="81"/>
      <c r="G49" s="1" t="s">
        <v>522</v>
      </c>
      <c r="H49" s="81"/>
      <c r="I49" s="1" t="s">
        <v>522</v>
      </c>
    </row>
    <row r="50" spans="2:9">
      <c r="B50" s="1" t="s">
        <v>4169</v>
      </c>
      <c r="C50" s="1" t="s">
        <v>176</v>
      </c>
      <c r="D50" s="1">
        <v>20200101</v>
      </c>
      <c r="E50" s="1">
        <v>20991231</v>
      </c>
      <c r="F50" s="81"/>
      <c r="G50" s="1" t="s">
        <v>522</v>
      </c>
      <c r="H50" s="81"/>
      <c r="I50" s="1" t="s">
        <v>522</v>
      </c>
    </row>
    <row r="51" spans="2:9">
      <c r="B51" s="1" t="s">
        <v>4169</v>
      </c>
      <c r="C51" s="1" t="s">
        <v>177</v>
      </c>
      <c r="D51" s="1">
        <v>20200101</v>
      </c>
      <c r="E51" s="1">
        <v>20991231</v>
      </c>
      <c r="F51" s="81"/>
      <c r="G51" s="1" t="s">
        <v>522</v>
      </c>
      <c r="H51" s="81"/>
      <c r="I51" s="1" t="s">
        <v>522</v>
      </c>
    </row>
    <row r="52" spans="2:9">
      <c r="B52" s="1" t="s">
        <v>4169</v>
      </c>
      <c r="C52" s="1" t="s">
        <v>510</v>
      </c>
      <c r="D52" s="1">
        <v>20200101</v>
      </c>
      <c r="E52" s="1">
        <v>20991231</v>
      </c>
      <c r="F52" s="81"/>
      <c r="G52" s="1" t="s">
        <v>522</v>
      </c>
      <c r="H52" s="81"/>
      <c r="I52" s="1" t="s">
        <v>522</v>
      </c>
    </row>
    <row r="53" spans="2:9">
      <c r="B53" s="1" t="s">
        <v>4169</v>
      </c>
      <c r="C53" s="1" t="s">
        <v>507</v>
      </c>
      <c r="D53" s="1">
        <v>20200101</v>
      </c>
      <c r="E53" s="1">
        <v>20991231</v>
      </c>
      <c r="F53" s="81"/>
      <c r="G53" s="1" t="s">
        <v>522</v>
      </c>
      <c r="H53" s="81"/>
      <c r="I53" s="1" t="s">
        <v>522</v>
      </c>
    </row>
    <row r="54" spans="2:9">
      <c r="B54" s="1" t="s">
        <v>4169</v>
      </c>
      <c r="C54" s="1" t="s">
        <v>508</v>
      </c>
      <c r="D54" s="1">
        <v>20200101</v>
      </c>
      <c r="E54" s="1">
        <v>20991231</v>
      </c>
      <c r="F54" s="81"/>
      <c r="G54" s="1" t="s">
        <v>522</v>
      </c>
      <c r="H54" s="81"/>
      <c r="I54" s="1" t="s">
        <v>522</v>
      </c>
    </row>
    <row r="55" spans="2:9">
      <c r="B55" s="1" t="s">
        <v>4169</v>
      </c>
      <c r="C55" s="1" t="s">
        <v>511</v>
      </c>
      <c r="D55" s="1">
        <v>20200101</v>
      </c>
      <c r="E55" s="1">
        <v>20991231</v>
      </c>
      <c r="F55" s="81"/>
      <c r="G55" s="1" t="s">
        <v>522</v>
      </c>
      <c r="H55" s="81"/>
      <c r="I55" s="1" t="s">
        <v>522</v>
      </c>
    </row>
    <row r="56" spans="2:9">
      <c r="B56" s="1" t="s">
        <v>4169</v>
      </c>
      <c r="C56" s="1" t="s">
        <v>509</v>
      </c>
      <c r="D56" s="1">
        <v>20200101</v>
      </c>
      <c r="E56" s="1">
        <v>20991231</v>
      </c>
      <c r="F56" s="81"/>
      <c r="G56" s="1" t="s">
        <v>522</v>
      </c>
      <c r="H56" s="81"/>
      <c r="I56" s="1" t="s">
        <v>522</v>
      </c>
    </row>
    <row r="57" spans="2:9">
      <c r="B57" s="1" t="s">
        <v>4169</v>
      </c>
      <c r="C57" s="1" t="s">
        <v>518</v>
      </c>
      <c r="D57" s="1">
        <v>20200101</v>
      </c>
      <c r="E57" s="1">
        <v>20991231</v>
      </c>
      <c r="F57" s="81"/>
      <c r="G57" s="1" t="s">
        <v>522</v>
      </c>
      <c r="H57" s="81"/>
      <c r="I57" s="1" t="s">
        <v>522</v>
      </c>
    </row>
    <row r="58" spans="2:9">
      <c r="B58" s="1" t="s">
        <v>4169</v>
      </c>
      <c r="C58" s="1" t="s">
        <v>519</v>
      </c>
      <c r="D58" s="1">
        <v>20200101</v>
      </c>
      <c r="E58" s="1">
        <v>20991231</v>
      </c>
      <c r="F58" s="81"/>
      <c r="G58" s="1" t="s">
        <v>522</v>
      </c>
      <c r="H58" s="81"/>
      <c r="I58" s="1" t="s">
        <v>522</v>
      </c>
    </row>
    <row r="59" spans="2:9">
      <c r="B59" s="1" t="s">
        <v>4169</v>
      </c>
      <c r="C59" s="1" t="s">
        <v>172</v>
      </c>
      <c r="D59" s="1">
        <v>20200101</v>
      </c>
      <c r="E59" s="1">
        <v>20991231</v>
      </c>
      <c r="F59" s="81"/>
      <c r="G59" s="1" t="s">
        <v>522</v>
      </c>
      <c r="H59" s="81"/>
      <c r="I59" s="1" t="s">
        <v>522</v>
      </c>
    </row>
    <row r="60" spans="2:9">
      <c r="B60" s="1" t="s">
        <v>4169</v>
      </c>
      <c r="C60" s="1" t="s">
        <v>173</v>
      </c>
      <c r="D60" s="1">
        <v>20200101</v>
      </c>
      <c r="E60" s="1">
        <v>20991231</v>
      </c>
      <c r="F60" s="81"/>
      <c r="G60" s="1" t="s">
        <v>522</v>
      </c>
      <c r="H60" s="81"/>
      <c r="I60" s="1" t="s">
        <v>522</v>
      </c>
    </row>
    <row r="61" spans="2:9">
      <c r="B61" s="1" t="s">
        <v>4169</v>
      </c>
      <c r="C61" s="1" t="s">
        <v>505</v>
      </c>
      <c r="D61" s="1">
        <v>20200101</v>
      </c>
      <c r="E61" s="1">
        <v>20991231</v>
      </c>
      <c r="F61" s="81"/>
      <c r="G61" s="1" t="s">
        <v>522</v>
      </c>
      <c r="H61" s="81"/>
      <c r="I61" s="1" t="s">
        <v>522</v>
      </c>
    </row>
    <row r="62" spans="2:9">
      <c r="B62" s="1" t="s">
        <v>4169</v>
      </c>
      <c r="C62" s="1" t="s">
        <v>503</v>
      </c>
      <c r="D62" s="1">
        <v>20200101</v>
      </c>
      <c r="E62" s="1">
        <v>20991231</v>
      </c>
      <c r="F62" s="81"/>
      <c r="G62" s="1" t="s">
        <v>522</v>
      </c>
      <c r="H62" s="81"/>
      <c r="I62" s="1" t="s">
        <v>522</v>
      </c>
    </row>
    <row r="63" spans="2:9">
      <c r="B63" s="1" t="s">
        <v>4169</v>
      </c>
      <c r="C63" s="1" t="s">
        <v>512</v>
      </c>
      <c r="D63" s="1">
        <v>20200101</v>
      </c>
      <c r="E63" s="1">
        <v>20991231</v>
      </c>
      <c r="F63" s="81"/>
      <c r="G63" s="1" t="s">
        <v>522</v>
      </c>
      <c r="H63" s="81"/>
      <c r="I63" s="1" t="s">
        <v>522</v>
      </c>
    </row>
    <row r="64" spans="2:9">
      <c r="B64" s="1" t="s">
        <v>4169</v>
      </c>
      <c r="C64" s="1" t="s">
        <v>174</v>
      </c>
      <c r="D64" s="1">
        <v>20200101</v>
      </c>
      <c r="E64" s="1">
        <v>20991231</v>
      </c>
      <c r="F64" s="81"/>
      <c r="G64" s="1" t="s">
        <v>522</v>
      </c>
      <c r="H64" s="81"/>
      <c r="I64" s="1" t="s">
        <v>522</v>
      </c>
    </row>
    <row r="65" spans="2:9">
      <c r="B65" s="1" t="s">
        <v>4169</v>
      </c>
      <c r="C65" s="1" t="s">
        <v>502</v>
      </c>
      <c r="D65" s="1">
        <v>20200101</v>
      </c>
      <c r="E65" s="1">
        <v>20991231</v>
      </c>
      <c r="F65" s="81"/>
      <c r="G65" s="1" t="s">
        <v>522</v>
      </c>
      <c r="H65" s="81"/>
      <c r="I65" s="1" t="s">
        <v>522</v>
      </c>
    </row>
    <row r="66" spans="2:9">
      <c r="B66" s="1" t="s">
        <v>4169</v>
      </c>
      <c r="C66" s="1" t="s">
        <v>513</v>
      </c>
      <c r="D66" s="1">
        <v>20200101</v>
      </c>
      <c r="E66" s="1">
        <v>20991231</v>
      </c>
      <c r="F66" s="81"/>
      <c r="G66" s="1" t="s">
        <v>522</v>
      </c>
      <c r="H66" s="81"/>
      <c r="I66" s="1" t="s">
        <v>522</v>
      </c>
    </row>
    <row r="67" spans="2:9">
      <c r="B67" s="1" t="s">
        <v>4169</v>
      </c>
      <c r="C67" s="1" t="s">
        <v>527</v>
      </c>
      <c r="D67" s="1">
        <v>20200101</v>
      </c>
      <c r="E67" s="1">
        <v>20991231</v>
      </c>
      <c r="F67" s="81"/>
      <c r="G67" s="1" t="s">
        <v>522</v>
      </c>
      <c r="H67" s="81"/>
      <c r="I67" s="1" t="s">
        <v>522</v>
      </c>
    </row>
    <row r="68" spans="2:9">
      <c r="B68" s="1" t="s">
        <v>4169</v>
      </c>
      <c r="C68" s="1" t="s">
        <v>506</v>
      </c>
      <c r="D68" s="1">
        <v>20200101</v>
      </c>
      <c r="E68" s="1">
        <v>20991231</v>
      </c>
      <c r="F68" s="81"/>
      <c r="G68" s="1" t="s">
        <v>522</v>
      </c>
      <c r="H68" s="81"/>
      <c r="I68" s="1" t="s">
        <v>522</v>
      </c>
    </row>
    <row r="69" spans="2:9">
      <c r="B69" s="1" t="s">
        <v>4169</v>
      </c>
      <c r="C69" s="1" t="s">
        <v>504</v>
      </c>
      <c r="D69" s="1">
        <v>20200101</v>
      </c>
      <c r="E69" s="1">
        <v>20991231</v>
      </c>
      <c r="F69" s="81"/>
      <c r="G69" s="1" t="s">
        <v>522</v>
      </c>
      <c r="H69" s="81"/>
      <c r="I69" s="1" t="s">
        <v>522</v>
      </c>
    </row>
    <row r="70" spans="2:9">
      <c r="B70" s="1" t="s">
        <v>4169</v>
      </c>
      <c r="C70" s="1" t="s">
        <v>514</v>
      </c>
      <c r="D70" s="1">
        <v>20200101</v>
      </c>
      <c r="E70" s="1">
        <v>20991231</v>
      </c>
      <c r="F70" s="81"/>
      <c r="G70" s="1" t="s">
        <v>522</v>
      </c>
      <c r="H70" s="81"/>
      <c r="I70" s="1" t="s">
        <v>522</v>
      </c>
    </row>
    <row r="71" spans="2:9">
      <c r="B71" s="1" t="s">
        <v>4169</v>
      </c>
      <c r="C71" s="1" t="s">
        <v>515</v>
      </c>
      <c r="D71" s="1">
        <v>20200101</v>
      </c>
      <c r="E71" s="1">
        <v>20991231</v>
      </c>
      <c r="F71" s="81"/>
      <c r="G71" s="1" t="s">
        <v>522</v>
      </c>
      <c r="H71" s="81"/>
      <c r="I71" s="1" t="s">
        <v>522</v>
      </c>
    </row>
    <row r="72" spans="2:9">
      <c r="B72" s="1" t="s">
        <v>4169</v>
      </c>
      <c r="C72" s="1" t="s">
        <v>516</v>
      </c>
      <c r="D72" s="1">
        <v>20200101</v>
      </c>
      <c r="E72" s="1">
        <v>20991231</v>
      </c>
      <c r="F72" s="81"/>
      <c r="G72" s="1" t="s">
        <v>522</v>
      </c>
      <c r="H72" s="81"/>
      <c r="I72" s="1" t="s">
        <v>522</v>
      </c>
    </row>
    <row r="73" spans="2:9">
      <c r="B73" s="1" t="s">
        <v>4169</v>
      </c>
      <c r="C73" s="1" t="s">
        <v>517</v>
      </c>
      <c r="D73" s="1">
        <v>20200101</v>
      </c>
      <c r="E73" s="1">
        <v>20991231</v>
      </c>
      <c r="F73" s="81"/>
      <c r="G73" s="1" t="s">
        <v>522</v>
      </c>
      <c r="H73" s="81"/>
      <c r="I73" s="1" t="s">
        <v>522</v>
      </c>
    </row>
    <row r="74" spans="2:9">
      <c r="B74" s="1" t="s">
        <v>4170</v>
      </c>
      <c r="C74" s="1" t="s">
        <v>176</v>
      </c>
      <c r="D74" s="1">
        <v>20200101</v>
      </c>
      <c r="E74" s="1">
        <v>20991231</v>
      </c>
      <c r="F74" s="81"/>
      <c r="G74" s="1" t="s">
        <v>522</v>
      </c>
      <c r="H74" s="81"/>
      <c r="I74" s="1" t="s">
        <v>522</v>
      </c>
    </row>
    <row r="75" spans="2:9">
      <c r="B75" s="1" t="s">
        <v>4170</v>
      </c>
      <c r="C75" s="1" t="s">
        <v>177</v>
      </c>
      <c r="D75" s="1">
        <v>20200101</v>
      </c>
      <c r="E75" s="1">
        <v>20991231</v>
      </c>
      <c r="F75" s="81"/>
      <c r="G75" s="1" t="s">
        <v>522</v>
      </c>
      <c r="H75" s="81"/>
      <c r="I75" s="1" t="s">
        <v>522</v>
      </c>
    </row>
    <row r="76" spans="2:9">
      <c r="B76" s="1" t="s">
        <v>4170</v>
      </c>
      <c r="C76" s="1" t="s">
        <v>510</v>
      </c>
      <c r="D76" s="1">
        <v>20200101</v>
      </c>
      <c r="E76" s="1">
        <v>20991231</v>
      </c>
      <c r="F76" s="81"/>
      <c r="G76" s="1" t="s">
        <v>522</v>
      </c>
      <c r="H76" s="81"/>
      <c r="I76" s="1" t="s">
        <v>522</v>
      </c>
    </row>
    <row r="77" spans="2:9">
      <c r="B77" s="1" t="s">
        <v>4170</v>
      </c>
      <c r="C77" s="1" t="s">
        <v>507</v>
      </c>
      <c r="D77" s="1">
        <v>20200101</v>
      </c>
      <c r="E77" s="1">
        <v>20991231</v>
      </c>
      <c r="F77" s="81"/>
      <c r="G77" s="1" t="s">
        <v>522</v>
      </c>
      <c r="H77" s="81"/>
      <c r="I77" s="1" t="s">
        <v>522</v>
      </c>
    </row>
    <row r="78" spans="2:9">
      <c r="B78" s="1" t="s">
        <v>4170</v>
      </c>
      <c r="C78" s="1" t="s">
        <v>508</v>
      </c>
      <c r="D78" s="1">
        <v>20200101</v>
      </c>
      <c r="E78" s="1">
        <v>20991231</v>
      </c>
      <c r="F78" s="81"/>
      <c r="G78" s="1" t="s">
        <v>522</v>
      </c>
      <c r="H78" s="81"/>
      <c r="I78" s="1" t="s">
        <v>522</v>
      </c>
    </row>
    <row r="79" spans="2:9">
      <c r="B79" s="1" t="s">
        <v>4170</v>
      </c>
      <c r="C79" s="1" t="s">
        <v>511</v>
      </c>
      <c r="D79" s="1">
        <v>20200101</v>
      </c>
      <c r="E79" s="1">
        <v>20991231</v>
      </c>
      <c r="F79" s="81"/>
      <c r="G79" s="1" t="s">
        <v>522</v>
      </c>
      <c r="H79" s="81"/>
      <c r="I79" s="1" t="s">
        <v>522</v>
      </c>
    </row>
    <row r="80" spans="2:9">
      <c r="B80" s="1" t="s">
        <v>4170</v>
      </c>
      <c r="C80" s="1" t="s">
        <v>509</v>
      </c>
      <c r="D80" s="1">
        <v>20200101</v>
      </c>
      <c r="E80" s="1">
        <v>20991231</v>
      </c>
      <c r="F80" s="81"/>
      <c r="G80" s="1" t="s">
        <v>522</v>
      </c>
      <c r="H80" s="81"/>
      <c r="I80" s="1" t="s">
        <v>522</v>
      </c>
    </row>
    <row r="81" spans="2:9">
      <c r="B81" s="1" t="s">
        <v>4170</v>
      </c>
      <c r="C81" s="1" t="s">
        <v>518</v>
      </c>
      <c r="D81" s="1">
        <v>20200101</v>
      </c>
      <c r="E81" s="1">
        <v>20991231</v>
      </c>
      <c r="F81" s="81"/>
      <c r="G81" s="1" t="s">
        <v>522</v>
      </c>
      <c r="H81" s="81"/>
      <c r="I81" s="1" t="s">
        <v>522</v>
      </c>
    </row>
    <row r="82" spans="2:9">
      <c r="B82" s="1" t="s">
        <v>4170</v>
      </c>
      <c r="C82" s="1" t="s">
        <v>519</v>
      </c>
      <c r="D82" s="1">
        <v>20200101</v>
      </c>
      <c r="E82" s="1">
        <v>20991231</v>
      </c>
      <c r="F82" s="81"/>
      <c r="G82" s="1" t="s">
        <v>522</v>
      </c>
      <c r="H82" s="81"/>
      <c r="I82" s="1" t="s">
        <v>522</v>
      </c>
    </row>
    <row r="83" spans="2:9">
      <c r="B83" s="1" t="s">
        <v>4170</v>
      </c>
      <c r="C83" s="1" t="s">
        <v>172</v>
      </c>
      <c r="D83" s="1">
        <v>20200101</v>
      </c>
      <c r="E83" s="1">
        <v>20991231</v>
      </c>
      <c r="F83" s="81"/>
      <c r="G83" s="1" t="s">
        <v>522</v>
      </c>
      <c r="H83" s="81"/>
      <c r="I83" s="1" t="s">
        <v>522</v>
      </c>
    </row>
    <row r="84" spans="2:9">
      <c r="B84" s="1" t="s">
        <v>4170</v>
      </c>
      <c r="C84" s="1" t="s">
        <v>173</v>
      </c>
      <c r="D84" s="1">
        <v>20200101</v>
      </c>
      <c r="E84" s="1">
        <v>20991231</v>
      </c>
      <c r="F84" s="81"/>
      <c r="G84" s="1" t="s">
        <v>522</v>
      </c>
      <c r="H84" s="81"/>
      <c r="I84" s="1" t="s">
        <v>522</v>
      </c>
    </row>
    <row r="85" spans="2:9">
      <c r="B85" s="1" t="s">
        <v>4170</v>
      </c>
      <c r="C85" s="1" t="s">
        <v>505</v>
      </c>
      <c r="D85" s="1">
        <v>20200101</v>
      </c>
      <c r="E85" s="1">
        <v>20991231</v>
      </c>
      <c r="F85" s="81"/>
      <c r="G85" s="1" t="s">
        <v>522</v>
      </c>
      <c r="H85" s="81"/>
      <c r="I85" s="1" t="s">
        <v>522</v>
      </c>
    </row>
    <row r="86" spans="2:9">
      <c r="B86" s="1" t="s">
        <v>4170</v>
      </c>
      <c r="C86" s="1" t="s">
        <v>503</v>
      </c>
      <c r="D86" s="1">
        <v>20200101</v>
      </c>
      <c r="E86" s="1">
        <v>20991231</v>
      </c>
      <c r="F86" s="81"/>
      <c r="G86" s="1" t="s">
        <v>522</v>
      </c>
      <c r="H86" s="81"/>
      <c r="I86" s="1" t="s">
        <v>522</v>
      </c>
    </row>
    <row r="87" spans="2:9">
      <c r="B87" s="1" t="s">
        <v>4170</v>
      </c>
      <c r="C87" s="1" t="s">
        <v>512</v>
      </c>
      <c r="D87" s="1">
        <v>20200101</v>
      </c>
      <c r="E87" s="1">
        <v>20991231</v>
      </c>
      <c r="F87" s="81"/>
      <c r="G87" s="1" t="s">
        <v>522</v>
      </c>
      <c r="H87" s="81"/>
      <c r="I87" s="1" t="s">
        <v>522</v>
      </c>
    </row>
    <row r="88" spans="2:9">
      <c r="B88" s="1" t="s">
        <v>4170</v>
      </c>
      <c r="C88" s="1" t="s">
        <v>174</v>
      </c>
      <c r="D88" s="1">
        <v>20200101</v>
      </c>
      <c r="E88" s="1">
        <v>20991231</v>
      </c>
      <c r="F88" s="81"/>
      <c r="G88" s="1" t="s">
        <v>522</v>
      </c>
      <c r="H88" s="81"/>
      <c r="I88" s="1" t="s">
        <v>522</v>
      </c>
    </row>
    <row r="89" spans="2:9">
      <c r="B89" s="1" t="s">
        <v>4170</v>
      </c>
      <c r="C89" s="1" t="s">
        <v>502</v>
      </c>
      <c r="D89" s="1">
        <v>20200101</v>
      </c>
      <c r="E89" s="1">
        <v>20991231</v>
      </c>
      <c r="F89" s="81"/>
      <c r="G89" s="1" t="s">
        <v>522</v>
      </c>
      <c r="H89" s="81"/>
      <c r="I89" s="1" t="s">
        <v>522</v>
      </c>
    </row>
    <row r="90" spans="2:9">
      <c r="B90" s="1" t="s">
        <v>4170</v>
      </c>
      <c r="C90" s="1" t="s">
        <v>513</v>
      </c>
      <c r="D90" s="1">
        <v>20200101</v>
      </c>
      <c r="E90" s="1">
        <v>20991231</v>
      </c>
      <c r="F90" s="81"/>
      <c r="G90" s="1" t="s">
        <v>522</v>
      </c>
      <c r="H90" s="81"/>
      <c r="I90" s="1" t="s">
        <v>522</v>
      </c>
    </row>
    <row r="91" spans="2:9">
      <c r="B91" s="1" t="s">
        <v>4170</v>
      </c>
      <c r="C91" s="1" t="s">
        <v>527</v>
      </c>
      <c r="D91" s="1">
        <v>20200101</v>
      </c>
      <c r="E91" s="1">
        <v>20991231</v>
      </c>
      <c r="F91" s="81"/>
      <c r="G91" s="1" t="s">
        <v>522</v>
      </c>
      <c r="H91" s="81"/>
      <c r="I91" s="1" t="s">
        <v>522</v>
      </c>
    </row>
    <row r="92" spans="2:9">
      <c r="B92" s="1" t="s">
        <v>4170</v>
      </c>
      <c r="C92" s="1" t="s">
        <v>506</v>
      </c>
      <c r="D92" s="1">
        <v>20200101</v>
      </c>
      <c r="E92" s="1">
        <v>20991231</v>
      </c>
      <c r="F92" s="81"/>
      <c r="G92" s="1" t="s">
        <v>522</v>
      </c>
      <c r="H92" s="81"/>
      <c r="I92" s="1" t="s">
        <v>522</v>
      </c>
    </row>
    <row r="93" spans="2:9">
      <c r="B93" s="1" t="s">
        <v>4170</v>
      </c>
      <c r="C93" s="1" t="s">
        <v>504</v>
      </c>
      <c r="D93" s="1">
        <v>20200101</v>
      </c>
      <c r="E93" s="1">
        <v>20991231</v>
      </c>
      <c r="F93" s="81"/>
      <c r="G93" s="1" t="s">
        <v>522</v>
      </c>
      <c r="H93" s="81"/>
      <c r="I93" s="1" t="s">
        <v>522</v>
      </c>
    </row>
    <row r="94" spans="2:9">
      <c r="B94" s="1" t="s">
        <v>4170</v>
      </c>
      <c r="C94" s="1" t="s">
        <v>514</v>
      </c>
      <c r="D94" s="1">
        <v>20200101</v>
      </c>
      <c r="E94" s="1">
        <v>20991231</v>
      </c>
      <c r="F94" s="81"/>
      <c r="G94" s="1" t="s">
        <v>522</v>
      </c>
      <c r="H94" s="81"/>
      <c r="I94" s="1" t="s">
        <v>522</v>
      </c>
    </row>
    <row r="95" spans="2:9">
      <c r="B95" s="1" t="s">
        <v>4170</v>
      </c>
      <c r="C95" s="1" t="s">
        <v>515</v>
      </c>
      <c r="D95" s="1">
        <v>20200101</v>
      </c>
      <c r="E95" s="1">
        <v>20991231</v>
      </c>
      <c r="F95" s="81"/>
      <c r="G95" s="1" t="s">
        <v>522</v>
      </c>
      <c r="H95" s="81"/>
      <c r="I95" s="1" t="s">
        <v>522</v>
      </c>
    </row>
    <row r="96" spans="2:9">
      <c r="B96" s="1" t="s">
        <v>4170</v>
      </c>
      <c r="C96" s="1" t="s">
        <v>516</v>
      </c>
      <c r="D96" s="1">
        <v>20200101</v>
      </c>
      <c r="E96" s="1">
        <v>20991231</v>
      </c>
      <c r="F96" s="81"/>
      <c r="G96" s="1" t="s">
        <v>522</v>
      </c>
      <c r="H96" s="81"/>
      <c r="I96" s="1" t="s">
        <v>522</v>
      </c>
    </row>
    <row r="97" spans="2:9">
      <c r="B97" s="1" t="s">
        <v>4170</v>
      </c>
      <c r="C97" s="1" t="s">
        <v>517</v>
      </c>
      <c r="D97" s="1">
        <v>20200101</v>
      </c>
      <c r="E97" s="1">
        <v>20991231</v>
      </c>
      <c r="F97" s="81"/>
      <c r="G97" s="1" t="s">
        <v>522</v>
      </c>
      <c r="H97" s="81"/>
      <c r="I97" s="1" t="s">
        <v>522</v>
      </c>
    </row>
  </sheetData>
  <phoneticPr fontId="3" type="noConversion"/>
  <hyperlinks>
    <hyperlink ref="A1" location="目錄!A1" display="回到目錄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9"/>
  <dimension ref="A1:O15"/>
  <sheetViews>
    <sheetView workbookViewId="0">
      <pane ySplit="1" topLeftCell="A8" activePane="bottomLeft" state="frozen"/>
      <selection activeCell="B1" sqref="B1"/>
      <selection pane="bottomLeft"/>
    </sheetView>
  </sheetViews>
  <sheetFormatPr defaultColWidth="11.1796875" defaultRowHeight="13.8"/>
  <cols>
    <col min="1" max="1" width="7.453125" style="10" bestFit="1" customWidth="1"/>
    <col min="2" max="2" width="4.36328125" style="14" bestFit="1" customWidth="1"/>
    <col min="3" max="3" width="12.7265625" style="15" bestFit="1" customWidth="1"/>
    <col min="4" max="4" width="9.1796875" style="15" bestFit="1" customWidth="1"/>
    <col min="5" max="5" width="7.54296875" style="14" bestFit="1" customWidth="1"/>
    <col min="6" max="6" width="10" style="10" bestFit="1" customWidth="1"/>
    <col min="7" max="7" width="12.26953125" style="10" bestFit="1" customWidth="1"/>
    <col min="8" max="8" width="32.81640625" style="15" customWidth="1"/>
    <col min="9" max="9" width="7.453125" style="15" bestFit="1" customWidth="1"/>
    <col min="10" max="10" width="3.6328125" style="15" bestFit="1" customWidth="1"/>
    <col min="11" max="12" width="8.54296875" style="15" bestFit="1" customWidth="1"/>
    <col min="13" max="15" width="11.1796875" style="15"/>
    <col min="16" max="16384" width="11.1796875" style="10"/>
  </cols>
  <sheetData>
    <row r="1" spans="1:15" s="17" customFormat="1">
      <c r="A1" s="23" t="s">
        <v>36</v>
      </c>
      <c r="B1" s="5" t="s">
        <v>5</v>
      </c>
      <c r="C1" s="20" t="s">
        <v>3</v>
      </c>
      <c r="D1" s="20" t="s">
        <v>4</v>
      </c>
      <c r="E1" s="7" t="s">
        <v>6</v>
      </c>
      <c r="F1" s="8" t="s">
        <v>13</v>
      </c>
      <c r="G1" s="8" t="s">
        <v>7</v>
      </c>
      <c r="H1" s="9" t="s">
        <v>8</v>
      </c>
      <c r="I1" s="9" t="s">
        <v>105</v>
      </c>
      <c r="J1" s="38"/>
      <c r="K1" s="38"/>
      <c r="L1" s="38"/>
      <c r="M1" s="38"/>
      <c r="N1" s="38"/>
      <c r="O1" s="38"/>
    </row>
    <row r="2" spans="1:15">
      <c r="B2" s="14" t="s">
        <v>14</v>
      </c>
      <c r="C2" s="12" t="s">
        <v>165</v>
      </c>
      <c r="D2" s="12" t="s">
        <v>242</v>
      </c>
      <c r="E2" s="11"/>
      <c r="G2" s="4" t="s">
        <v>166</v>
      </c>
    </row>
    <row r="3" spans="1:15">
      <c r="B3" s="14" t="s">
        <v>14</v>
      </c>
      <c r="C3" s="13" t="s">
        <v>80</v>
      </c>
      <c r="D3" s="18" t="s">
        <v>24</v>
      </c>
      <c r="E3" s="11"/>
      <c r="F3" s="12"/>
      <c r="G3" s="12" t="s">
        <v>81</v>
      </c>
    </row>
    <row r="4" spans="1:15" ht="27.6">
      <c r="C4" s="29" t="s">
        <v>3730</v>
      </c>
      <c r="D4" s="29" t="s">
        <v>126</v>
      </c>
      <c r="E4" s="28"/>
      <c r="F4" s="22"/>
      <c r="G4" s="22" t="s">
        <v>125</v>
      </c>
      <c r="H4" s="24" t="s">
        <v>243</v>
      </c>
    </row>
    <row r="5" spans="1:15" ht="27.6">
      <c r="C5" s="29" t="s">
        <v>123</v>
      </c>
      <c r="D5" s="29" t="s">
        <v>126</v>
      </c>
      <c r="E5" s="28"/>
      <c r="F5" s="22"/>
      <c r="G5" s="22" t="s">
        <v>124</v>
      </c>
      <c r="H5" s="24" t="s">
        <v>244</v>
      </c>
      <c r="I5" s="24"/>
    </row>
    <row r="6" spans="1:15">
      <c r="C6" s="15" t="s">
        <v>3747</v>
      </c>
      <c r="D6" s="13" t="s">
        <v>23</v>
      </c>
      <c r="E6" s="11" t="s">
        <v>3232</v>
      </c>
      <c r="G6" s="10" t="s">
        <v>39</v>
      </c>
      <c r="H6" s="24"/>
      <c r="I6" s="24"/>
    </row>
    <row r="7" spans="1:15">
      <c r="C7" s="15" t="s">
        <v>3748</v>
      </c>
      <c r="D7" s="13" t="s">
        <v>23</v>
      </c>
      <c r="E7" s="11" t="s">
        <v>3232</v>
      </c>
      <c r="G7" s="10" t="s">
        <v>40</v>
      </c>
      <c r="H7" s="24"/>
      <c r="I7" s="24"/>
    </row>
    <row r="8" spans="1:15" ht="96.6">
      <c r="C8" s="29" t="s">
        <v>156</v>
      </c>
      <c r="D8" s="13" t="s">
        <v>118</v>
      </c>
      <c r="E8" s="11" t="s">
        <v>3232</v>
      </c>
      <c r="F8" s="12"/>
      <c r="G8" s="12" t="s">
        <v>25</v>
      </c>
      <c r="H8" s="16" t="s">
        <v>142</v>
      </c>
    </row>
    <row r="9" spans="1:15" ht="82.8">
      <c r="C9" s="29" t="s">
        <v>3723</v>
      </c>
      <c r="D9" s="13" t="s">
        <v>118</v>
      </c>
      <c r="E9" s="11" t="s">
        <v>3232</v>
      </c>
      <c r="F9" s="12"/>
      <c r="G9" s="12" t="s">
        <v>26</v>
      </c>
      <c r="H9" s="27" t="s">
        <v>141</v>
      </c>
    </row>
    <row r="10" spans="1:15" ht="82.8">
      <c r="C10" s="29" t="s">
        <v>3724</v>
      </c>
      <c r="D10" s="13" t="s">
        <v>118</v>
      </c>
      <c r="E10" s="11" t="s">
        <v>3232</v>
      </c>
      <c r="F10" s="12"/>
      <c r="G10" s="12" t="s">
        <v>27</v>
      </c>
      <c r="H10" s="27" t="s">
        <v>141</v>
      </c>
    </row>
    <row r="11" spans="1:15" ht="27.6">
      <c r="C11" s="13" t="s">
        <v>41</v>
      </c>
      <c r="D11" s="13" t="s">
        <v>21</v>
      </c>
      <c r="E11" s="11"/>
      <c r="F11" s="12"/>
      <c r="G11" s="12" t="s">
        <v>29</v>
      </c>
      <c r="H11" s="16" t="s">
        <v>71</v>
      </c>
      <c r="I11" s="24"/>
    </row>
    <row r="12" spans="1:15">
      <c r="C12" s="12" t="s">
        <v>69</v>
      </c>
      <c r="D12" s="12" t="s">
        <v>11</v>
      </c>
      <c r="E12" s="11" t="s">
        <v>16</v>
      </c>
      <c r="F12" s="13" t="s">
        <v>20</v>
      </c>
      <c r="G12" s="12" t="s">
        <v>30</v>
      </c>
    </row>
    <row r="13" spans="1:15">
      <c r="C13" s="12" t="s">
        <v>1</v>
      </c>
      <c r="D13" s="12" t="s">
        <v>37</v>
      </c>
      <c r="E13" s="11"/>
      <c r="F13" s="13"/>
      <c r="G13" s="12" t="s">
        <v>31</v>
      </c>
    </row>
    <row r="14" spans="1:15">
      <c r="C14" s="12" t="s">
        <v>19</v>
      </c>
      <c r="D14" s="12" t="s">
        <v>11</v>
      </c>
      <c r="E14" s="11" t="s">
        <v>16</v>
      </c>
      <c r="F14" s="13" t="s">
        <v>20</v>
      </c>
      <c r="G14" s="12" t="s">
        <v>32</v>
      </c>
    </row>
    <row r="15" spans="1:15">
      <c r="C15" s="12" t="s">
        <v>70</v>
      </c>
      <c r="D15" s="12" t="s">
        <v>37</v>
      </c>
      <c r="E15" s="11"/>
      <c r="F15" s="13"/>
      <c r="G15" s="12" t="s">
        <v>33</v>
      </c>
    </row>
  </sheetData>
  <phoneticPr fontId="3" type="noConversion"/>
  <hyperlinks>
    <hyperlink ref="A1" location="目錄!A1" display="回到目錄"/>
  </hyperlinks>
  <pageMargins left="0.7" right="0.7" top="0.75" bottom="0.75" header="0.3" footer="0.3"/>
  <pageSetup paperSize="9" orientation="portrait" horizontalDpi="300" verticalDpi="300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6"/>
  <dimension ref="A1:O97"/>
  <sheetViews>
    <sheetView zoomScaleNormal="100" workbookViewId="0">
      <pane ySplit="1" topLeftCell="A2" activePane="bottomLeft" state="frozen"/>
      <selection pane="bottomLeft"/>
    </sheetView>
  </sheetViews>
  <sheetFormatPr defaultRowHeight="13.8"/>
  <cols>
    <col min="1" max="1" width="7.453125" style="15" bestFit="1" customWidth="1"/>
    <col min="2" max="2" width="11.81640625" style="15" bestFit="1" customWidth="1"/>
    <col min="3" max="3" width="8.54296875" style="15" bestFit="1" customWidth="1"/>
    <col min="4" max="4" width="8.6328125" style="15" bestFit="1" customWidth="1"/>
    <col min="5" max="5" width="8.54296875" style="15" bestFit="1" customWidth="1"/>
    <col min="6" max="6" width="13.1796875" style="15" bestFit="1" customWidth="1"/>
    <col min="7" max="7" width="13.26953125" style="15" bestFit="1" customWidth="1"/>
    <col min="8" max="8" width="7.36328125" style="15" bestFit="1" customWidth="1"/>
    <col min="9" max="9" width="9.54296875" style="15" bestFit="1" customWidth="1"/>
    <col min="10" max="10" width="10.08984375" style="15" bestFit="1" customWidth="1"/>
    <col min="11" max="12" width="10" style="15" bestFit="1" customWidth="1"/>
    <col min="13" max="13" width="7" style="15" bestFit="1" customWidth="1"/>
    <col min="14" max="14" width="10.36328125" style="15" bestFit="1" customWidth="1"/>
    <col min="15" max="15" width="7.81640625" style="15" bestFit="1" customWidth="1"/>
    <col min="16" max="16384" width="8.7265625" style="15"/>
  </cols>
  <sheetData>
    <row r="1" spans="1:15">
      <c r="A1" s="23" t="s">
        <v>36</v>
      </c>
      <c r="B1" s="82" t="s">
        <v>3227</v>
      </c>
      <c r="C1" s="82" t="s">
        <v>171</v>
      </c>
      <c r="D1" s="82" t="s">
        <v>3730</v>
      </c>
      <c r="E1" s="82" t="s">
        <v>2924</v>
      </c>
      <c r="F1" s="82" t="s">
        <v>3747</v>
      </c>
      <c r="G1" s="82" t="s">
        <v>3748</v>
      </c>
      <c r="H1" s="82" t="s">
        <v>3021</v>
      </c>
      <c r="I1" s="82" t="s">
        <v>3723</v>
      </c>
      <c r="J1" s="82" t="s">
        <v>3724</v>
      </c>
      <c r="K1" s="82" t="s">
        <v>3022</v>
      </c>
      <c r="L1" s="82" t="s">
        <v>0</v>
      </c>
      <c r="M1" s="82" t="s">
        <v>1</v>
      </c>
      <c r="N1" s="82" t="s">
        <v>19</v>
      </c>
      <c r="O1" s="82" t="s">
        <v>2</v>
      </c>
    </row>
    <row r="2" spans="1:15">
      <c r="B2" s="36">
        <v>1</v>
      </c>
      <c r="C2" s="107" t="s">
        <v>176</v>
      </c>
      <c r="D2" s="36">
        <v>20200101</v>
      </c>
      <c r="E2" s="36">
        <v>20991231</v>
      </c>
      <c r="F2" s="36">
        <v>5</v>
      </c>
      <c r="G2" s="36">
        <v>30</v>
      </c>
      <c r="H2" s="36" t="s">
        <v>3030</v>
      </c>
      <c r="I2" s="36" t="s">
        <v>3031</v>
      </c>
      <c r="J2" s="36" t="s">
        <v>3032</v>
      </c>
      <c r="K2" s="36" t="s">
        <v>539</v>
      </c>
      <c r="L2" s="115"/>
      <c r="M2" s="36" t="s">
        <v>522</v>
      </c>
      <c r="N2" s="115"/>
      <c r="O2" s="36" t="s">
        <v>522</v>
      </c>
    </row>
    <row r="3" spans="1:15">
      <c r="B3" s="36">
        <v>1</v>
      </c>
      <c r="C3" s="107" t="s">
        <v>177</v>
      </c>
      <c r="D3" s="36">
        <v>20200101</v>
      </c>
      <c r="E3" s="36">
        <v>20991231</v>
      </c>
      <c r="F3" s="36">
        <v>3</v>
      </c>
      <c r="G3" s="36">
        <v>30</v>
      </c>
      <c r="H3" s="36" t="s">
        <v>3027</v>
      </c>
      <c r="I3" s="36" t="s">
        <v>3027</v>
      </c>
      <c r="J3" s="36" t="s">
        <v>3027</v>
      </c>
      <c r="K3" s="36" t="s">
        <v>539</v>
      </c>
      <c r="L3" s="115"/>
      <c r="M3" s="36" t="s">
        <v>522</v>
      </c>
      <c r="N3" s="115"/>
      <c r="O3" s="36" t="s">
        <v>522</v>
      </c>
    </row>
    <row r="4" spans="1:15">
      <c r="B4" s="36">
        <v>1</v>
      </c>
      <c r="C4" s="107" t="s">
        <v>510</v>
      </c>
      <c r="D4" s="36">
        <v>20200101</v>
      </c>
      <c r="E4" s="36">
        <v>20991231</v>
      </c>
      <c r="F4" s="36">
        <v>1</v>
      </c>
      <c r="G4" s="36">
        <v>30</v>
      </c>
      <c r="H4" s="36" t="s">
        <v>3027</v>
      </c>
      <c r="I4" s="36" t="s">
        <v>3027</v>
      </c>
      <c r="J4" s="36" t="s">
        <v>3027</v>
      </c>
      <c r="K4" s="36" t="s">
        <v>534</v>
      </c>
      <c r="L4" s="115"/>
      <c r="M4" s="36" t="s">
        <v>522</v>
      </c>
      <c r="N4" s="115"/>
      <c r="O4" s="36" t="s">
        <v>522</v>
      </c>
    </row>
    <row r="5" spans="1:15">
      <c r="B5" s="36">
        <v>1</v>
      </c>
      <c r="C5" s="107" t="s">
        <v>507</v>
      </c>
      <c r="D5" s="36">
        <v>20200101</v>
      </c>
      <c r="E5" s="36">
        <v>20991231</v>
      </c>
      <c r="F5" s="36">
        <v>1</v>
      </c>
      <c r="G5" s="36">
        <v>5</v>
      </c>
      <c r="H5" s="36" t="s">
        <v>3027</v>
      </c>
      <c r="I5" s="36" t="s">
        <v>3027</v>
      </c>
      <c r="J5" s="36" t="s">
        <v>3027</v>
      </c>
      <c r="K5" s="36" t="s">
        <v>534</v>
      </c>
      <c r="L5" s="115"/>
      <c r="M5" s="36" t="s">
        <v>522</v>
      </c>
      <c r="N5" s="115"/>
      <c r="O5" s="36" t="s">
        <v>522</v>
      </c>
    </row>
    <row r="6" spans="1:15">
      <c r="B6" s="36">
        <v>1</v>
      </c>
      <c r="C6" s="107" t="s">
        <v>508</v>
      </c>
      <c r="D6" s="36">
        <v>20200101</v>
      </c>
      <c r="E6" s="36">
        <v>20991231</v>
      </c>
      <c r="F6" s="36">
        <v>30</v>
      </c>
      <c r="G6" s="36">
        <v>300</v>
      </c>
      <c r="H6" s="36" t="s">
        <v>3027</v>
      </c>
      <c r="I6" s="36" t="s">
        <v>3027</v>
      </c>
      <c r="J6" s="36" t="s">
        <v>3027</v>
      </c>
      <c r="K6" s="36" t="s">
        <v>534</v>
      </c>
      <c r="L6" s="115"/>
      <c r="M6" s="36" t="s">
        <v>522</v>
      </c>
      <c r="N6" s="115"/>
      <c r="O6" s="36" t="s">
        <v>522</v>
      </c>
    </row>
    <row r="7" spans="1:15">
      <c r="B7" s="36">
        <v>1</v>
      </c>
      <c r="C7" s="107" t="s">
        <v>511</v>
      </c>
      <c r="D7" s="36">
        <v>20200101</v>
      </c>
      <c r="E7" s="36">
        <v>20991231</v>
      </c>
      <c r="F7" s="36">
        <v>40</v>
      </c>
      <c r="G7" s="36">
        <v>350</v>
      </c>
      <c r="H7" s="36" t="s">
        <v>3030</v>
      </c>
      <c r="I7" s="36" t="s">
        <v>3031</v>
      </c>
      <c r="J7" s="36" t="s">
        <v>3032</v>
      </c>
      <c r="K7" s="36" t="s">
        <v>539</v>
      </c>
      <c r="L7" s="115"/>
      <c r="M7" s="36" t="s">
        <v>522</v>
      </c>
      <c r="N7" s="115"/>
      <c r="O7" s="36" t="s">
        <v>522</v>
      </c>
    </row>
    <row r="8" spans="1:15">
      <c r="B8" s="36">
        <v>1</v>
      </c>
      <c r="C8" s="107" t="s">
        <v>509</v>
      </c>
      <c r="D8" s="36">
        <v>20200101</v>
      </c>
      <c r="E8" s="36">
        <v>20991231</v>
      </c>
      <c r="F8" s="36">
        <v>30</v>
      </c>
      <c r="G8" s="36">
        <v>300</v>
      </c>
      <c r="H8" s="36" t="s">
        <v>3027</v>
      </c>
      <c r="I8" s="36" t="s">
        <v>3027</v>
      </c>
      <c r="J8" s="36" t="s">
        <v>3027</v>
      </c>
      <c r="K8" s="36" t="s">
        <v>534</v>
      </c>
      <c r="L8" s="115"/>
      <c r="M8" s="36" t="s">
        <v>522</v>
      </c>
      <c r="N8" s="115"/>
      <c r="O8" s="36" t="s">
        <v>522</v>
      </c>
    </row>
    <row r="9" spans="1:15">
      <c r="B9" s="36">
        <v>1</v>
      </c>
      <c r="C9" s="107" t="s">
        <v>518</v>
      </c>
      <c r="D9" s="36">
        <v>20200101</v>
      </c>
      <c r="E9" s="36">
        <v>20991231</v>
      </c>
      <c r="F9" s="36">
        <v>40</v>
      </c>
      <c r="G9" s="36">
        <v>6000</v>
      </c>
      <c r="H9" s="36" t="s">
        <v>3030</v>
      </c>
      <c r="I9" s="36" t="s">
        <v>3031</v>
      </c>
      <c r="J9" s="36" t="s">
        <v>3032</v>
      </c>
      <c r="K9" s="36" t="s">
        <v>539</v>
      </c>
      <c r="L9" s="115"/>
      <c r="M9" s="36" t="s">
        <v>522</v>
      </c>
      <c r="N9" s="115"/>
      <c r="O9" s="36" t="s">
        <v>522</v>
      </c>
    </row>
    <row r="10" spans="1:15">
      <c r="B10" s="36">
        <v>1</v>
      </c>
      <c r="C10" s="107" t="s">
        <v>519</v>
      </c>
      <c r="D10" s="36">
        <v>20200101</v>
      </c>
      <c r="E10" s="36">
        <v>20991231</v>
      </c>
      <c r="F10" s="36">
        <v>5</v>
      </c>
      <c r="G10" s="36">
        <v>2000</v>
      </c>
      <c r="H10" s="36" t="s">
        <v>3030</v>
      </c>
      <c r="I10" s="36" t="s">
        <v>3230</v>
      </c>
      <c r="J10" s="36" t="s">
        <v>3231</v>
      </c>
      <c r="K10" s="36" t="s">
        <v>539</v>
      </c>
      <c r="L10" s="115"/>
      <c r="M10" s="36" t="s">
        <v>522</v>
      </c>
      <c r="N10" s="115"/>
      <c r="O10" s="36" t="s">
        <v>522</v>
      </c>
    </row>
    <row r="11" spans="1:15">
      <c r="B11" s="36">
        <v>1</v>
      </c>
      <c r="C11" s="107" t="s">
        <v>172</v>
      </c>
      <c r="D11" s="36">
        <v>20200101</v>
      </c>
      <c r="E11" s="36">
        <v>20991231</v>
      </c>
      <c r="F11" s="36">
        <v>1</v>
      </c>
      <c r="G11" s="36">
        <v>6</v>
      </c>
      <c r="H11" s="36" t="s">
        <v>3027</v>
      </c>
      <c r="I11" s="36" t="s">
        <v>3027</v>
      </c>
      <c r="J11" s="36" t="s">
        <v>3027</v>
      </c>
      <c r="K11" s="36" t="s">
        <v>534</v>
      </c>
      <c r="L11" s="115"/>
      <c r="M11" s="36" t="s">
        <v>522</v>
      </c>
      <c r="N11" s="115"/>
      <c r="O11" s="36" t="s">
        <v>522</v>
      </c>
    </row>
    <row r="12" spans="1:15">
      <c r="B12" s="36">
        <v>1</v>
      </c>
      <c r="C12" s="107" t="s">
        <v>173</v>
      </c>
      <c r="D12" s="36">
        <v>20200101</v>
      </c>
      <c r="E12" s="36">
        <v>20991231</v>
      </c>
      <c r="F12" s="36">
        <v>1</v>
      </c>
      <c r="G12" s="36">
        <v>4</v>
      </c>
      <c r="H12" s="36" t="s">
        <v>3027</v>
      </c>
      <c r="I12" s="36" t="s">
        <v>3027</v>
      </c>
      <c r="J12" s="36" t="s">
        <v>3027</v>
      </c>
      <c r="K12" s="36" t="s">
        <v>534</v>
      </c>
      <c r="L12" s="115"/>
      <c r="M12" s="36" t="s">
        <v>522</v>
      </c>
      <c r="N12" s="115"/>
      <c r="O12" s="36" t="s">
        <v>522</v>
      </c>
    </row>
    <row r="13" spans="1:15">
      <c r="B13" s="36">
        <v>1</v>
      </c>
      <c r="C13" s="107" t="s">
        <v>505</v>
      </c>
      <c r="D13" s="36">
        <v>20200101</v>
      </c>
      <c r="E13" s="36">
        <v>20991231</v>
      </c>
      <c r="F13" s="36">
        <v>1</v>
      </c>
      <c r="G13" s="36">
        <v>6</v>
      </c>
      <c r="H13" s="36" t="s">
        <v>3027</v>
      </c>
      <c r="I13" s="36" t="s">
        <v>3027</v>
      </c>
      <c r="J13" s="36" t="s">
        <v>3027</v>
      </c>
      <c r="K13" s="36" t="s">
        <v>539</v>
      </c>
      <c r="L13" s="115"/>
      <c r="M13" s="36" t="s">
        <v>522</v>
      </c>
      <c r="N13" s="115"/>
      <c r="O13" s="36" t="s">
        <v>522</v>
      </c>
    </row>
    <row r="14" spans="1:15">
      <c r="B14" s="36">
        <v>1</v>
      </c>
      <c r="C14" s="107" t="s">
        <v>503</v>
      </c>
      <c r="D14" s="36">
        <v>20200101</v>
      </c>
      <c r="E14" s="36">
        <v>20991231</v>
      </c>
      <c r="F14" s="36">
        <v>10</v>
      </c>
      <c r="G14" s="36">
        <v>6000</v>
      </c>
      <c r="H14" s="36" t="s">
        <v>3030</v>
      </c>
      <c r="I14" s="36" t="s">
        <v>3031</v>
      </c>
      <c r="J14" s="36" t="s">
        <v>3032</v>
      </c>
      <c r="K14" s="36" t="s">
        <v>539</v>
      </c>
      <c r="L14" s="115"/>
      <c r="M14" s="36" t="s">
        <v>522</v>
      </c>
      <c r="N14" s="115"/>
      <c r="O14" s="36" t="s">
        <v>522</v>
      </c>
    </row>
    <row r="15" spans="1:15">
      <c r="B15" s="36">
        <v>1</v>
      </c>
      <c r="C15" s="107" t="s">
        <v>512</v>
      </c>
      <c r="D15" s="36">
        <v>20200101</v>
      </c>
      <c r="E15" s="36">
        <v>20991231</v>
      </c>
      <c r="F15" s="36">
        <v>1</v>
      </c>
      <c r="G15" s="36">
        <v>4</v>
      </c>
      <c r="H15" s="36" t="s">
        <v>3027</v>
      </c>
      <c r="I15" s="36" t="s">
        <v>3027</v>
      </c>
      <c r="J15" s="36" t="s">
        <v>3027</v>
      </c>
      <c r="K15" s="36" t="s">
        <v>534</v>
      </c>
      <c r="L15" s="115"/>
      <c r="M15" s="36" t="s">
        <v>522</v>
      </c>
      <c r="N15" s="115"/>
      <c r="O15" s="36" t="s">
        <v>522</v>
      </c>
    </row>
    <row r="16" spans="1:15">
      <c r="B16" s="36">
        <v>1</v>
      </c>
      <c r="C16" s="107" t="s">
        <v>174</v>
      </c>
      <c r="D16" s="36">
        <v>20200101</v>
      </c>
      <c r="E16" s="36">
        <v>20991231</v>
      </c>
      <c r="F16" s="36">
        <v>2</v>
      </c>
      <c r="G16" s="36">
        <v>8</v>
      </c>
      <c r="H16" s="36" t="s">
        <v>3027</v>
      </c>
      <c r="I16" s="36" t="s">
        <v>3027</v>
      </c>
      <c r="J16" s="36" t="s">
        <v>3027</v>
      </c>
      <c r="K16" s="36" t="s">
        <v>534</v>
      </c>
      <c r="L16" s="115"/>
      <c r="M16" s="36" t="s">
        <v>522</v>
      </c>
      <c r="N16" s="115"/>
      <c r="O16" s="36" t="s">
        <v>522</v>
      </c>
    </row>
    <row r="17" spans="2:15">
      <c r="B17" s="36">
        <v>1</v>
      </c>
      <c r="C17" s="107" t="s">
        <v>502</v>
      </c>
      <c r="D17" s="36">
        <v>20200101</v>
      </c>
      <c r="E17" s="36">
        <v>20991231</v>
      </c>
      <c r="F17" s="36">
        <v>10</v>
      </c>
      <c r="G17" s="36">
        <v>1000</v>
      </c>
      <c r="H17" s="36" t="s">
        <v>3027</v>
      </c>
      <c r="I17" s="36" t="s">
        <v>3027</v>
      </c>
      <c r="J17" s="36" t="s">
        <v>3027</v>
      </c>
      <c r="K17" s="36" t="s">
        <v>534</v>
      </c>
      <c r="L17" s="115"/>
      <c r="M17" s="36" t="s">
        <v>522</v>
      </c>
      <c r="N17" s="115"/>
      <c r="O17" s="36" t="s">
        <v>522</v>
      </c>
    </row>
    <row r="18" spans="2:15">
      <c r="B18" s="36">
        <v>1</v>
      </c>
      <c r="C18" s="107" t="s">
        <v>513</v>
      </c>
      <c r="D18" s="36">
        <v>20200101</v>
      </c>
      <c r="E18" s="36">
        <v>20991231</v>
      </c>
      <c r="F18" s="36">
        <v>3</v>
      </c>
      <c r="G18" s="36">
        <v>20</v>
      </c>
      <c r="H18" s="36" t="s">
        <v>3027</v>
      </c>
      <c r="I18" s="36" t="s">
        <v>3027</v>
      </c>
      <c r="J18" s="36" t="s">
        <v>3027</v>
      </c>
      <c r="K18" s="36" t="s">
        <v>534</v>
      </c>
      <c r="L18" s="115"/>
      <c r="M18" s="36" t="s">
        <v>522</v>
      </c>
      <c r="N18" s="115"/>
      <c r="O18" s="36" t="s">
        <v>522</v>
      </c>
    </row>
    <row r="19" spans="2:15">
      <c r="B19" s="36">
        <v>1</v>
      </c>
      <c r="C19" s="107" t="s">
        <v>527</v>
      </c>
      <c r="D19" s="36">
        <v>20200101</v>
      </c>
      <c r="E19" s="36">
        <v>20991231</v>
      </c>
      <c r="F19" s="36">
        <v>10</v>
      </c>
      <c r="G19" s="36">
        <v>500</v>
      </c>
      <c r="H19" s="36" t="s">
        <v>3027</v>
      </c>
      <c r="I19" s="36" t="s">
        <v>3027</v>
      </c>
      <c r="J19" s="36" t="s">
        <v>3027</v>
      </c>
      <c r="K19" s="36" t="s">
        <v>534</v>
      </c>
      <c r="L19" s="115"/>
      <c r="M19" s="36" t="s">
        <v>522</v>
      </c>
      <c r="N19" s="115"/>
      <c r="O19" s="36" t="s">
        <v>522</v>
      </c>
    </row>
    <row r="20" spans="2:15">
      <c r="B20" s="36">
        <v>1</v>
      </c>
      <c r="C20" s="107" t="s">
        <v>506</v>
      </c>
      <c r="D20" s="36">
        <v>20200101</v>
      </c>
      <c r="E20" s="36">
        <v>20991231</v>
      </c>
      <c r="F20" s="36">
        <v>5</v>
      </c>
      <c r="G20" s="36">
        <v>40</v>
      </c>
      <c r="H20" s="36" t="s">
        <v>3027</v>
      </c>
      <c r="I20" s="36" t="s">
        <v>3027</v>
      </c>
      <c r="J20" s="36" t="s">
        <v>3027</v>
      </c>
      <c r="K20" s="36" t="s">
        <v>534</v>
      </c>
      <c r="L20" s="115"/>
      <c r="M20" s="36" t="s">
        <v>522</v>
      </c>
      <c r="N20" s="115"/>
      <c r="O20" s="36" t="s">
        <v>522</v>
      </c>
    </row>
    <row r="21" spans="2:15">
      <c r="B21" s="36">
        <v>1</v>
      </c>
      <c r="C21" s="107" t="s">
        <v>504</v>
      </c>
      <c r="D21" s="36">
        <v>20200101</v>
      </c>
      <c r="E21" s="36">
        <v>20991231</v>
      </c>
      <c r="F21" s="36">
        <v>150</v>
      </c>
      <c r="G21" s="36">
        <v>2000</v>
      </c>
      <c r="H21" s="36" t="s">
        <v>3030</v>
      </c>
      <c r="I21" s="36" t="s">
        <v>3031</v>
      </c>
      <c r="J21" s="36" t="s">
        <v>3032</v>
      </c>
      <c r="K21" s="36" t="s">
        <v>539</v>
      </c>
      <c r="L21" s="115"/>
      <c r="M21" s="36" t="s">
        <v>522</v>
      </c>
      <c r="N21" s="115"/>
      <c r="O21" s="36" t="s">
        <v>522</v>
      </c>
    </row>
    <row r="22" spans="2:15">
      <c r="B22" s="36">
        <v>1</v>
      </c>
      <c r="C22" s="107" t="s">
        <v>514</v>
      </c>
      <c r="D22" s="36">
        <v>20200101</v>
      </c>
      <c r="E22" s="36">
        <v>20991231</v>
      </c>
      <c r="F22" s="36" t="s">
        <v>3027</v>
      </c>
      <c r="G22" s="36" t="s">
        <v>3027</v>
      </c>
      <c r="H22" s="36" t="s">
        <v>3027</v>
      </c>
      <c r="I22" s="36" t="s">
        <v>3027</v>
      </c>
      <c r="J22" s="36" t="s">
        <v>3027</v>
      </c>
      <c r="K22" s="36" t="s">
        <v>539</v>
      </c>
      <c r="L22" s="115"/>
      <c r="M22" s="36" t="s">
        <v>522</v>
      </c>
      <c r="N22" s="115"/>
      <c r="O22" s="36" t="s">
        <v>522</v>
      </c>
    </row>
    <row r="23" spans="2:15">
      <c r="B23" s="36">
        <v>1</v>
      </c>
      <c r="C23" s="107" t="s">
        <v>515</v>
      </c>
      <c r="D23" s="36">
        <v>20200101</v>
      </c>
      <c r="E23" s="36">
        <v>20991231</v>
      </c>
      <c r="F23" s="36" t="s">
        <v>3027</v>
      </c>
      <c r="G23" s="36" t="s">
        <v>3027</v>
      </c>
      <c r="H23" s="36" t="s">
        <v>3027</v>
      </c>
      <c r="I23" s="36" t="s">
        <v>3027</v>
      </c>
      <c r="J23" s="36" t="s">
        <v>3027</v>
      </c>
      <c r="K23" s="36" t="s">
        <v>539</v>
      </c>
      <c r="L23" s="115"/>
      <c r="M23" s="36" t="s">
        <v>522</v>
      </c>
      <c r="N23" s="115"/>
      <c r="O23" s="36" t="s">
        <v>522</v>
      </c>
    </row>
    <row r="24" spans="2:15">
      <c r="B24" s="36">
        <v>1</v>
      </c>
      <c r="C24" s="107" t="s">
        <v>516</v>
      </c>
      <c r="D24" s="36">
        <v>20200101</v>
      </c>
      <c r="E24" s="36">
        <v>20991231</v>
      </c>
      <c r="F24" s="36" t="s">
        <v>3027</v>
      </c>
      <c r="G24" s="36" t="s">
        <v>3027</v>
      </c>
      <c r="H24" s="36" t="s">
        <v>3027</v>
      </c>
      <c r="I24" s="36" t="s">
        <v>3027</v>
      </c>
      <c r="J24" s="36" t="s">
        <v>3027</v>
      </c>
      <c r="K24" s="36" t="s">
        <v>539</v>
      </c>
      <c r="L24" s="115"/>
      <c r="M24" s="36" t="s">
        <v>522</v>
      </c>
      <c r="N24" s="115"/>
      <c r="O24" s="36" t="s">
        <v>522</v>
      </c>
    </row>
    <row r="25" spans="2:15">
      <c r="B25" s="36">
        <v>1</v>
      </c>
      <c r="C25" s="107" t="s">
        <v>517</v>
      </c>
      <c r="D25" s="36">
        <v>20200101</v>
      </c>
      <c r="E25" s="36">
        <v>20991231</v>
      </c>
      <c r="F25" s="36" t="s">
        <v>3027</v>
      </c>
      <c r="G25" s="36" t="s">
        <v>3027</v>
      </c>
      <c r="H25" s="36" t="s">
        <v>3027</v>
      </c>
      <c r="I25" s="36" t="s">
        <v>3027</v>
      </c>
      <c r="J25" s="36" t="s">
        <v>3027</v>
      </c>
      <c r="K25" s="36" t="s">
        <v>539</v>
      </c>
      <c r="L25" s="115"/>
      <c r="M25" s="36" t="s">
        <v>522</v>
      </c>
      <c r="N25" s="115"/>
      <c r="O25" s="36" t="s">
        <v>522</v>
      </c>
    </row>
    <row r="26" spans="2:15">
      <c r="B26" s="36">
        <v>2</v>
      </c>
      <c r="C26" s="107" t="s">
        <v>176</v>
      </c>
      <c r="D26" s="36">
        <v>20200101</v>
      </c>
      <c r="E26" s="36">
        <v>20991231</v>
      </c>
      <c r="F26" s="36">
        <v>5</v>
      </c>
      <c r="G26" s="36">
        <v>30</v>
      </c>
      <c r="H26" s="36" t="s">
        <v>3030</v>
      </c>
      <c r="I26" s="36" t="s">
        <v>3031</v>
      </c>
      <c r="J26" s="36" t="s">
        <v>3032</v>
      </c>
      <c r="K26" s="36" t="s">
        <v>539</v>
      </c>
      <c r="L26" s="115"/>
      <c r="M26" s="36" t="s">
        <v>522</v>
      </c>
      <c r="N26" s="115"/>
      <c r="O26" s="36" t="s">
        <v>522</v>
      </c>
    </row>
    <row r="27" spans="2:15">
      <c r="B27" s="36">
        <v>2</v>
      </c>
      <c r="C27" s="107" t="s">
        <v>177</v>
      </c>
      <c r="D27" s="36">
        <v>20200101</v>
      </c>
      <c r="E27" s="36">
        <v>20991231</v>
      </c>
      <c r="F27" s="36">
        <v>3</v>
      </c>
      <c r="G27" s="36">
        <v>30</v>
      </c>
      <c r="H27" s="36" t="s">
        <v>3027</v>
      </c>
      <c r="I27" s="36" t="s">
        <v>3027</v>
      </c>
      <c r="J27" s="36" t="s">
        <v>3027</v>
      </c>
      <c r="K27" s="36" t="s">
        <v>539</v>
      </c>
      <c r="L27" s="115"/>
      <c r="M27" s="36" t="s">
        <v>522</v>
      </c>
      <c r="N27" s="115"/>
      <c r="O27" s="36" t="s">
        <v>522</v>
      </c>
    </row>
    <row r="28" spans="2:15">
      <c r="B28" s="36">
        <v>2</v>
      </c>
      <c r="C28" s="107" t="s">
        <v>510</v>
      </c>
      <c r="D28" s="36">
        <v>20200101</v>
      </c>
      <c r="E28" s="36">
        <v>20991231</v>
      </c>
      <c r="F28" s="36">
        <v>1</v>
      </c>
      <c r="G28" s="36">
        <v>30</v>
      </c>
      <c r="H28" s="36" t="s">
        <v>3027</v>
      </c>
      <c r="I28" s="36" t="s">
        <v>3027</v>
      </c>
      <c r="J28" s="36" t="s">
        <v>3027</v>
      </c>
      <c r="K28" s="36" t="s">
        <v>534</v>
      </c>
      <c r="L28" s="115"/>
      <c r="M28" s="36" t="s">
        <v>522</v>
      </c>
      <c r="N28" s="115"/>
      <c r="O28" s="36" t="s">
        <v>522</v>
      </c>
    </row>
    <row r="29" spans="2:15">
      <c r="B29" s="36">
        <v>2</v>
      </c>
      <c r="C29" s="107" t="s">
        <v>507</v>
      </c>
      <c r="D29" s="36">
        <v>20200101</v>
      </c>
      <c r="E29" s="36">
        <v>20991231</v>
      </c>
      <c r="F29" s="36">
        <v>1</v>
      </c>
      <c r="G29" s="36">
        <v>5</v>
      </c>
      <c r="H29" s="36" t="s">
        <v>3027</v>
      </c>
      <c r="I29" s="36" t="s">
        <v>3027</v>
      </c>
      <c r="J29" s="36" t="s">
        <v>3027</v>
      </c>
      <c r="K29" s="36" t="s">
        <v>534</v>
      </c>
      <c r="L29" s="115"/>
      <c r="M29" s="36" t="s">
        <v>522</v>
      </c>
      <c r="N29" s="115"/>
      <c r="O29" s="36" t="s">
        <v>522</v>
      </c>
    </row>
    <row r="30" spans="2:15">
      <c r="B30" s="36">
        <v>2</v>
      </c>
      <c r="C30" s="107" t="s">
        <v>508</v>
      </c>
      <c r="D30" s="36">
        <v>20200101</v>
      </c>
      <c r="E30" s="36">
        <v>20991231</v>
      </c>
      <c r="F30" s="36">
        <v>30</v>
      </c>
      <c r="G30" s="36">
        <v>300</v>
      </c>
      <c r="H30" s="36" t="s">
        <v>3027</v>
      </c>
      <c r="I30" s="36" t="s">
        <v>3027</v>
      </c>
      <c r="J30" s="36" t="s">
        <v>3027</v>
      </c>
      <c r="K30" s="36" t="s">
        <v>534</v>
      </c>
      <c r="L30" s="115"/>
      <c r="M30" s="36" t="s">
        <v>522</v>
      </c>
      <c r="N30" s="115"/>
      <c r="O30" s="36" t="s">
        <v>522</v>
      </c>
    </row>
    <row r="31" spans="2:15">
      <c r="B31" s="36">
        <v>2</v>
      </c>
      <c r="C31" s="107" t="s">
        <v>511</v>
      </c>
      <c r="D31" s="36">
        <v>20200101</v>
      </c>
      <c r="E31" s="36">
        <v>20991231</v>
      </c>
      <c r="F31" s="36">
        <v>40</v>
      </c>
      <c r="G31" s="36">
        <v>350</v>
      </c>
      <c r="H31" s="36" t="s">
        <v>3030</v>
      </c>
      <c r="I31" s="36" t="s">
        <v>3031</v>
      </c>
      <c r="J31" s="36" t="s">
        <v>3032</v>
      </c>
      <c r="K31" s="36" t="s">
        <v>539</v>
      </c>
      <c r="L31" s="115"/>
      <c r="M31" s="36" t="s">
        <v>522</v>
      </c>
      <c r="N31" s="115"/>
      <c r="O31" s="36" t="s">
        <v>522</v>
      </c>
    </row>
    <row r="32" spans="2:15">
      <c r="B32" s="107">
        <v>2</v>
      </c>
      <c r="C32" s="107" t="s">
        <v>509</v>
      </c>
      <c r="D32" s="36">
        <v>20200101</v>
      </c>
      <c r="E32" s="36">
        <v>20991231</v>
      </c>
      <c r="F32" s="36">
        <v>30</v>
      </c>
      <c r="G32" s="36">
        <v>300</v>
      </c>
      <c r="H32" s="36" t="s">
        <v>3027</v>
      </c>
      <c r="I32" s="36" t="s">
        <v>3027</v>
      </c>
      <c r="J32" s="36" t="s">
        <v>3027</v>
      </c>
      <c r="K32" s="36" t="s">
        <v>534</v>
      </c>
      <c r="L32" s="115"/>
      <c r="M32" s="36" t="s">
        <v>522</v>
      </c>
      <c r="N32" s="115"/>
      <c r="O32" s="36" t="s">
        <v>522</v>
      </c>
    </row>
    <row r="33" spans="2:15">
      <c r="B33" s="107">
        <v>2</v>
      </c>
      <c r="C33" s="107" t="s">
        <v>518</v>
      </c>
      <c r="D33" s="36">
        <v>20200101</v>
      </c>
      <c r="E33" s="36">
        <v>20991231</v>
      </c>
      <c r="F33" s="36">
        <v>40</v>
      </c>
      <c r="G33" s="36">
        <v>6000</v>
      </c>
      <c r="H33" s="36" t="s">
        <v>3030</v>
      </c>
      <c r="I33" s="36" t="s">
        <v>3031</v>
      </c>
      <c r="J33" s="36" t="s">
        <v>3032</v>
      </c>
      <c r="K33" s="36" t="s">
        <v>539</v>
      </c>
      <c r="L33" s="115"/>
      <c r="M33" s="36" t="s">
        <v>522</v>
      </c>
      <c r="N33" s="115"/>
      <c r="O33" s="36" t="s">
        <v>522</v>
      </c>
    </row>
    <row r="34" spans="2:15">
      <c r="B34" s="107">
        <v>2</v>
      </c>
      <c r="C34" s="107" t="s">
        <v>519</v>
      </c>
      <c r="D34" s="36">
        <v>20200101</v>
      </c>
      <c r="E34" s="36">
        <v>20991231</v>
      </c>
      <c r="F34" s="36">
        <v>5</v>
      </c>
      <c r="G34" s="36">
        <v>2000</v>
      </c>
      <c r="H34" s="36" t="s">
        <v>3030</v>
      </c>
      <c r="I34" s="36" t="s">
        <v>3230</v>
      </c>
      <c r="J34" s="36" t="s">
        <v>3231</v>
      </c>
      <c r="K34" s="36" t="s">
        <v>539</v>
      </c>
      <c r="L34" s="115"/>
      <c r="M34" s="36" t="s">
        <v>522</v>
      </c>
      <c r="N34" s="115"/>
      <c r="O34" s="36" t="s">
        <v>522</v>
      </c>
    </row>
    <row r="35" spans="2:15">
      <c r="B35" s="107">
        <v>2</v>
      </c>
      <c r="C35" s="107" t="s">
        <v>172</v>
      </c>
      <c r="D35" s="36">
        <v>20200101</v>
      </c>
      <c r="E35" s="36">
        <v>20991231</v>
      </c>
      <c r="F35" s="36">
        <v>1</v>
      </c>
      <c r="G35" s="36">
        <v>6</v>
      </c>
      <c r="H35" s="36" t="s">
        <v>3027</v>
      </c>
      <c r="I35" s="36" t="s">
        <v>3027</v>
      </c>
      <c r="J35" s="36" t="s">
        <v>3027</v>
      </c>
      <c r="K35" s="36" t="s">
        <v>534</v>
      </c>
      <c r="L35" s="115"/>
      <c r="M35" s="36" t="s">
        <v>522</v>
      </c>
      <c r="N35" s="115"/>
      <c r="O35" s="36" t="s">
        <v>522</v>
      </c>
    </row>
    <row r="36" spans="2:15">
      <c r="B36" s="107">
        <v>2</v>
      </c>
      <c r="C36" s="107" t="s">
        <v>173</v>
      </c>
      <c r="D36" s="36">
        <v>20200101</v>
      </c>
      <c r="E36" s="36">
        <v>20991231</v>
      </c>
      <c r="F36" s="36">
        <v>1</v>
      </c>
      <c r="G36" s="36">
        <v>4</v>
      </c>
      <c r="H36" s="36" t="s">
        <v>3027</v>
      </c>
      <c r="I36" s="36" t="s">
        <v>3027</v>
      </c>
      <c r="J36" s="36" t="s">
        <v>3027</v>
      </c>
      <c r="K36" s="36" t="s">
        <v>534</v>
      </c>
      <c r="L36" s="115"/>
      <c r="M36" s="36" t="s">
        <v>522</v>
      </c>
      <c r="N36" s="115"/>
      <c r="O36" s="36" t="s">
        <v>522</v>
      </c>
    </row>
    <row r="37" spans="2:15">
      <c r="B37" s="107">
        <v>2</v>
      </c>
      <c r="C37" s="107" t="s">
        <v>505</v>
      </c>
      <c r="D37" s="36">
        <v>20200101</v>
      </c>
      <c r="E37" s="36">
        <v>20991231</v>
      </c>
      <c r="F37" s="36">
        <v>1</v>
      </c>
      <c r="G37" s="36">
        <v>6</v>
      </c>
      <c r="H37" s="36" t="s">
        <v>3027</v>
      </c>
      <c r="I37" s="36" t="s">
        <v>3027</v>
      </c>
      <c r="J37" s="36" t="s">
        <v>3027</v>
      </c>
      <c r="K37" s="36" t="s">
        <v>539</v>
      </c>
      <c r="L37" s="115"/>
      <c r="M37" s="36" t="s">
        <v>522</v>
      </c>
      <c r="N37" s="115"/>
      <c r="O37" s="36" t="s">
        <v>522</v>
      </c>
    </row>
    <row r="38" spans="2:15">
      <c r="B38" s="107">
        <v>2</v>
      </c>
      <c r="C38" s="107" t="s">
        <v>503</v>
      </c>
      <c r="D38" s="36">
        <v>20200101</v>
      </c>
      <c r="E38" s="36">
        <v>20991231</v>
      </c>
      <c r="F38" s="36">
        <v>10</v>
      </c>
      <c r="G38" s="36">
        <v>6000</v>
      </c>
      <c r="H38" s="36" t="s">
        <v>3030</v>
      </c>
      <c r="I38" s="36" t="s">
        <v>3031</v>
      </c>
      <c r="J38" s="36" t="s">
        <v>3032</v>
      </c>
      <c r="K38" s="36" t="s">
        <v>539</v>
      </c>
      <c r="L38" s="115"/>
      <c r="M38" s="36" t="s">
        <v>522</v>
      </c>
      <c r="N38" s="115"/>
      <c r="O38" s="36" t="s">
        <v>522</v>
      </c>
    </row>
    <row r="39" spans="2:15">
      <c r="B39" s="107">
        <v>2</v>
      </c>
      <c r="C39" s="107" t="s">
        <v>512</v>
      </c>
      <c r="D39" s="36">
        <v>20200101</v>
      </c>
      <c r="E39" s="36">
        <v>20991231</v>
      </c>
      <c r="F39" s="36">
        <v>1</v>
      </c>
      <c r="G39" s="36">
        <v>4</v>
      </c>
      <c r="H39" s="36" t="s">
        <v>3027</v>
      </c>
      <c r="I39" s="36" t="s">
        <v>3027</v>
      </c>
      <c r="J39" s="36" t="s">
        <v>3027</v>
      </c>
      <c r="K39" s="36" t="s">
        <v>534</v>
      </c>
      <c r="L39" s="115"/>
      <c r="M39" s="36" t="s">
        <v>522</v>
      </c>
      <c r="N39" s="115"/>
      <c r="O39" s="36" t="s">
        <v>522</v>
      </c>
    </row>
    <row r="40" spans="2:15">
      <c r="B40" s="107">
        <v>2</v>
      </c>
      <c r="C40" s="107" t="s">
        <v>174</v>
      </c>
      <c r="D40" s="36">
        <v>20200101</v>
      </c>
      <c r="E40" s="36">
        <v>20991231</v>
      </c>
      <c r="F40" s="36">
        <v>2</v>
      </c>
      <c r="G40" s="36">
        <v>8</v>
      </c>
      <c r="H40" s="36" t="s">
        <v>3027</v>
      </c>
      <c r="I40" s="36" t="s">
        <v>3027</v>
      </c>
      <c r="J40" s="36" t="s">
        <v>3027</v>
      </c>
      <c r="K40" s="36" t="s">
        <v>534</v>
      </c>
      <c r="L40" s="115"/>
      <c r="M40" s="36" t="s">
        <v>522</v>
      </c>
      <c r="N40" s="115"/>
      <c r="O40" s="36" t="s">
        <v>522</v>
      </c>
    </row>
    <row r="41" spans="2:15">
      <c r="B41" s="107">
        <v>2</v>
      </c>
      <c r="C41" s="107" t="s">
        <v>502</v>
      </c>
      <c r="D41" s="36">
        <v>20200101</v>
      </c>
      <c r="E41" s="36">
        <v>20991231</v>
      </c>
      <c r="F41" s="36">
        <v>10</v>
      </c>
      <c r="G41" s="36">
        <v>1000</v>
      </c>
      <c r="H41" s="36" t="s">
        <v>3027</v>
      </c>
      <c r="I41" s="36" t="s">
        <v>3027</v>
      </c>
      <c r="J41" s="36" t="s">
        <v>3027</v>
      </c>
      <c r="K41" s="36" t="s">
        <v>534</v>
      </c>
      <c r="L41" s="115"/>
      <c r="M41" s="36" t="s">
        <v>522</v>
      </c>
      <c r="N41" s="115"/>
      <c r="O41" s="36" t="s">
        <v>522</v>
      </c>
    </row>
    <row r="42" spans="2:15">
      <c r="B42" s="107">
        <v>2</v>
      </c>
      <c r="C42" s="107" t="s">
        <v>513</v>
      </c>
      <c r="D42" s="36">
        <v>20200101</v>
      </c>
      <c r="E42" s="36">
        <v>20991231</v>
      </c>
      <c r="F42" s="36">
        <v>3</v>
      </c>
      <c r="G42" s="36">
        <v>20</v>
      </c>
      <c r="H42" s="36" t="s">
        <v>3027</v>
      </c>
      <c r="I42" s="36" t="s">
        <v>3027</v>
      </c>
      <c r="J42" s="36" t="s">
        <v>3027</v>
      </c>
      <c r="K42" s="36" t="s">
        <v>534</v>
      </c>
      <c r="L42" s="115"/>
      <c r="M42" s="36" t="s">
        <v>522</v>
      </c>
      <c r="N42" s="115"/>
      <c r="O42" s="36" t="s">
        <v>522</v>
      </c>
    </row>
    <row r="43" spans="2:15">
      <c r="B43" s="36">
        <v>2</v>
      </c>
      <c r="C43" s="107" t="s">
        <v>527</v>
      </c>
      <c r="D43" s="36">
        <v>20200101</v>
      </c>
      <c r="E43" s="36">
        <v>20991231</v>
      </c>
      <c r="F43" s="36">
        <v>10</v>
      </c>
      <c r="G43" s="36">
        <v>500</v>
      </c>
      <c r="H43" s="36" t="s">
        <v>3027</v>
      </c>
      <c r="I43" s="36" t="s">
        <v>3027</v>
      </c>
      <c r="J43" s="36" t="s">
        <v>3027</v>
      </c>
      <c r="K43" s="36" t="s">
        <v>534</v>
      </c>
      <c r="L43" s="115"/>
      <c r="M43" s="36" t="s">
        <v>522</v>
      </c>
      <c r="N43" s="115"/>
      <c r="O43" s="36" t="s">
        <v>522</v>
      </c>
    </row>
    <row r="44" spans="2:15">
      <c r="B44" s="36">
        <v>2</v>
      </c>
      <c r="C44" s="36" t="s">
        <v>506</v>
      </c>
      <c r="D44" s="36">
        <v>20200101</v>
      </c>
      <c r="E44" s="36">
        <v>20991231</v>
      </c>
      <c r="F44" s="36">
        <v>5</v>
      </c>
      <c r="G44" s="36">
        <v>40</v>
      </c>
      <c r="H44" s="36" t="s">
        <v>3027</v>
      </c>
      <c r="I44" s="36" t="s">
        <v>3027</v>
      </c>
      <c r="J44" s="36" t="s">
        <v>3027</v>
      </c>
      <c r="K44" s="36" t="s">
        <v>534</v>
      </c>
      <c r="L44" s="115"/>
      <c r="M44" s="36" t="s">
        <v>522</v>
      </c>
      <c r="N44" s="115"/>
      <c r="O44" s="36" t="s">
        <v>522</v>
      </c>
    </row>
    <row r="45" spans="2:15">
      <c r="B45" s="36">
        <v>2</v>
      </c>
      <c r="C45" s="36" t="s">
        <v>504</v>
      </c>
      <c r="D45" s="36">
        <v>20200101</v>
      </c>
      <c r="E45" s="36">
        <v>20991231</v>
      </c>
      <c r="F45" s="36">
        <v>150</v>
      </c>
      <c r="G45" s="36">
        <v>2000</v>
      </c>
      <c r="H45" s="36" t="s">
        <v>3030</v>
      </c>
      <c r="I45" s="36" t="s">
        <v>3031</v>
      </c>
      <c r="J45" s="36" t="s">
        <v>3032</v>
      </c>
      <c r="K45" s="36" t="s">
        <v>539</v>
      </c>
      <c r="L45" s="115"/>
      <c r="M45" s="36" t="s">
        <v>522</v>
      </c>
      <c r="N45" s="115"/>
      <c r="O45" s="36" t="s">
        <v>522</v>
      </c>
    </row>
    <row r="46" spans="2:15">
      <c r="B46" s="36">
        <v>2</v>
      </c>
      <c r="C46" s="36" t="s">
        <v>514</v>
      </c>
      <c r="D46" s="36">
        <v>20200101</v>
      </c>
      <c r="E46" s="36">
        <v>20991231</v>
      </c>
      <c r="F46" s="36" t="s">
        <v>3027</v>
      </c>
      <c r="G46" s="36" t="s">
        <v>3027</v>
      </c>
      <c r="H46" s="36" t="s">
        <v>3027</v>
      </c>
      <c r="I46" s="36" t="s">
        <v>3027</v>
      </c>
      <c r="J46" s="36" t="s">
        <v>3027</v>
      </c>
      <c r="K46" s="36" t="s">
        <v>539</v>
      </c>
      <c r="L46" s="115"/>
      <c r="M46" s="36" t="s">
        <v>522</v>
      </c>
      <c r="N46" s="115"/>
      <c r="O46" s="36" t="s">
        <v>522</v>
      </c>
    </row>
    <row r="47" spans="2:15">
      <c r="B47" s="36">
        <v>2</v>
      </c>
      <c r="C47" s="36" t="s">
        <v>515</v>
      </c>
      <c r="D47" s="36">
        <v>20200101</v>
      </c>
      <c r="E47" s="36">
        <v>20991231</v>
      </c>
      <c r="F47" s="36" t="s">
        <v>3027</v>
      </c>
      <c r="G47" s="36" t="s">
        <v>3027</v>
      </c>
      <c r="H47" s="36" t="s">
        <v>3027</v>
      </c>
      <c r="I47" s="36" t="s">
        <v>3027</v>
      </c>
      <c r="J47" s="36" t="s">
        <v>3027</v>
      </c>
      <c r="K47" s="36" t="s">
        <v>539</v>
      </c>
      <c r="L47" s="115"/>
      <c r="M47" s="36" t="s">
        <v>522</v>
      </c>
      <c r="N47" s="115"/>
      <c r="O47" s="36" t="s">
        <v>522</v>
      </c>
    </row>
    <row r="48" spans="2:15">
      <c r="B48" s="36">
        <v>2</v>
      </c>
      <c r="C48" s="36" t="s">
        <v>516</v>
      </c>
      <c r="D48" s="36">
        <v>20200101</v>
      </c>
      <c r="E48" s="36">
        <v>20991231</v>
      </c>
      <c r="F48" s="36" t="s">
        <v>3027</v>
      </c>
      <c r="G48" s="36" t="s">
        <v>3027</v>
      </c>
      <c r="H48" s="36" t="s">
        <v>3027</v>
      </c>
      <c r="I48" s="36" t="s">
        <v>3027</v>
      </c>
      <c r="J48" s="36" t="s">
        <v>3027</v>
      </c>
      <c r="K48" s="36" t="s">
        <v>539</v>
      </c>
      <c r="L48" s="115"/>
      <c r="M48" s="36" t="s">
        <v>522</v>
      </c>
      <c r="N48" s="115"/>
      <c r="O48" s="36" t="s">
        <v>522</v>
      </c>
    </row>
    <row r="49" spans="2:15">
      <c r="B49" s="36">
        <v>2</v>
      </c>
      <c r="C49" s="36" t="s">
        <v>517</v>
      </c>
      <c r="D49" s="36">
        <v>20200101</v>
      </c>
      <c r="E49" s="36">
        <v>20991231</v>
      </c>
      <c r="F49" s="36" t="s">
        <v>3027</v>
      </c>
      <c r="G49" s="36" t="s">
        <v>3027</v>
      </c>
      <c r="H49" s="36" t="s">
        <v>3027</v>
      </c>
      <c r="I49" s="36" t="s">
        <v>3027</v>
      </c>
      <c r="J49" s="36" t="s">
        <v>3027</v>
      </c>
      <c r="K49" s="36" t="s">
        <v>539</v>
      </c>
      <c r="L49" s="115"/>
      <c r="M49" s="36" t="s">
        <v>522</v>
      </c>
      <c r="N49" s="115"/>
      <c r="O49" s="36" t="s">
        <v>522</v>
      </c>
    </row>
    <row r="50" spans="2:15">
      <c r="B50" s="36">
        <v>3</v>
      </c>
      <c r="C50" s="36" t="s">
        <v>176</v>
      </c>
      <c r="D50" s="36">
        <v>20200101</v>
      </c>
      <c r="E50" s="36">
        <v>20991231</v>
      </c>
      <c r="F50" s="36">
        <v>5</v>
      </c>
      <c r="G50" s="36">
        <v>30</v>
      </c>
      <c r="H50" s="36" t="s">
        <v>3030</v>
      </c>
      <c r="I50" s="36" t="s">
        <v>3031</v>
      </c>
      <c r="J50" s="36" t="s">
        <v>3032</v>
      </c>
      <c r="K50" s="36" t="s">
        <v>539</v>
      </c>
      <c r="L50" s="115"/>
      <c r="M50" s="36" t="s">
        <v>522</v>
      </c>
      <c r="N50" s="115"/>
      <c r="O50" s="36" t="s">
        <v>522</v>
      </c>
    </row>
    <row r="51" spans="2:15">
      <c r="B51" s="36">
        <v>3</v>
      </c>
      <c r="C51" s="36" t="s">
        <v>177</v>
      </c>
      <c r="D51" s="36">
        <v>20200101</v>
      </c>
      <c r="E51" s="36">
        <v>20991231</v>
      </c>
      <c r="F51" s="36">
        <v>3</v>
      </c>
      <c r="G51" s="36">
        <v>30</v>
      </c>
      <c r="H51" s="36" t="s">
        <v>3027</v>
      </c>
      <c r="I51" s="36" t="s">
        <v>3027</v>
      </c>
      <c r="J51" s="36" t="s">
        <v>3027</v>
      </c>
      <c r="K51" s="36" t="s">
        <v>539</v>
      </c>
      <c r="L51" s="115"/>
      <c r="M51" s="36" t="s">
        <v>522</v>
      </c>
      <c r="N51" s="115"/>
      <c r="O51" s="36" t="s">
        <v>522</v>
      </c>
    </row>
    <row r="52" spans="2:15">
      <c r="B52" s="36">
        <v>3</v>
      </c>
      <c r="C52" s="36" t="s">
        <v>510</v>
      </c>
      <c r="D52" s="36">
        <v>20200101</v>
      </c>
      <c r="E52" s="36">
        <v>20991231</v>
      </c>
      <c r="F52" s="36">
        <v>1</v>
      </c>
      <c r="G52" s="36">
        <v>30</v>
      </c>
      <c r="H52" s="36" t="s">
        <v>3027</v>
      </c>
      <c r="I52" s="36" t="s">
        <v>3027</v>
      </c>
      <c r="J52" s="36" t="s">
        <v>3027</v>
      </c>
      <c r="K52" s="36" t="s">
        <v>534</v>
      </c>
      <c r="L52" s="115"/>
      <c r="M52" s="36" t="s">
        <v>522</v>
      </c>
      <c r="N52" s="115"/>
      <c r="O52" s="36" t="s">
        <v>522</v>
      </c>
    </row>
    <row r="53" spans="2:15">
      <c r="B53" s="36">
        <v>3</v>
      </c>
      <c r="C53" s="36" t="s">
        <v>507</v>
      </c>
      <c r="D53" s="36">
        <v>20200101</v>
      </c>
      <c r="E53" s="36">
        <v>20991231</v>
      </c>
      <c r="F53" s="36">
        <v>1</v>
      </c>
      <c r="G53" s="36">
        <v>5</v>
      </c>
      <c r="H53" s="36" t="s">
        <v>3027</v>
      </c>
      <c r="I53" s="36" t="s">
        <v>3027</v>
      </c>
      <c r="J53" s="36" t="s">
        <v>3027</v>
      </c>
      <c r="K53" s="36" t="s">
        <v>534</v>
      </c>
      <c r="L53" s="115"/>
      <c r="M53" s="36" t="s">
        <v>522</v>
      </c>
      <c r="N53" s="115"/>
      <c r="O53" s="36" t="s">
        <v>522</v>
      </c>
    </row>
    <row r="54" spans="2:15">
      <c r="B54" s="36">
        <v>3</v>
      </c>
      <c r="C54" s="36" t="s">
        <v>508</v>
      </c>
      <c r="D54" s="36">
        <v>20200101</v>
      </c>
      <c r="E54" s="36">
        <v>20991231</v>
      </c>
      <c r="F54" s="36">
        <v>30</v>
      </c>
      <c r="G54" s="36">
        <v>300</v>
      </c>
      <c r="H54" s="36" t="s">
        <v>3027</v>
      </c>
      <c r="I54" s="36" t="s">
        <v>3027</v>
      </c>
      <c r="J54" s="36" t="s">
        <v>3027</v>
      </c>
      <c r="K54" s="36" t="s">
        <v>534</v>
      </c>
      <c r="L54" s="115"/>
      <c r="M54" s="36" t="s">
        <v>522</v>
      </c>
      <c r="N54" s="115"/>
      <c r="O54" s="36" t="s">
        <v>522</v>
      </c>
    </row>
    <row r="55" spans="2:15">
      <c r="B55" s="36">
        <v>3</v>
      </c>
      <c r="C55" s="36" t="s">
        <v>511</v>
      </c>
      <c r="D55" s="36">
        <v>20200101</v>
      </c>
      <c r="E55" s="36">
        <v>20991231</v>
      </c>
      <c r="F55" s="36">
        <v>40</v>
      </c>
      <c r="G55" s="36">
        <v>350</v>
      </c>
      <c r="H55" s="36" t="s">
        <v>3030</v>
      </c>
      <c r="I55" s="36" t="s">
        <v>3031</v>
      </c>
      <c r="J55" s="36" t="s">
        <v>3032</v>
      </c>
      <c r="K55" s="36" t="s">
        <v>539</v>
      </c>
      <c r="L55" s="115"/>
      <c r="M55" s="36" t="s">
        <v>522</v>
      </c>
      <c r="N55" s="115"/>
      <c r="O55" s="36" t="s">
        <v>522</v>
      </c>
    </row>
    <row r="56" spans="2:15">
      <c r="B56" s="36">
        <v>3</v>
      </c>
      <c r="C56" s="36" t="s">
        <v>509</v>
      </c>
      <c r="D56" s="36">
        <v>20200101</v>
      </c>
      <c r="E56" s="36">
        <v>20991231</v>
      </c>
      <c r="F56" s="36">
        <v>30</v>
      </c>
      <c r="G56" s="36">
        <v>300</v>
      </c>
      <c r="H56" s="36" t="s">
        <v>3027</v>
      </c>
      <c r="I56" s="36" t="s">
        <v>3027</v>
      </c>
      <c r="J56" s="36" t="s">
        <v>3027</v>
      </c>
      <c r="K56" s="36" t="s">
        <v>534</v>
      </c>
      <c r="L56" s="115"/>
      <c r="M56" s="36" t="s">
        <v>522</v>
      </c>
      <c r="N56" s="115"/>
      <c r="O56" s="36" t="s">
        <v>522</v>
      </c>
    </row>
    <row r="57" spans="2:15">
      <c r="B57" s="36">
        <v>3</v>
      </c>
      <c r="C57" s="36" t="s">
        <v>518</v>
      </c>
      <c r="D57" s="36">
        <v>20200101</v>
      </c>
      <c r="E57" s="36">
        <v>20991231</v>
      </c>
      <c r="F57" s="36">
        <v>40</v>
      </c>
      <c r="G57" s="36">
        <v>6000</v>
      </c>
      <c r="H57" s="36" t="s">
        <v>3030</v>
      </c>
      <c r="I57" s="36" t="s">
        <v>3031</v>
      </c>
      <c r="J57" s="36" t="s">
        <v>3032</v>
      </c>
      <c r="K57" s="36" t="s">
        <v>539</v>
      </c>
      <c r="L57" s="115"/>
      <c r="M57" s="36" t="s">
        <v>522</v>
      </c>
      <c r="N57" s="115"/>
      <c r="O57" s="36" t="s">
        <v>522</v>
      </c>
    </row>
    <row r="58" spans="2:15">
      <c r="B58" s="36">
        <v>3</v>
      </c>
      <c r="C58" s="36" t="s">
        <v>519</v>
      </c>
      <c r="D58" s="36">
        <v>20200101</v>
      </c>
      <c r="E58" s="36">
        <v>20991231</v>
      </c>
      <c r="F58" s="36">
        <v>5</v>
      </c>
      <c r="G58" s="36">
        <v>2000</v>
      </c>
      <c r="H58" s="36" t="s">
        <v>3030</v>
      </c>
      <c r="I58" s="36" t="s">
        <v>3230</v>
      </c>
      <c r="J58" s="36" t="s">
        <v>3231</v>
      </c>
      <c r="K58" s="36" t="s">
        <v>539</v>
      </c>
      <c r="L58" s="115"/>
      <c r="M58" s="36" t="s">
        <v>522</v>
      </c>
      <c r="N58" s="115"/>
      <c r="O58" s="36" t="s">
        <v>522</v>
      </c>
    </row>
    <row r="59" spans="2:15">
      <c r="B59" s="36">
        <v>3</v>
      </c>
      <c r="C59" s="36" t="s">
        <v>172</v>
      </c>
      <c r="D59" s="36">
        <v>20200101</v>
      </c>
      <c r="E59" s="36">
        <v>20991231</v>
      </c>
      <c r="F59" s="36">
        <v>1</v>
      </c>
      <c r="G59" s="36">
        <v>6</v>
      </c>
      <c r="H59" s="36" t="s">
        <v>3027</v>
      </c>
      <c r="I59" s="36" t="s">
        <v>3027</v>
      </c>
      <c r="J59" s="36" t="s">
        <v>3027</v>
      </c>
      <c r="K59" s="36" t="s">
        <v>534</v>
      </c>
      <c r="L59" s="115"/>
      <c r="M59" s="36" t="s">
        <v>522</v>
      </c>
      <c r="N59" s="115"/>
      <c r="O59" s="36" t="s">
        <v>522</v>
      </c>
    </row>
    <row r="60" spans="2:15">
      <c r="B60" s="36">
        <v>3</v>
      </c>
      <c r="C60" s="36" t="s">
        <v>173</v>
      </c>
      <c r="D60" s="36">
        <v>20200101</v>
      </c>
      <c r="E60" s="36">
        <v>20991231</v>
      </c>
      <c r="F60" s="36">
        <v>1</v>
      </c>
      <c r="G60" s="36">
        <v>4</v>
      </c>
      <c r="H60" s="36" t="s">
        <v>3027</v>
      </c>
      <c r="I60" s="36" t="s">
        <v>3027</v>
      </c>
      <c r="J60" s="36" t="s">
        <v>3027</v>
      </c>
      <c r="K60" s="36" t="s">
        <v>534</v>
      </c>
      <c r="L60" s="115"/>
      <c r="M60" s="36" t="s">
        <v>522</v>
      </c>
      <c r="N60" s="115"/>
      <c r="O60" s="36" t="s">
        <v>522</v>
      </c>
    </row>
    <row r="61" spans="2:15">
      <c r="B61" s="36">
        <v>3</v>
      </c>
      <c r="C61" s="36" t="s">
        <v>505</v>
      </c>
      <c r="D61" s="36">
        <v>20200101</v>
      </c>
      <c r="E61" s="36">
        <v>20991231</v>
      </c>
      <c r="F61" s="36">
        <v>1</v>
      </c>
      <c r="G61" s="36">
        <v>6</v>
      </c>
      <c r="H61" s="36" t="s">
        <v>3027</v>
      </c>
      <c r="I61" s="36" t="s">
        <v>3027</v>
      </c>
      <c r="J61" s="36" t="s">
        <v>3027</v>
      </c>
      <c r="K61" s="36" t="s">
        <v>539</v>
      </c>
      <c r="L61" s="115"/>
      <c r="M61" s="36" t="s">
        <v>522</v>
      </c>
      <c r="N61" s="115"/>
      <c r="O61" s="36" t="s">
        <v>522</v>
      </c>
    </row>
    <row r="62" spans="2:15">
      <c r="B62" s="36">
        <v>3</v>
      </c>
      <c r="C62" s="36" t="s">
        <v>503</v>
      </c>
      <c r="D62" s="36">
        <v>20200101</v>
      </c>
      <c r="E62" s="36">
        <v>20991231</v>
      </c>
      <c r="F62" s="36">
        <v>10</v>
      </c>
      <c r="G62" s="36">
        <v>6000</v>
      </c>
      <c r="H62" s="36" t="s">
        <v>3030</v>
      </c>
      <c r="I62" s="36" t="s">
        <v>3031</v>
      </c>
      <c r="J62" s="36" t="s">
        <v>3032</v>
      </c>
      <c r="K62" s="36" t="s">
        <v>539</v>
      </c>
      <c r="L62" s="115"/>
      <c r="M62" s="36" t="s">
        <v>522</v>
      </c>
      <c r="N62" s="115"/>
      <c r="O62" s="36" t="s">
        <v>522</v>
      </c>
    </row>
    <row r="63" spans="2:15">
      <c r="B63" s="36">
        <v>3</v>
      </c>
      <c r="C63" s="36" t="s">
        <v>512</v>
      </c>
      <c r="D63" s="36">
        <v>20200101</v>
      </c>
      <c r="E63" s="36">
        <v>20991231</v>
      </c>
      <c r="F63" s="36">
        <v>1</v>
      </c>
      <c r="G63" s="36">
        <v>4</v>
      </c>
      <c r="H63" s="36" t="s">
        <v>3027</v>
      </c>
      <c r="I63" s="36" t="s">
        <v>3027</v>
      </c>
      <c r="J63" s="36" t="s">
        <v>3027</v>
      </c>
      <c r="K63" s="36" t="s">
        <v>534</v>
      </c>
      <c r="L63" s="115"/>
      <c r="M63" s="36" t="s">
        <v>522</v>
      </c>
      <c r="N63" s="115"/>
      <c r="O63" s="36" t="s">
        <v>522</v>
      </c>
    </row>
    <row r="64" spans="2:15">
      <c r="B64" s="36">
        <v>3</v>
      </c>
      <c r="C64" s="36" t="s">
        <v>174</v>
      </c>
      <c r="D64" s="36">
        <v>20200101</v>
      </c>
      <c r="E64" s="36">
        <v>20991231</v>
      </c>
      <c r="F64" s="36">
        <v>2</v>
      </c>
      <c r="G64" s="36">
        <v>8</v>
      </c>
      <c r="H64" s="36" t="s">
        <v>3027</v>
      </c>
      <c r="I64" s="36" t="s">
        <v>3027</v>
      </c>
      <c r="J64" s="36" t="s">
        <v>3027</v>
      </c>
      <c r="K64" s="36" t="s">
        <v>534</v>
      </c>
      <c r="L64" s="115"/>
      <c r="M64" s="36" t="s">
        <v>522</v>
      </c>
      <c r="N64" s="115"/>
      <c r="O64" s="36" t="s">
        <v>522</v>
      </c>
    </row>
    <row r="65" spans="2:15">
      <c r="B65" s="36">
        <v>3</v>
      </c>
      <c r="C65" s="36" t="s">
        <v>502</v>
      </c>
      <c r="D65" s="36">
        <v>20200101</v>
      </c>
      <c r="E65" s="36">
        <v>20991231</v>
      </c>
      <c r="F65" s="36">
        <v>10</v>
      </c>
      <c r="G65" s="36">
        <v>1000</v>
      </c>
      <c r="H65" s="36" t="s">
        <v>3027</v>
      </c>
      <c r="I65" s="36" t="s">
        <v>3027</v>
      </c>
      <c r="J65" s="36" t="s">
        <v>3027</v>
      </c>
      <c r="K65" s="36" t="s">
        <v>534</v>
      </c>
      <c r="L65" s="115"/>
      <c r="M65" s="36" t="s">
        <v>522</v>
      </c>
      <c r="N65" s="115"/>
      <c r="O65" s="36" t="s">
        <v>522</v>
      </c>
    </row>
    <row r="66" spans="2:15">
      <c r="B66" s="36">
        <v>3</v>
      </c>
      <c r="C66" s="36" t="s">
        <v>513</v>
      </c>
      <c r="D66" s="36">
        <v>20200101</v>
      </c>
      <c r="E66" s="36">
        <v>20991231</v>
      </c>
      <c r="F66" s="36">
        <v>3</v>
      </c>
      <c r="G66" s="36">
        <v>20</v>
      </c>
      <c r="H66" s="36" t="s">
        <v>3027</v>
      </c>
      <c r="I66" s="36" t="s">
        <v>3027</v>
      </c>
      <c r="J66" s="36" t="s">
        <v>3027</v>
      </c>
      <c r="K66" s="36" t="s">
        <v>534</v>
      </c>
      <c r="L66" s="115"/>
      <c r="M66" s="36" t="s">
        <v>522</v>
      </c>
      <c r="N66" s="115"/>
      <c r="O66" s="36" t="s">
        <v>522</v>
      </c>
    </row>
    <row r="67" spans="2:15">
      <c r="B67" s="36">
        <v>3</v>
      </c>
      <c r="C67" s="36" t="s">
        <v>527</v>
      </c>
      <c r="D67" s="36">
        <v>20200101</v>
      </c>
      <c r="E67" s="36">
        <v>20991231</v>
      </c>
      <c r="F67" s="36">
        <v>10</v>
      </c>
      <c r="G67" s="36">
        <v>500</v>
      </c>
      <c r="H67" s="36" t="s">
        <v>3027</v>
      </c>
      <c r="I67" s="36" t="s">
        <v>3027</v>
      </c>
      <c r="J67" s="36" t="s">
        <v>3027</v>
      </c>
      <c r="K67" s="36" t="s">
        <v>534</v>
      </c>
      <c r="L67" s="115"/>
      <c r="M67" s="36" t="s">
        <v>522</v>
      </c>
      <c r="N67" s="115"/>
      <c r="O67" s="36" t="s">
        <v>522</v>
      </c>
    </row>
    <row r="68" spans="2:15">
      <c r="B68" s="36">
        <v>3</v>
      </c>
      <c r="C68" s="36" t="s">
        <v>506</v>
      </c>
      <c r="D68" s="36">
        <v>20200101</v>
      </c>
      <c r="E68" s="36">
        <v>20991231</v>
      </c>
      <c r="F68" s="36">
        <v>5</v>
      </c>
      <c r="G68" s="36">
        <v>40</v>
      </c>
      <c r="H68" s="36" t="s">
        <v>3027</v>
      </c>
      <c r="I68" s="36" t="s">
        <v>3027</v>
      </c>
      <c r="J68" s="36" t="s">
        <v>3027</v>
      </c>
      <c r="K68" s="36" t="s">
        <v>534</v>
      </c>
      <c r="L68" s="115"/>
      <c r="M68" s="36" t="s">
        <v>522</v>
      </c>
      <c r="N68" s="115"/>
      <c r="O68" s="36" t="s">
        <v>522</v>
      </c>
    </row>
    <row r="69" spans="2:15">
      <c r="B69" s="36">
        <v>3</v>
      </c>
      <c r="C69" s="36" t="s">
        <v>504</v>
      </c>
      <c r="D69" s="36">
        <v>20200101</v>
      </c>
      <c r="E69" s="36">
        <v>20991231</v>
      </c>
      <c r="F69" s="36">
        <v>150</v>
      </c>
      <c r="G69" s="36">
        <v>2000</v>
      </c>
      <c r="H69" s="36" t="s">
        <v>3030</v>
      </c>
      <c r="I69" s="36" t="s">
        <v>3031</v>
      </c>
      <c r="J69" s="36" t="s">
        <v>3032</v>
      </c>
      <c r="K69" s="36" t="s">
        <v>539</v>
      </c>
      <c r="L69" s="115"/>
      <c r="M69" s="36" t="s">
        <v>522</v>
      </c>
      <c r="N69" s="115"/>
      <c r="O69" s="36" t="s">
        <v>522</v>
      </c>
    </row>
    <row r="70" spans="2:15">
      <c r="B70" s="36">
        <v>3</v>
      </c>
      <c r="C70" s="36" t="s">
        <v>514</v>
      </c>
      <c r="D70" s="36">
        <v>20200101</v>
      </c>
      <c r="E70" s="36">
        <v>20991231</v>
      </c>
      <c r="F70" s="36" t="s">
        <v>3027</v>
      </c>
      <c r="G70" s="36" t="s">
        <v>3027</v>
      </c>
      <c r="H70" s="36" t="s">
        <v>3027</v>
      </c>
      <c r="I70" s="36" t="s">
        <v>3027</v>
      </c>
      <c r="J70" s="36" t="s">
        <v>3027</v>
      </c>
      <c r="K70" s="36" t="s">
        <v>539</v>
      </c>
      <c r="L70" s="115"/>
      <c r="M70" s="36" t="s">
        <v>522</v>
      </c>
      <c r="N70" s="115"/>
      <c r="O70" s="36" t="s">
        <v>522</v>
      </c>
    </row>
    <row r="71" spans="2:15">
      <c r="B71" s="36">
        <v>3</v>
      </c>
      <c r="C71" s="36" t="s">
        <v>515</v>
      </c>
      <c r="D71" s="36">
        <v>20200101</v>
      </c>
      <c r="E71" s="36">
        <v>20991231</v>
      </c>
      <c r="F71" s="36" t="s">
        <v>3027</v>
      </c>
      <c r="G71" s="36" t="s">
        <v>3027</v>
      </c>
      <c r="H71" s="36" t="s">
        <v>3027</v>
      </c>
      <c r="I71" s="36" t="s">
        <v>3027</v>
      </c>
      <c r="J71" s="36" t="s">
        <v>3027</v>
      </c>
      <c r="K71" s="36" t="s">
        <v>539</v>
      </c>
      <c r="L71" s="115"/>
      <c r="M71" s="36" t="s">
        <v>522</v>
      </c>
      <c r="N71" s="115"/>
      <c r="O71" s="36" t="s">
        <v>522</v>
      </c>
    </row>
    <row r="72" spans="2:15">
      <c r="B72" s="36">
        <v>3</v>
      </c>
      <c r="C72" s="36" t="s">
        <v>516</v>
      </c>
      <c r="D72" s="36">
        <v>20200101</v>
      </c>
      <c r="E72" s="36">
        <v>20991231</v>
      </c>
      <c r="F72" s="36" t="s">
        <v>3027</v>
      </c>
      <c r="G72" s="36" t="s">
        <v>3027</v>
      </c>
      <c r="H72" s="36" t="s">
        <v>3027</v>
      </c>
      <c r="I72" s="36" t="s">
        <v>3027</v>
      </c>
      <c r="J72" s="36" t="s">
        <v>3027</v>
      </c>
      <c r="K72" s="36" t="s">
        <v>539</v>
      </c>
      <c r="L72" s="115"/>
      <c r="M72" s="36" t="s">
        <v>522</v>
      </c>
      <c r="N72" s="115"/>
      <c r="O72" s="36" t="s">
        <v>522</v>
      </c>
    </row>
    <row r="73" spans="2:15">
      <c r="B73" s="36">
        <v>3</v>
      </c>
      <c r="C73" s="36" t="s">
        <v>517</v>
      </c>
      <c r="D73" s="36">
        <v>20200101</v>
      </c>
      <c r="E73" s="36">
        <v>20991231</v>
      </c>
      <c r="F73" s="36" t="s">
        <v>3027</v>
      </c>
      <c r="G73" s="36" t="s">
        <v>3027</v>
      </c>
      <c r="H73" s="36" t="s">
        <v>3027</v>
      </c>
      <c r="I73" s="36" t="s">
        <v>3027</v>
      </c>
      <c r="J73" s="36" t="s">
        <v>3027</v>
      </c>
      <c r="K73" s="36" t="s">
        <v>539</v>
      </c>
      <c r="L73" s="115"/>
      <c r="M73" s="36" t="s">
        <v>522</v>
      </c>
      <c r="N73" s="115"/>
      <c r="O73" s="36" t="s">
        <v>522</v>
      </c>
    </row>
    <row r="74" spans="2:15">
      <c r="B74" s="36">
        <v>4</v>
      </c>
      <c r="C74" s="36" t="s">
        <v>176</v>
      </c>
      <c r="D74" s="36">
        <v>20200101</v>
      </c>
      <c r="E74" s="36">
        <v>20991231</v>
      </c>
      <c r="F74" s="36">
        <v>5</v>
      </c>
      <c r="G74" s="36">
        <v>30</v>
      </c>
      <c r="H74" s="36" t="s">
        <v>3030</v>
      </c>
      <c r="I74" s="36" t="s">
        <v>3031</v>
      </c>
      <c r="J74" s="36" t="s">
        <v>3032</v>
      </c>
      <c r="K74" s="36" t="s">
        <v>539</v>
      </c>
      <c r="L74" s="115"/>
      <c r="M74" s="36" t="s">
        <v>522</v>
      </c>
      <c r="N74" s="115"/>
      <c r="O74" s="36" t="s">
        <v>522</v>
      </c>
    </row>
    <row r="75" spans="2:15">
      <c r="B75" s="36">
        <v>4</v>
      </c>
      <c r="C75" s="36" t="s">
        <v>177</v>
      </c>
      <c r="D75" s="36">
        <v>20200101</v>
      </c>
      <c r="E75" s="36">
        <v>20991231</v>
      </c>
      <c r="F75" s="36">
        <v>3</v>
      </c>
      <c r="G75" s="36">
        <v>30</v>
      </c>
      <c r="H75" s="36" t="s">
        <v>3027</v>
      </c>
      <c r="I75" s="36" t="s">
        <v>3027</v>
      </c>
      <c r="J75" s="36" t="s">
        <v>3027</v>
      </c>
      <c r="K75" s="36" t="s">
        <v>539</v>
      </c>
      <c r="L75" s="115"/>
      <c r="M75" s="36" t="s">
        <v>522</v>
      </c>
      <c r="N75" s="115"/>
      <c r="O75" s="36" t="s">
        <v>522</v>
      </c>
    </row>
    <row r="76" spans="2:15">
      <c r="B76" s="36">
        <v>4</v>
      </c>
      <c r="C76" s="36" t="s">
        <v>510</v>
      </c>
      <c r="D76" s="36">
        <v>20200101</v>
      </c>
      <c r="E76" s="36">
        <v>20991231</v>
      </c>
      <c r="F76" s="36">
        <v>1</v>
      </c>
      <c r="G76" s="36">
        <v>30</v>
      </c>
      <c r="H76" s="36" t="s">
        <v>3027</v>
      </c>
      <c r="I76" s="36" t="s">
        <v>3027</v>
      </c>
      <c r="J76" s="36" t="s">
        <v>3027</v>
      </c>
      <c r="K76" s="36" t="s">
        <v>534</v>
      </c>
      <c r="L76" s="115"/>
      <c r="M76" s="36" t="s">
        <v>522</v>
      </c>
      <c r="N76" s="115"/>
      <c r="O76" s="36" t="s">
        <v>522</v>
      </c>
    </row>
    <row r="77" spans="2:15">
      <c r="B77" s="36">
        <v>4</v>
      </c>
      <c r="C77" s="36" t="s">
        <v>507</v>
      </c>
      <c r="D77" s="36">
        <v>20200101</v>
      </c>
      <c r="E77" s="36">
        <v>20991231</v>
      </c>
      <c r="F77" s="36">
        <v>1</v>
      </c>
      <c r="G77" s="36">
        <v>5</v>
      </c>
      <c r="H77" s="36" t="s">
        <v>3027</v>
      </c>
      <c r="I77" s="36" t="s">
        <v>3027</v>
      </c>
      <c r="J77" s="36" t="s">
        <v>3027</v>
      </c>
      <c r="K77" s="36" t="s">
        <v>534</v>
      </c>
      <c r="L77" s="115"/>
      <c r="M77" s="36" t="s">
        <v>522</v>
      </c>
      <c r="N77" s="115"/>
      <c r="O77" s="36" t="s">
        <v>522</v>
      </c>
    </row>
    <row r="78" spans="2:15">
      <c r="B78" s="36">
        <v>4</v>
      </c>
      <c r="C78" s="36" t="s">
        <v>508</v>
      </c>
      <c r="D78" s="36">
        <v>20200101</v>
      </c>
      <c r="E78" s="36">
        <v>20991231</v>
      </c>
      <c r="F78" s="36">
        <v>30</v>
      </c>
      <c r="G78" s="36">
        <v>300</v>
      </c>
      <c r="H78" s="36" t="s">
        <v>3027</v>
      </c>
      <c r="I78" s="36" t="s">
        <v>3027</v>
      </c>
      <c r="J78" s="36" t="s">
        <v>3027</v>
      </c>
      <c r="K78" s="36" t="s">
        <v>534</v>
      </c>
      <c r="L78" s="115"/>
      <c r="M78" s="36" t="s">
        <v>522</v>
      </c>
      <c r="N78" s="115"/>
      <c r="O78" s="36" t="s">
        <v>522</v>
      </c>
    </row>
    <row r="79" spans="2:15">
      <c r="B79" s="36">
        <v>4</v>
      </c>
      <c r="C79" s="36" t="s">
        <v>511</v>
      </c>
      <c r="D79" s="36">
        <v>20200101</v>
      </c>
      <c r="E79" s="36">
        <v>20991231</v>
      </c>
      <c r="F79" s="36">
        <v>40</v>
      </c>
      <c r="G79" s="36">
        <v>350</v>
      </c>
      <c r="H79" s="36" t="s">
        <v>3030</v>
      </c>
      <c r="I79" s="36" t="s">
        <v>3031</v>
      </c>
      <c r="J79" s="36" t="s">
        <v>3032</v>
      </c>
      <c r="K79" s="36" t="s">
        <v>539</v>
      </c>
      <c r="L79" s="115"/>
      <c r="M79" s="36" t="s">
        <v>522</v>
      </c>
      <c r="N79" s="115"/>
      <c r="O79" s="36" t="s">
        <v>522</v>
      </c>
    </row>
    <row r="80" spans="2:15">
      <c r="B80" s="36">
        <v>4</v>
      </c>
      <c r="C80" s="36" t="s">
        <v>509</v>
      </c>
      <c r="D80" s="36">
        <v>20200101</v>
      </c>
      <c r="E80" s="36">
        <v>20991231</v>
      </c>
      <c r="F80" s="36">
        <v>30</v>
      </c>
      <c r="G80" s="36">
        <v>300</v>
      </c>
      <c r="H80" s="36" t="s">
        <v>3027</v>
      </c>
      <c r="I80" s="36" t="s">
        <v>3027</v>
      </c>
      <c r="J80" s="36" t="s">
        <v>3027</v>
      </c>
      <c r="K80" s="36" t="s">
        <v>534</v>
      </c>
      <c r="L80" s="115"/>
      <c r="M80" s="36" t="s">
        <v>522</v>
      </c>
      <c r="N80" s="115"/>
      <c r="O80" s="36" t="s">
        <v>522</v>
      </c>
    </row>
    <row r="81" spans="2:15">
      <c r="B81" s="36">
        <v>4</v>
      </c>
      <c r="C81" s="36" t="s">
        <v>518</v>
      </c>
      <c r="D81" s="36">
        <v>20200101</v>
      </c>
      <c r="E81" s="36">
        <v>20991231</v>
      </c>
      <c r="F81" s="36">
        <v>40</v>
      </c>
      <c r="G81" s="36">
        <v>6000</v>
      </c>
      <c r="H81" s="36" t="s">
        <v>3030</v>
      </c>
      <c r="I81" s="36" t="s">
        <v>3031</v>
      </c>
      <c r="J81" s="36" t="s">
        <v>3032</v>
      </c>
      <c r="K81" s="36" t="s">
        <v>539</v>
      </c>
      <c r="L81" s="115"/>
      <c r="M81" s="36" t="s">
        <v>522</v>
      </c>
      <c r="N81" s="115"/>
      <c r="O81" s="36" t="s">
        <v>522</v>
      </c>
    </row>
    <row r="82" spans="2:15">
      <c r="B82" s="36">
        <v>4</v>
      </c>
      <c r="C82" s="36" t="s">
        <v>519</v>
      </c>
      <c r="D82" s="36">
        <v>20200101</v>
      </c>
      <c r="E82" s="36">
        <v>20991231</v>
      </c>
      <c r="F82" s="36">
        <v>5</v>
      </c>
      <c r="G82" s="36">
        <v>2000</v>
      </c>
      <c r="H82" s="36" t="s">
        <v>3030</v>
      </c>
      <c r="I82" s="36" t="s">
        <v>3230</v>
      </c>
      <c r="J82" s="36" t="s">
        <v>3231</v>
      </c>
      <c r="K82" s="36" t="s">
        <v>539</v>
      </c>
      <c r="L82" s="115"/>
      <c r="M82" s="36" t="s">
        <v>522</v>
      </c>
      <c r="N82" s="115"/>
      <c r="O82" s="36" t="s">
        <v>522</v>
      </c>
    </row>
    <row r="83" spans="2:15">
      <c r="B83" s="36">
        <v>4</v>
      </c>
      <c r="C83" s="36" t="s">
        <v>172</v>
      </c>
      <c r="D83" s="36">
        <v>20200101</v>
      </c>
      <c r="E83" s="36">
        <v>20991231</v>
      </c>
      <c r="F83" s="36">
        <v>1</v>
      </c>
      <c r="G83" s="36">
        <v>6</v>
      </c>
      <c r="H83" s="36" t="s">
        <v>3027</v>
      </c>
      <c r="I83" s="36" t="s">
        <v>3027</v>
      </c>
      <c r="J83" s="36" t="s">
        <v>3027</v>
      </c>
      <c r="K83" s="36" t="s">
        <v>534</v>
      </c>
      <c r="L83" s="115"/>
      <c r="M83" s="36" t="s">
        <v>522</v>
      </c>
      <c r="N83" s="115"/>
      <c r="O83" s="36" t="s">
        <v>522</v>
      </c>
    </row>
    <row r="84" spans="2:15">
      <c r="B84" s="36">
        <v>4</v>
      </c>
      <c r="C84" s="36" t="s">
        <v>173</v>
      </c>
      <c r="D84" s="36">
        <v>20200101</v>
      </c>
      <c r="E84" s="36">
        <v>20991231</v>
      </c>
      <c r="F84" s="36">
        <v>1</v>
      </c>
      <c r="G84" s="36">
        <v>4</v>
      </c>
      <c r="H84" s="36" t="s">
        <v>3027</v>
      </c>
      <c r="I84" s="36" t="s">
        <v>3027</v>
      </c>
      <c r="J84" s="36" t="s">
        <v>3027</v>
      </c>
      <c r="K84" s="36" t="s">
        <v>534</v>
      </c>
      <c r="L84" s="115"/>
      <c r="M84" s="36" t="s">
        <v>522</v>
      </c>
      <c r="N84" s="115"/>
      <c r="O84" s="36" t="s">
        <v>522</v>
      </c>
    </row>
    <row r="85" spans="2:15">
      <c r="B85" s="36">
        <v>4</v>
      </c>
      <c r="C85" s="36" t="s">
        <v>505</v>
      </c>
      <c r="D85" s="36">
        <v>20200101</v>
      </c>
      <c r="E85" s="36">
        <v>20991231</v>
      </c>
      <c r="F85" s="36">
        <v>1</v>
      </c>
      <c r="G85" s="36">
        <v>6</v>
      </c>
      <c r="H85" s="36" t="s">
        <v>3027</v>
      </c>
      <c r="I85" s="36" t="s">
        <v>3027</v>
      </c>
      <c r="J85" s="36" t="s">
        <v>3027</v>
      </c>
      <c r="K85" s="36" t="s">
        <v>539</v>
      </c>
      <c r="L85" s="115"/>
      <c r="M85" s="36" t="s">
        <v>522</v>
      </c>
      <c r="N85" s="115"/>
      <c r="O85" s="36" t="s">
        <v>522</v>
      </c>
    </row>
    <row r="86" spans="2:15">
      <c r="B86" s="36">
        <v>4</v>
      </c>
      <c r="C86" s="36" t="s">
        <v>503</v>
      </c>
      <c r="D86" s="36">
        <v>20200101</v>
      </c>
      <c r="E86" s="36">
        <v>20991231</v>
      </c>
      <c r="F86" s="36">
        <v>10</v>
      </c>
      <c r="G86" s="36">
        <v>6000</v>
      </c>
      <c r="H86" s="36" t="s">
        <v>3030</v>
      </c>
      <c r="I86" s="36" t="s">
        <v>3031</v>
      </c>
      <c r="J86" s="36" t="s">
        <v>3032</v>
      </c>
      <c r="K86" s="36" t="s">
        <v>539</v>
      </c>
      <c r="L86" s="115"/>
      <c r="M86" s="36" t="s">
        <v>522</v>
      </c>
      <c r="N86" s="115"/>
      <c r="O86" s="36" t="s">
        <v>522</v>
      </c>
    </row>
    <row r="87" spans="2:15">
      <c r="B87" s="36">
        <v>4</v>
      </c>
      <c r="C87" s="36" t="s">
        <v>512</v>
      </c>
      <c r="D87" s="36">
        <v>20200101</v>
      </c>
      <c r="E87" s="36">
        <v>20991231</v>
      </c>
      <c r="F87" s="36">
        <v>1</v>
      </c>
      <c r="G87" s="36">
        <v>4</v>
      </c>
      <c r="H87" s="36" t="s">
        <v>3027</v>
      </c>
      <c r="I87" s="36" t="s">
        <v>3027</v>
      </c>
      <c r="J87" s="36" t="s">
        <v>3027</v>
      </c>
      <c r="K87" s="36" t="s">
        <v>534</v>
      </c>
      <c r="L87" s="115"/>
      <c r="M87" s="36" t="s">
        <v>522</v>
      </c>
      <c r="N87" s="115"/>
      <c r="O87" s="36" t="s">
        <v>522</v>
      </c>
    </row>
    <row r="88" spans="2:15">
      <c r="B88" s="36">
        <v>4</v>
      </c>
      <c r="C88" s="36" t="s">
        <v>174</v>
      </c>
      <c r="D88" s="36">
        <v>20200101</v>
      </c>
      <c r="E88" s="36">
        <v>20991231</v>
      </c>
      <c r="F88" s="36">
        <v>2</v>
      </c>
      <c r="G88" s="36">
        <v>8</v>
      </c>
      <c r="H88" s="36" t="s">
        <v>3027</v>
      </c>
      <c r="I88" s="36" t="s">
        <v>3027</v>
      </c>
      <c r="J88" s="36" t="s">
        <v>3027</v>
      </c>
      <c r="K88" s="36" t="s">
        <v>534</v>
      </c>
      <c r="L88" s="115"/>
      <c r="M88" s="36" t="s">
        <v>522</v>
      </c>
      <c r="N88" s="115"/>
      <c r="O88" s="36" t="s">
        <v>522</v>
      </c>
    </row>
    <row r="89" spans="2:15">
      <c r="B89" s="36">
        <v>4</v>
      </c>
      <c r="C89" s="36" t="s">
        <v>502</v>
      </c>
      <c r="D89" s="36">
        <v>20200101</v>
      </c>
      <c r="E89" s="36">
        <v>20991231</v>
      </c>
      <c r="F89" s="36">
        <v>10</v>
      </c>
      <c r="G89" s="36">
        <v>1000</v>
      </c>
      <c r="H89" s="36" t="s">
        <v>3027</v>
      </c>
      <c r="I89" s="36" t="s">
        <v>3027</v>
      </c>
      <c r="J89" s="36" t="s">
        <v>3027</v>
      </c>
      <c r="K89" s="36" t="s">
        <v>534</v>
      </c>
      <c r="L89" s="115"/>
      <c r="M89" s="36" t="s">
        <v>522</v>
      </c>
      <c r="N89" s="115"/>
      <c r="O89" s="36" t="s">
        <v>522</v>
      </c>
    </row>
    <row r="90" spans="2:15">
      <c r="B90" s="36">
        <v>4</v>
      </c>
      <c r="C90" s="36" t="s">
        <v>513</v>
      </c>
      <c r="D90" s="36">
        <v>20200101</v>
      </c>
      <c r="E90" s="36">
        <v>20991231</v>
      </c>
      <c r="F90" s="36">
        <v>3</v>
      </c>
      <c r="G90" s="36">
        <v>20</v>
      </c>
      <c r="H90" s="36" t="s">
        <v>3027</v>
      </c>
      <c r="I90" s="36" t="s">
        <v>3027</v>
      </c>
      <c r="J90" s="36" t="s">
        <v>3027</v>
      </c>
      <c r="K90" s="36" t="s">
        <v>534</v>
      </c>
      <c r="L90" s="115"/>
      <c r="M90" s="36" t="s">
        <v>522</v>
      </c>
      <c r="N90" s="115"/>
      <c r="O90" s="36" t="s">
        <v>522</v>
      </c>
    </row>
    <row r="91" spans="2:15">
      <c r="B91" s="36">
        <v>4</v>
      </c>
      <c r="C91" s="36" t="s">
        <v>527</v>
      </c>
      <c r="D91" s="36">
        <v>20200101</v>
      </c>
      <c r="E91" s="36">
        <v>20991231</v>
      </c>
      <c r="F91" s="36">
        <v>10</v>
      </c>
      <c r="G91" s="36">
        <v>500</v>
      </c>
      <c r="H91" s="36" t="s">
        <v>3027</v>
      </c>
      <c r="I91" s="36" t="s">
        <v>3027</v>
      </c>
      <c r="J91" s="36" t="s">
        <v>3027</v>
      </c>
      <c r="K91" s="36" t="s">
        <v>534</v>
      </c>
      <c r="L91" s="115"/>
      <c r="M91" s="36" t="s">
        <v>522</v>
      </c>
      <c r="N91" s="115"/>
      <c r="O91" s="36" t="s">
        <v>522</v>
      </c>
    </row>
    <row r="92" spans="2:15">
      <c r="B92" s="36">
        <v>4</v>
      </c>
      <c r="C92" s="36" t="s">
        <v>506</v>
      </c>
      <c r="D92" s="36">
        <v>20200101</v>
      </c>
      <c r="E92" s="36">
        <v>20991231</v>
      </c>
      <c r="F92" s="36">
        <v>5</v>
      </c>
      <c r="G92" s="36">
        <v>40</v>
      </c>
      <c r="H92" s="36" t="s">
        <v>3027</v>
      </c>
      <c r="I92" s="36" t="s">
        <v>3027</v>
      </c>
      <c r="J92" s="36" t="s">
        <v>3027</v>
      </c>
      <c r="K92" s="36" t="s">
        <v>534</v>
      </c>
      <c r="L92" s="115"/>
      <c r="M92" s="36" t="s">
        <v>522</v>
      </c>
      <c r="N92" s="115"/>
      <c r="O92" s="36" t="s">
        <v>522</v>
      </c>
    </row>
    <row r="93" spans="2:15">
      <c r="B93" s="36">
        <v>4</v>
      </c>
      <c r="C93" s="36" t="s">
        <v>504</v>
      </c>
      <c r="D93" s="36">
        <v>20200101</v>
      </c>
      <c r="E93" s="36">
        <v>20991231</v>
      </c>
      <c r="F93" s="36">
        <v>150</v>
      </c>
      <c r="G93" s="36">
        <v>2000</v>
      </c>
      <c r="H93" s="36" t="s">
        <v>3030</v>
      </c>
      <c r="I93" s="36" t="s">
        <v>3031</v>
      </c>
      <c r="J93" s="36" t="s">
        <v>3032</v>
      </c>
      <c r="K93" s="36" t="s">
        <v>539</v>
      </c>
      <c r="L93" s="115"/>
      <c r="M93" s="36" t="s">
        <v>522</v>
      </c>
      <c r="N93" s="115"/>
      <c r="O93" s="36" t="s">
        <v>522</v>
      </c>
    </row>
    <row r="94" spans="2:15">
      <c r="B94" s="36">
        <v>4</v>
      </c>
      <c r="C94" s="36" t="s">
        <v>514</v>
      </c>
      <c r="D94" s="36">
        <v>20200101</v>
      </c>
      <c r="E94" s="36">
        <v>20991231</v>
      </c>
      <c r="F94" s="36" t="s">
        <v>3027</v>
      </c>
      <c r="G94" s="36" t="s">
        <v>3027</v>
      </c>
      <c r="H94" s="36" t="s">
        <v>3027</v>
      </c>
      <c r="I94" s="36" t="s">
        <v>3027</v>
      </c>
      <c r="J94" s="36" t="s">
        <v>3027</v>
      </c>
      <c r="K94" s="36" t="s">
        <v>539</v>
      </c>
      <c r="L94" s="115"/>
      <c r="M94" s="36" t="s">
        <v>522</v>
      </c>
      <c r="N94" s="115"/>
      <c r="O94" s="36" t="s">
        <v>522</v>
      </c>
    </row>
    <row r="95" spans="2:15">
      <c r="B95" s="36">
        <v>4</v>
      </c>
      <c r="C95" s="36" t="s">
        <v>515</v>
      </c>
      <c r="D95" s="36">
        <v>20200101</v>
      </c>
      <c r="E95" s="36">
        <v>20991231</v>
      </c>
      <c r="F95" s="36" t="s">
        <v>3027</v>
      </c>
      <c r="G95" s="36" t="s">
        <v>3027</v>
      </c>
      <c r="H95" s="36" t="s">
        <v>3027</v>
      </c>
      <c r="I95" s="36" t="s">
        <v>3027</v>
      </c>
      <c r="J95" s="36" t="s">
        <v>3027</v>
      </c>
      <c r="K95" s="36" t="s">
        <v>539</v>
      </c>
      <c r="L95" s="115"/>
      <c r="M95" s="36" t="s">
        <v>522</v>
      </c>
      <c r="N95" s="115"/>
      <c r="O95" s="36" t="s">
        <v>522</v>
      </c>
    </row>
    <row r="96" spans="2:15">
      <c r="B96" s="36">
        <v>4</v>
      </c>
      <c r="C96" s="36" t="s">
        <v>516</v>
      </c>
      <c r="D96" s="36">
        <v>20200101</v>
      </c>
      <c r="E96" s="36">
        <v>20991231</v>
      </c>
      <c r="F96" s="36" t="s">
        <v>3027</v>
      </c>
      <c r="G96" s="36" t="s">
        <v>3027</v>
      </c>
      <c r="H96" s="36" t="s">
        <v>3027</v>
      </c>
      <c r="I96" s="36" t="s">
        <v>3027</v>
      </c>
      <c r="J96" s="36" t="s">
        <v>3027</v>
      </c>
      <c r="K96" s="36" t="s">
        <v>539</v>
      </c>
      <c r="L96" s="115"/>
      <c r="M96" s="36" t="s">
        <v>522</v>
      </c>
      <c r="N96" s="115"/>
      <c r="O96" s="36" t="s">
        <v>522</v>
      </c>
    </row>
    <row r="97" spans="2:15">
      <c r="B97" s="36">
        <v>4</v>
      </c>
      <c r="C97" s="36" t="s">
        <v>517</v>
      </c>
      <c r="D97" s="36">
        <v>20200101</v>
      </c>
      <c r="E97" s="36">
        <v>20991231</v>
      </c>
      <c r="F97" s="36" t="s">
        <v>3027</v>
      </c>
      <c r="G97" s="36" t="s">
        <v>3027</v>
      </c>
      <c r="H97" s="36" t="s">
        <v>3027</v>
      </c>
      <c r="I97" s="36" t="s">
        <v>3027</v>
      </c>
      <c r="J97" s="36" t="s">
        <v>3027</v>
      </c>
      <c r="K97" s="36" t="s">
        <v>539</v>
      </c>
      <c r="L97" s="115"/>
      <c r="M97" s="36" t="s">
        <v>522</v>
      </c>
      <c r="N97" s="115"/>
      <c r="O97" s="36" t="s">
        <v>522</v>
      </c>
    </row>
  </sheetData>
  <phoneticPr fontId="3" type="noConversion"/>
  <hyperlinks>
    <hyperlink ref="A1" location="目錄!A1" display="回到目錄"/>
  </hyperlink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7"/>
  <dimension ref="A1:S97"/>
  <sheetViews>
    <sheetView workbookViewId="0"/>
  </sheetViews>
  <sheetFormatPr defaultColWidth="11.1796875" defaultRowHeight="13.8"/>
  <cols>
    <col min="1" max="1" width="7.453125" style="10" bestFit="1" customWidth="1"/>
    <col min="2" max="2" width="4.36328125" style="14" bestFit="1" customWidth="1"/>
    <col min="3" max="3" width="16.54296875" style="10" bestFit="1" customWidth="1"/>
    <col min="4" max="4" width="10.08984375" style="10" bestFit="1" customWidth="1"/>
    <col min="5" max="5" width="7.54296875" style="14" bestFit="1" customWidth="1"/>
    <col min="6" max="6" width="10" style="1" bestFit="1" customWidth="1"/>
    <col min="7" max="7" width="18.90625" style="10" bestFit="1" customWidth="1"/>
    <col min="8" max="8" width="55.7265625" style="15" customWidth="1"/>
    <col min="9" max="9" width="10.08984375" style="15" bestFit="1" customWidth="1"/>
    <col min="10" max="10" width="5.26953125" style="39" bestFit="1" customWidth="1"/>
    <col min="11" max="11" width="6.1796875" style="39" bestFit="1" customWidth="1"/>
    <col min="12" max="12" width="4.26953125" style="39" bestFit="1" customWidth="1"/>
    <col min="13" max="13" width="9.6328125" style="10" bestFit="1" customWidth="1"/>
    <col min="14" max="21" width="12.6328125" style="10" customWidth="1"/>
    <col min="22" max="24" width="14.453125" style="10" customWidth="1"/>
    <col min="25" max="16384" width="11.1796875" style="10"/>
  </cols>
  <sheetData>
    <row r="1" spans="1:19">
      <c r="A1" s="23" t="s">
        <v>36</v>
      </c>
      <c r="B1" s="5" t="s">
        <v>5</v>
      </c>
      <c r="C1" s="6" t="s">
        <v>3</v>
      </c>
      <c r="D1" s="6" t="s">
        <v>4</v>
      </c>
      <c r="E1" s="7" t="s">
        <v>6</v>
      </c>
      <c r="F1" s="3" t="s">
        <v>13</v>
      </c>
      <c r="G1" s="8" t="s">
        <v>7</v>
      </c>
      <c r="H1" s="9" t="s">
        <v>8</v>
      </c>
      <c r="I1" s="9" t="s">
        <v>467</v>
      </c>
      <c r="L1" s="72" t="s">
        <v>350</v>
      </c>
      <c r="M1" s="72" t="s">
        <v>3704</v>
      </c>
      <c r="N1" s="72" t="s">
        <v>470</v>
      </c>
      <c r="O1" s="72" t="s">
        <v>471</v>
      </c>
      <c r="P1" s="72" t="s">
        <v>472</v>
      </c>
      <c r="Q1" s="72" t="s">
        <v>473</v>
      </c>
      <c r="R1" s="72" t="s">
        <v>474</v>
      </c>
      <c r="S1" s="73" t="s">
        <v>475</v>
      </c>
    </row>
    <row r="2" spans="1:19">
      <c r="B2" s="14" t="s">
        <v>14</v>
      </c>
      <c r="C2" s="12" t="s">
        <v>165</v>
      </c>
      <c r="D2" s="12" t="s">
        <v>242</v>
      </c>
      <c r="E2" s="11"/>
      <c r="F2" s="10"/>
      <c r="G2" s="4" t="s">
        <v>166</v>
      </c>
      <c r="H2" s="16"/>
      <c r="I2" s="16"/>
      <c r="L2" s="36"/>
      <c r="M2" s="34"/>
      <c r="N2" s="36" t="str">
        <f>"EXEC sp_dropextendedproperty @name = N'MS_Description', @level0type=N'SCHEMA',@level0name=N'"&amp;$L$1&amp;"', @level1type=N'TABLE',@level1name=N'"&amp;$M$1&amp;"', @level2type=N'COLUMN',@level2name=N'"&amp;$C2&amp;"'"</f>
        <v>EXEC sp_dropextendedproperty @name = N'MS_Description', @level0type=N'SCHEMA',@level0name=N'dbo', @level1type=N'TABLE',@level1name=N'ChannelPackagePlanYear', @level2type=N'COLUMN',@level2name=N'PackageCode'</v>
      </c>
      <c r="O2" s="36" t="str">
        <f>"EXEC sp_dropextendedproperty @name = N'Rule', @level0type=N'SCHEMA',@level0name=N'"&amp;$L$1&amp;"', @level1type=N'TABLE',@level1name=N'"&amp;$M$1&amp;"', @level2type=N'COLUMN',@level2name=N'"&amp;$C2&amp;"'"</f>
        <v>EXEC sp_dropextendedproperty @name = N'Rule', @level0type=N'SCHEMA',@level0name=N'dbo', @level1type=N'TABLE',@level1name=N'ChannelPackagePlanYear', @level2type=N'COLUMN',@level2name=N'PackageCode'</v>
      </c>
      <c r="P2" s="36" t="str">
        <f>"EXEC sp_dropextendedproperty @name = N'Memo', @level0type=N'SCHEMA',@level0name=N'"&amp;$L$1&amp;"', @level1type=N'TABLE',@level1name=N'"&amp;$M$1&amp;"', @level2type=N'COLUMN',@level2name=N'"&amp;$C2&amp;"'"</f>
        <v>EXEC sp_dropextendedproperty @name = N'Memo', @level0type=N'SCHEMA',@level0name=N'dbo', @level1type=N'TABLE',@level1name=N'ChannelPackagePlanYear', @level2type=N'COLUMN',@level2name=N'PackageCode'</v>
      </c>
      <c r="Q2" s="36" t="str">
        <f>"set @OldWording = N'"&amp;SUBSTITUTE($G2,CHAR(10),"")&amp;"'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@level2type=N'COLUMN',@level2name=N'"&amp;$C2&amp;"'"</f>
        <v>set @OldWording = N'套裝代碼' set @NewWording = REPLACE(@OldWording,'***',char(13)+char(10)) EXEC sys.sp_addextendedproperty @name=N'MS_Description', @value=@NewWording , @level0type=N'SCHEMA',@level0name=N'dbo', @level1type=N'TABLE',@level1name=N'ChannelPackagePlanYear', @level2type=N'COLUMN',@level2name=N'PackageCode'</v>
      </c>
      <c r="R2" s="32" t="str">
        <f>"set @OldWording = N'"&amp;SUBSTITUTE($H2,CHAR(10),"")&amp;"'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@name=N'Rule', @value=@NewWording , @level0type=N'SCHEMA',@level0name=N'dbo', @level1type=N'TABLE',@level1name=N'ChannelPackagePlanYear', @level2type=N'COLUMN',@level2name=N'PackageCode'</v>
      </c>
      <c r="S2" s="36" t="str">
        <f>"set @OldWording = N'"&amp;SUBSTITUTE($I2,CHAR(10),"")&amp;"' set @NewWording = REPLACE(@OldWording,'***',char(13)+char(10)) "&amp;"EXEC sys.sp_addextendedproperty @name=N'Memo',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@name=N'Memo', @value=@NewWording , @level0type=N'SCHEMA',@level0name=N'dbo', @level1type=N'TABLE',@level1name=N'ChannelPackagePlanYear', @level2type=N'COLUMN',@level2name=N'PackageCode'</v>
      </c>
    </row>
    <row r="3" spans="1:19">
      <c r="B3" s="11" t="s">
        <v>14</v>
      </c>
      <c r="C3" s="13" t="s">
        <v>80</v>
      </c>
      <c r="D3" s="18" t="s">
        <v>360</v>
      </c>
      <c r="E3" s="11"/>
      <c r="F3" s="12"/>
      <c r="G3" s="12" t="s">
        <v>460</v>
      </c>
      <c r="H3" s="16"/>
      <c r="I3" s="16"/>
      <c r="L3" s="36"/>
      <c r="M3" s="34"/>
      <c r="N3" s="36"/>
      <c r="O3" s="36"/>
      <c r="P3" s="36"/>
      <c r="Q3" s="36"/>
      <c r="R3" s="32"/>
      <c r="S3" s="36"/>
    </row>
    <row r="4" spans="1:19" ht="27.6">
      <c r="B4" s="11" t="s">
        <v>90</v>
      </c>
      <c r="C4" s="15" t="s">
        <v>3728</v>
      </c>
      <c r="D4" s="15" t="s">
        <v>21</v>
      </c>
      <c r="F4" s="10"/>
      <c r="G4" s="10" t="s">
        <v>78</v>
      </c>
      <c r="H4" s="16" t="s">
        <v>3652</v>
      </c>
      <c r="I4" s="16"/>
      <c r="N4" s="36" t="str">
        <f>"EXEC sp_dropextendedproperty @name = N'MS_Description', @level0type=N'SCHEMA',@level0name=N'"&amp;$L$1&amp;"', @level1type=N'TABLE',@level1name=N'"&amp;$M$1&amp;"', @level2type=N'COLUMN',@level2name=N'"&amp;$C4&amp;"'"</f>
        <v>EXEC sp_dropextendedproperty @name = N'MS_Description', @level0type=N'SCHEMA',@level0name=N'dbo', @level1type=N'TABLE',@level1name=N'ChannelPackagePlanYear', @level2type=N'COLUMN',@level2name=N'MultiKind'</v>
      </c>
      <c r="O4" s="36" t="str">
        <f>"EXEC sp_dropextendedproperty @name = N'Rule', @level0type=N'SCHEMA',@level0name=N'"&amp;$L$1&amp;"', @level1type=N'TABLE',@level1name=N'"&amp;$M$1&amp;"', @level2type=N'COLUMN',@level2name=N'"&amp;$C4&amp;"'"</f>
        <v>EXEC sp_dropextendedproperty @name = N'Rule', @level0type=N'SCHEMA',@level0name=N'dbo', @level1type=N'TABLE',@level1name=N'ChannelPackagePlanYear', @level2type=N'COLUMN',@level2name=N'MultiKind'</v>
      </c>
      <c r="P4" s="36" t="str">
        <f>"EXEC sp_dropextendedproperty @name = N'Memo', @level0type=N'SCHEMA',@level0name=N'"&amp;$L$1&amp;"', @level1type=N'TABLE',@level1name=N'"&amp;$M$1&amp;"', @level2type=N'COLUMN',@level2name=N'"&amp;$C4&amp;"'"</f>
        <v>EXEC sp_dropextendedproperty @name = N'Memo', @level0type=N'SCHEMA',@level0name=N'dbo', @level1type=N'TABLE',@level1name=N'ChannelPackagePlanYear', @level2type=N'COLUMN',@level2name=N'MultiKind'</v>
      </c>
      <c r="Q4" s="36" t="str">
        <f>"set @OldWording = N'"&amp;SUBSTITUTE($G4,CHAR(10),"")&amp;"'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@level2type=N'COLUMN',@level2name=N'"&amp;$C4&amp;"'"</f>
        <v>set @OldWording = N'多型別' set @NewWording = REPLACE(@OldWording,'***',char(13)+char(10)) EXEC sys.sp_addextendedproperty @name=N'MS_Description', @value=@NewWording , @level0type=N'SCHEMA',@level0name=N'dbo', @level1type=N'TABLE',@level1name=N'ChannelPackagePlanYear', @level2type=N'COLUMN',@level2name=N'MultiKind'</v>
      </c>
      <c r="R4" s="32" t="str">
        <f>"set @OldWording = N'"&amp;SUBSTITUTE($H4,CHAR(10),"")&amp;"'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@level2type=N'COLUMN',@level2name=N'"&amp;$C4&amp;"'"</f>
        <v>set @OldWording = N'*=沒有型別***多型別對應dbo.LifeInsMultiKind' set @NewWording = REPLACE(@OldWording,'***',char(13)+char(10)) EXEC sys.sp_addextendedproperty @name=N'Rule', @value=@NewWording , @level0type=N'SCHEMA',@level0name=N'dbo', @level1type=N'TABLE',@level1name=N'ChannelPackagePlanYear', @level2type=N'COLUMN',@level2name=N'MultiKind'</v>
      </c>
      <c r="S4" s="36" t="str">
        <f>"set @OldWording = N'"&amp;SUBSTITUTE($I4,CHAR(10),"")&amp;"' set @NewWording = REPLACE(@OldWording,'***',char(13)+char(10)) "&amp;"EXEC sys.sp_addextendedproperty @name=N'Memo', @value=@NewWording , @level0type=N'SCHEMA',@level0name=N'"&amp;$L$1&amp;"', @level1type=N'TABLE',@level1name=N'"&amp;$M$1&amp;"', @level2type=N'COLUMN',@level2name=N'"&amp;$C4&amp;"'"</f>
        <v>set @OldWording = N'' set @NewWording = REPLACE(@OldWording,'***',char(13)+char(10)) EXEC sys.sp_addextendedproperty @name=N'Memo', @value=@NewWording , @level0type=N'SCHEMA',@level0name=N'dbo', @level1type=N'TABLE',@level1name=N'ChannelPackagePlanYear', @level2type=N'COLUMN',@level2name=N'MultiKind'</v>
      </c>
    </row>
    <row r="5" spans="1:19">
      <c r="B5" s="11" t="s">
        <v>14</v>
      </c>
      <c r="C5" s="12" t="s">
        <v>86</v>
      </c>
      <c r="D5" s="12" t="s">
        <v>34</v>
      </c>
      <c r="F5" s="4"/>
      <c r="G5" s="12" t="s">
        <v>87</v>
      </c>
      <c r="H5" s="13"/>
      <c r="I5" s="13"/>
      <c r="N5" s="36" t="str">
        <f>"EXEC sp_dropextendedproperty @name = N'MS_Description', @level0type=N'SCHEMA',@level0name=N'"&amp;$L$1&amp;"', @level1type=N'TABLE',@level1name=N'"&amp;$M$1&amp;"', @level2type=N'COLUMN',@level2name=N'"&amp;$C5&amp;"'"</f>
        <v>EXEC sp_dropextendedproperty @name = N'MS_Description', @level0type=N'SCHEMA',@level0name=N'dbo', @level1type=N'TABLE',@level1name=N'ChannelPackagePlanYear', @level2type=N'COLUMN',@level2name=N'PlanYear'</v>
      </c>
      <c r="O5" s="36" t="str">
        <f>"EXEC sp_dropextendedproperty @name = N'Rule', @level0type=N'SCHEMA',@level0name=N'"&amp;$L$1&amp;"', @level1type=N'TABLE',@level1name=N'"&amp;$M$1&amp;"', @level2type=N'COLUMN',@level2name=N'"&amp;$C5&amp;"'"</f>
        <v>EXEC sp_dropextendedproperty @name = N'Rule', @level0type=N'SCHEMA',@level0name=N'dbo', @level1type=N'TABLE',@level1name=N'ChannelPackagePlanYear', @level2type=N'COLUMN',@level2name=N'PlanYear'</v>
      </c>
      <c r="P5" s="36" t="str">
        <f>"EXEC sp_dropextendedproperty @name = N'Memo', @level0type=N'SCHEMA',@level0name=N'"&amp;$L$1&amp;"', @level1type=N'TABLE',@level1name=N'"&amp;$M$1&amp;"', @level2type=N'COLUMN',@level2name=N'"&amp;$C5&amp;"'"</f>
        <v>EXEC sp_dropextendedproperty @name = N'Memo', @level0type=N'SCHEMA',@level0name=N'dbo', @level1type=N'TABLE',@level1name=N'ChannelPackagePlanYear', @level2type=N'COLUMN',@level2name=N'PlanYear'</v>
      </c>
      <c r="Q5" s="36" t="str">
        <f>"set @OldWording = N'"&amp;SUBSTITUTE($G5,CHAR(10),"")&amp;"'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@level2type=N'COLUMN',@level2name=N'"&amp;$C5&amp;"'"</f>
        <v>set @OldWording = N'險種年期' set @NewWording = REPLACE(@OldWording,'***',char(13)+char(10)) EXEC sys.sp_addextendedproperty @name=N'MS_Description', @value=@NewWording , @level0type=N'SCHEMA',@level0name=N'dbo', @level1type=N'TABLE',@level1name=N'ChannelPackagePlanYear', @level2type=N'COLUMN',@level2name=N'PlanYear'</v>
      </c>
      <c r="R5" s="32" t="str">
        <f>"set @OldWording = N'"&amp;SUBSTITUTE($H5,CHAR(10),"")&amp;"'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@level2type=N'COLUMN',@level2name=N'"&amp;$C5&amp;"'"</f>
        <v>set @OldWording = N'' set @NewWording = REPLACE(@OldWording,'***',char(13)+char(10)) EXEC sys.sp_addextendedproperty @name=N'Rule', @value=@NewWording , @level0type=N'SCHEMA',@level0name=N'dbo', @level1type=N'TABLE',@level1name=N'ChannelPackagePlanYear', @level2type=N'COLUMN',@level2name=N'PlanYear'</v>
      </c>
      <c r="S5" s="36" t="str">
        <f>"set @OldWording = N'"&amp;SUBSTITUTE($I5,CHAR(10),"")&amp;"' set @NewWording = REPLACE(@OldWording,'***',char(13)+char(10)) "&amp;"EXEC sys.sp_addextendedproperty @name=N'Memo', @value=@NewWording , @level0type=N'SCHEMA',@level0name=N'"&amp;$L$1&amp;"', @level1type=N'TABLE',@level1name=N'"&amp;$M$1&amp;"', @level2type=N'COLUMN',@level2name=N'"&amp;$C5&amp;"'"</f>
        <v>set @OldWording = N'' set @NewWording = REPLACE(@OldWording,'***',char(13)+char(10)) EXEC sys.sp_addextendedproperty @name=N'Memo', @value=@NewWording , @level0type=N'SCHEMA',@level0name=N'dbo', @level1type=N'TABLE',@level1name=N'ChannelPackagePlanYear', @level2type=N'COLUMN',@level2name=N'PlanYear'</v>
      </c>
    </row>
    <row r="6" spans="1:19">
      <c r="B6" s="11"/>
      <c r="C6" s="29" t="s">
        <v>3732</v>
      </c>
      <c r="D6" s="30" t="s">
        <v>10</v>
      </c>
      <c r="E6" s="11"/>
      <c r="F6" s="29"/>
      <c r="G6" s="22" t="s">
        <v>435</v>
      </c>
      <c r="H6" s="27"/>
      <c r="I6" s="27"/>
      <c r="N6" s="36"/>
      <c r="O6" s="36"/>
      <c r="P6" s="36"/>
      <c r="Q6" s="36"/>
      <c r="R6" s="32"/>
      <c r="S6" s="36"/>
    </row>
    <row r="7" spans="1:19">
      <c r="B7" s="11"/>
      <c r="C7" s="29" t="s">
        <v>3733</v>
      </c>
      <c r="D7" s="30" t="s">
        <v>10</v>
      </c>
      <c r="E7" s="11"/>
      <c r="F7" s="29"/>
      <c r="G7" s="22" t="s">
        <v>436</v>
      </c>
      <c r="H7" s="27"/>
      <c r="I7" s="27"/>
      <c r="N7" s="36"/>
      <c r="O7" s="36"/>
      <c r="P7" s="36"/>
      <c r="Q7" s="36"/>
      <c r="R7" s="32"/>
      <c r="S7" s="36"/>
    </row>
    <row r="8" spans="1:19">
      <c r="B8" s="11"/>
      <c r="C8" s="29" t="s">
        <v>3731</v>
      </c>
      <c r="D8" s="29" t="s">
        <v>21</v>
      </c>
      <c r="E8" s="11"/>
      <c r="F8" s="22"/>
      <c r="G8" s="22" t="s">
        <v>437</v>
      </c>
      <c r="H8" s="27"/>
      <c r="I8" s="27" t="s">
        <v>264</v>
      </c>
      <c r="N8" s="36"/>
      <c r="O8" s="36"/>
      <c r="P8" s="36"/>
      <c r="Q8" s="36"/>
      <c r="R8" s="32"/>
      <c r="S8" s="36"/>
    </row>
    <row r="9" spans="1:19">
      <c r="B9" s="11"/>
      <c r="C9" s="29" t="s">
        <v>3736</v>
      </c>
      <c r="D9" s="30" t="s">
        <v>10</v>
      </c>
      <c r="E9" s="28" t="s">
        <v>16</v>
      </c>
      <c r="F9" s="29"/>
      <c r="G9" s="22" t="s">
        <v>438</v>
      </c>
      <c r="H9" s="27" t="s">
        <v>72</v>
      </c>
      <c r="I9" s="27"/>
      <c r="N9" s="36"/>
      <c r="O9" s="36"/>
      <c r="P9" s="36"/>
      <c r="Q9" s="36"/>
      <c r="R9" s="32"/>
      <c r="S9" s="36"/>
    </row>
    <row r="10" spans="1:19">
      <c r="B10" s="11"/>
      <c r="C10" s="29" t="s">
        <v>3737</v>
      </c>
      <c r="D10" s="30" t="s">
        <v>10</v>
      </c>
      <c r="E10" s="28" t="s">
        <v>16</v>
      </c>
      <c r="F10" s="29"/>
      <c r="G10" s="22" t="s">
        <v>439</v>
      </c>
      <c r="H10" s="27" t="s">
        <v>72</v>
      </c>
      <c r="I10" s="27"/>
      <c r="N10" s="36"/>
      <c r="O10" s="36"/>
      <c r="P10" s="36"/>
      <c r="Q10" s="36"/>
      <c r="R10" s="32"/>
      <c r="S10" s="36"/>
    </row>
    <row r="11" spans="1:19">
      <c r="B11" s="11"/>
      <c r="C11" s="29" t="s">
        <v>3767</v>
      </c>
      <c r="D11" s="29" t="s">
        <v>21</v>
      </c>
      <c r="E11" s="28" t="s">
        <v>16</v>
      </c>
      <c r="F11" s="29"/>
      <c r="G11" s="22" t="s">
        <v>421</v>
      </c>
      <c r="H11" s="27" t="s">
        <v>72</v>
      </c>
      <c r="I11" s="27" t="s">
        <v>264</v>
      </c>
      <c r="N11" s="36"/>
      <c r="O11" s="36"/>
      <c r="P11" s="36"/>
      <c r="Q11" s="36"/>
      <c r="R11" s="32"/>
      <c r="S11" s="36"/>
    </row>
    <row r="12" spans="1:19">
      <c r="B12" s="11"/>
      <c r="C12" s="29" t="s">
        <v>3740</v>
      </c>
      <c r="D12" s="30" t="s">
        <v>10</v>
      </c>
      <c r="E12" s="28" t="s">
        <v>16</v>
      </c>
      <c r="F12" s="29"/>
      <c r="G12" s="22" t="s">
        <v>440</v>
      </c>
      <c r="H12" s="27" t="s">
        <v>73</v>
      </c>
      <c r="I12" s="27"/>
      <c r="N12" s="36"/>
      <c r="O12" s="36"/>
      <c r="P12" s="36"/>
      <c r="Q12" s="36"/>
      <c r="R12" s="32"/>
      <c r="S12" s="36"/>
    </row>
    <row r="13" spans="1:19">
      <c r="B13" s="11"/>
      <c r="C13" s="29" t="s">
        <v>3741</v>
      </c>
      <c r="D13" s="30" t="s">
        <v>10</v>
      </c>
      <c r="E13" s="28" t="s">
        <v>16</v>
      </c>
      <c r="F13" s="29"/>
      <c r="G13" s="22" t="s">
        <v>441</v>
      </c>
      <c r="H13" s="27" t="s">
        <v>73</v>
      </c>
      <c r="I13" s="27"/>
      <c r="N13" s="36"/>
      <c r="O13" s="36"/>
      <c r="P13" s="36"/>
      <c r="Q13" s="36"/>
      <c r="R13" s="32"/>
      <c r="S13" s="36"/>
    </row>
    <row r="14" spans="1:19">
      <c r="B14" s="11"/>
      <c r="C14" s="29" t="s">
        <v>3739</v>
      </c>
      <c r="D14" s="29" t="s">
        <v>21</v>
      </c>
      <c r="E14" s="28" t="s">
        <v>16</v>
      </c>
      <c r="F14" s="29"/>
      <c r="G14" s="22" t="s">
        <v>442</v>
      </c>
      <c r="H14" s="27" t="s">
        <v>73</v>
      </c>
      <c r="I14" s="27" t="s">
        <v>264</v>
      </c>
      <c r="N14" s="36"/>
      <c r="O14" s="36"/>
      <c r="P14" s="36"/>
      <c r="Q14" s="36"/>
      <c r="R14" s="32"/>
      <c r="S14" s="36"/>
    </row>
    <row r="15" spans="1:19">
      <c r="B15" s="11"/>
      <c r="C15" s="12" t="s">
        <v>0</v>
      </c>
      <c r="D15" s="12" t="s">
        <v>11</v>
      </c>
      <c r="E15" s="11" t="s">
        <v>16</v>
      </c>
      <c r="F15" s="4" t="s">
        <v>20</v>
      </c>
      <c r="G15" s="12" t="s">
        <v>30</v>
      </c>
      <c r="H15" s="13"/>
      <c r="I15" s="13"/>
      <c r="N15" s="36" t="str">
        <f>"EXEC sp_dropextendedproperty @name = N'MS_Description', @level0type=N'SCHEMA',@level0name=N'"&amp;$L$1&amp;"', @level1type=N'TABLE',@level1name=N'"&amp;$M$1&amp;"', @level2type=N'COLUMN',@level2name=N'"&amp;$C15&amp;"'"</f>
        <v>EXEC sp_dropextendedproperty @name = N'MS_Description', @level0type=N'SCHEMA',@level0name=N'dbo', @level1type=N'TABLE',@level1name=N'ChannelPackagePlanYear', @level2type=N'COLUMN',@level2name=N'CreateTime'</v>
      </c>
      <c r="O15" s="36" t="str">
        <f>"EXEC sp_dropextendedproperty @name = N'Rule', @level0type=N'SCHEMA',@level0name=N'"&amp;$L$1&amp;"', @level1type=N'TABLE',@level1name=N'"&amp;$M$1&amp;"', @level2type=N'COLUMN',@level2name=N'"&amp;$C15&amp;"'"</f>
        <v>EXEC sp_dropextendedproperty @name = N'Rule', @level0type=N'SCHEMA',@level0name=N'dbo', @level1type=N'TABLE',@level1name=N'ChannelPackagePlanYear', @level2type=N'COLUMN',@level2name=N'CreateTime'</v>
      </c>
      <c r="P15" s="36" t="str">
        <f>"EXEC sp_dropextendedproperty @name = N'Memo', @level0type=N'SCHEMA',@level0name=N'"&amp;$L$1&amp;"', @level1type=N'TABLE',@level1name=N'"&amp;$M$1&amp;"', @level2type=N'COLUMN',@level2name=N'"&amp;$C15&amp;"'"</f>
        <v>EXEC sp_dropextendedproperty @name = N'Memo', @level0type=N'SCHEMA',@level0name=N'dbo', @level1type=N'TABLE',@level1name=N'ChannelPackagePlanYear', @level2type=N'COLUMN',@level2name=N'CreateTime'</v>
      </c>
      <c r="Q15" s="36" t="str">
        <f>"set @OldWording = N'"&amp;SUBSTITUTE($G15,CHAR(10),"")&amp;"'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@level2type=N'COLUMN',@level2name=N'"&amp;$C15&amp;"'"</f>
        <v>set @OldWording = N'建立時間' set @NewWording = REPLACE(@OldWording,'***',char(13)+char(10)) EXEC sys.sp_addextendedproperty @name=N'MS_Description', @value=@NewWording , @level0type=N'SCHEMA',@level0name=N'dbo', @level1type=N'TABLE',@level1name=N'ChannelPackagePlanYear', @level2type=N'COLUMN',@level2name=N'CreateTime'</v>
      </c>
      <c r="R15" s="32" t="str">
        <f>"set @OldWording = N'"&amp;SUBSTITUTE($H15,CHAR(10),"")&amp;"'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@level2type=N'COLUMN',@level2name=N'"&amp;$C15&amp;"'"</f>
        <v>set @OldWording = N'' set @NewWording = REPLACE(@OldWording,'***',char(13)+char(10)) EXEC sys.sp_addextendedproperty @name=N'Rule', @value=@NewWording , @level0type=N'SCHEMA',@level0name=N'dbo', @level1type=N'TABLE',@level1name=N'ChannelPackagePlanYear', @level2type=N'COLUMN',@level2name=N'CreateTime'</v>
      </c>
      <c r="S15" s="36" t="str">
        <f>"set @OldWording = N'"&amp;SUBSTITUTE($I15,CHAR(10),"")&amp;"' set @NewWording = REPLACE(@OldWording,'***',char(13)+char(10)) "&amp;"EXEC sys.sp_addextendedproperty @name=N'Memo', @value=@NewWording , @level0type=N'SCHEMA',@level0name=N'"&amp;$L$1&amp;"', @level1type=N'TABLE',@level1name=N'"&amp;$M$1&amp;"', @level2type=N'COLUMN',@level2name=N'"&amp;$C15&amp;"'"</f>
        <v>set @OldWording = N'' set @NewWording = REPLACE(@OldWording,'***',char(13)+char(10)) EXEC sys.sp_addextendedproperty @name=N'Memo', @value=@NewWording , @level0type=N'SCHEMA',@level0name=N'dbo', @level1type=N'TABLE',@level1name=N'ChannelPackagePlanYear', @level2type=N'COLUMN',@level2name=N'CreateTime'</v>
      </c>
    </row>
    <row r="16" spans="1:19">
      <c r="B16" s="11"/>
      <c r="C16" s="12" t="s">
        <v>1</v>
      </c>
      <c r="D16" s="12" t="s">
        <v>37</v>
      </c>
      <c r="E16" s="11"/>
      <c r="F16" s="4"/>
      <c r="G16" s="12" t="s">
        <v>31</v>
      </c>
      <c r="H16" s="13"/>
      <c r="I16" s="13"/>
      <c r="N16" s="36" t="str">
        <f>"EXEC sp_dropextendedproperty @name = N'MS_Description', @level0type=N'SCHEMA',@level0name=N'"&amp;$L$1&amp;"', @level1type=N'TABLE',@level1name=N'"&amp;$M$1&amp;"', @level2type=N'COLUMN',@level2name=N'"&amp;$C16&amp;"'"</f>
        <v>EXEC sp_dropextendedproperty @name = N'MS_Description', @level0type=N'SCHEMA',@level0name=N'dbo', @level1type=N'TABLE',@level1name=N'ChannelPackagePlanYear', @level2type=N'COLUMN',@level2name=N'Creator'</v>
      </c>
      <c r="O16" s="36" t="str">
        <f>"EXEC sp_dropextendedproperty @name = N'Rule', @level0type=N'SCHEMA',@level0name=N'"&amp;$L$1&amp;"', @level1type=N'TABLE',@level1name=N'"&amp;$M$1&amp;"', @level2type=N'COLUMN',@level2name=N'"&amp;$C16&amp;"'"</f>
        <v>EXEC sp_dropextendedproperty @name = N'Rule', @level0type=N'SCHEMA',@level0name=N'dbo', @level1type=N'TABLE',@level1name=N'ChannelPackagePlanYear', @level2type=N'COLUMN',@level2name=N'Creator'</v>
      </c>
      <c r="P16" s="36" t="str">
        <f>"EXEC sp_dropextendedproperty @name = N'Memo', @level0type=N'SCHEMA',@level0name=N'"&amp;$L$1&amp;"', @level1type=N'TABLE',@level1name=N'"&amp;$M$1&amp;"', @level2type=N'COLUMN',@level2name=N'"&amp;$C16&amp;"'"</f>
        <v>EXEC sp_dropextendedproperty @name = N'Memo', @level0type=N'SCHEMA',@level0name=N'dbo', @level1type=N'TABLE',@level1name=N'ChannelPackagePlanYear', @level2type=N'COLUMN',@level2name=N'Creator'</v>
      </c>
      <c r="Q16" s="36" t="str">
        <f>"set @OldWording = N'"&amp;SUBSTITUTE($G16,CHAR(10),"")&amp;"'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@level2type=N'COLUMN',@level2name=N'"&amp;$C16&amp;"'"</f>
        <v>set @OldWording = N'建立人員' set @NewWording = REPLACE(@OldWording,'***',char(13)+char(10)) EXEC sys.sp_addextendedproperty @name=N'MS_Description', @value=@NewWording , @level0type=N'SCHEMA',@level0name=N'dbo', @level1type=N'TABLE',@level1name=N'ChannelPackagePlanYear', @level2type=N'COLUMN',@level2name=N'Creator'</v>
      </c>
      <c r="R16" s="32" t="str">
        <f>"set @OldWording = N'"&amp;SUBSTITUTE($H16,CHAR(10),"")&amp;"'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@level2type=N'COLUMN',@level2name=N'"&amp;$C16&amp;"'"</f>
        <v>set @OldWording = N'' set @NewWording = REPLACE(@OldWording,'***',char(13)+char(10)) EXEC sys.sp_addextendedproperty @name=N'Rule', @value=@NewWording , @level0type=N'SCHEMA',@level0name=N'dbo', @level1type=N'TABLE',@level1name=N'ChannelPackagePlanYear', @level2type=N'COLUMN',@level2name=N'Creator'</v>
      </c>
      <c r="S16" s="36" t="str">
        <f>"set @OldWording = N'"&amp;SUBSTITUTE($I16,CHAR(10),"")&amp;"' set @NewWording = REPLACE(@OldWording,'***',char(13)+char(10)) "&amp;"EXEC sys.sp_addextendedproperty @name=N'Memo', @value=@NewWording , @level0type=N'SCHEMA',@level0name=N'"&amp;$L$1&amp;"', @level1type=N'TABLE',@level1name=N'"&amp;$M$1&amp;"', @level2type=N'COLUMN',@level2name=N'"&amp;$C16&amp;"'"</f>
        <v>set @OldWording = N'' set @NewWording = REPLACE(@OldWording,'***',char(13)+char(10)) EXEC sys.sp_addextendedproperty @name=N'Memo', @value=@NewWording , @level0type=N'SCHEMA',@level0name=N'dbo', @level1type=N'TABLE',@level1name=N'ChannelPackagePlanYear', @level2type=N'COLUMN',@level2name=N'Creator'</v>
      </c>
    </row>
    <row r="17" spans="2:19">
      <c r="B17" s="11"/>
      <c r="C17" s="12" t="s">
        <v>19</v>
      </c>
      <c r="D17" s="12" t="s">
        <v>11</v>
      </c>
      <c r="E17" s="11" t="s">
        <v>16</v>
      </c>
      <c r="F17" s="4" t="s">
        <v>20</v>
      </c>
      <c r="G17" s="12" t="s">
        <v>32</v>
      </c>
      <c r="H17" s="13"/>
      <c r="I17" s="13"/>
      <c r="N17" s="36" t="str">
        <f>"EXEC sp_dropextendedproperty @name = N'MS_Description', @level0type=N'SCHEMA',@level0name=N'"&amp;$L$1&amp;"', @level1type=N'TABLE',@level1name=N'"&amp;$M$1&amp;"', @level2type=N'COLUMN',@level2name=N'"&amp;$C17&amp;"'"</f>
        <v>EXEC sp_dropextendedproperty @name = N'MS_Description', @level0type=N'SCHEMA',@level0name=N'dbo', @level1type=N'TABLE',@level1name=N'ChannelPackagePlanYear', @level2type=N'COLUMN',@level2name=N'ModifyTime'</v>
      </c>
      <c r="O17" s="36" t="str">
        <f>"EXEC sp_dropextendedproperty @name = N'Rule', @level0type=N'SCHEMA',@level0name=N'"&amp;$L$1&amp;"', @level1type=N'TABLE',@level1name=N'"&amp;$M$1&amp;"', @level2type=N'COLUMN',@level2name=N'"&amp;$C17&amp;"'"</f>
        <v>EXEC sp_dropextendedproperty @name = N'Rule', @level0type=N'SCHEMA',@level0name=N'dbo', @level1type=N'TABLE',@level1name=N'ChannelPackagePlanYear', @level2type=N'COLUMN',@level2name=N'ModifyTime'</v>
      </c>
      <c r="P17" s="36" t="str">
        <f>"EXEC sp_dropextendedproperty @name = N'Memo', @level0type=N'SCHEMA',@level0name=N'"&amp;$L$1&amp;"', @level1type=N'TABLE',@level1name=N'"&amp;$M$1&amp;"', @level2type=N'COLUMN',@level2name=N'"&amp;$C17&amp;"'"</f>
        <v>EXEC sp_dropextendedproperty @name = N'Memo', @level0type=N'SCHEMA',@level0name=N'dbo', @level1type=N'TABLE',@level1name=N'ChannelPackagePlanYear', @level2type=N'COLUMN',@level2name=N'ModifyTime'</v>
      </c>
      <c r="Q17" s="36" t="str">
        <f>"set @OldWording = N'"&amp;SUBSTITUTE($G17,CHAR(10),"")&amp;"'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@level2type=N'COLUMN',@level2name=N'"&amp;$C17&amp;"'"</f>
        <v>set @OldWording = N'修改時間' set @NewWording = REPLACE(@OldWording,'***',char(13)+char(10)) EXEC sys.sp_addextendedproperty @name=N'MS_Description', @value=@NewWording , @level0type=N'SCHEMA',@level0name=N'dbo', @level1type=N'TABLE',@level1name=N'ChannelPackagePlanYear', @level2type=N'COLUMN',@level2name=N'ModifyTime'</v>
      </c>
      <c r="R17" s="32" t="str">
        <f>"set @OldWording = N'"&amp;SUBSTITUTE($H17,CHAR(10),"")&amp;"'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@level2type=N'COLUMN',@level2name=N'"&amp;$C17&amp;"'"</f>
        <v>set @OldWording = N'' set @NewWording = REPLACE(@OldWording,'***',char(13)+char(10)) EXEC sys.sp_addextendedproperty @name=N'Rule', @value=@NewWording , @level0type=N'SCHEMA',@level0name=N'dbo', @level1type=N'TABLE',@level1name=N'ChannelPackagePlanYear', @level2type=N'COLUMN',@level2name=N'ModifyTime'</v>
      </c>
      <c r="S17" s="36" t="str">
        <f>"set @OldWording = N'"&amp;SUBSTITUTE($I17,CHAR(10),"")&amp;"' set @NewWording = REPLACE(@OldWording,'***',char(13)+char(10)) "&amp;"EXEC sys.sp_addextendedproperty @name=N'Memo', @value=@NewWording , @level0type=N'SCHEMA',@level0name=N'"&amp;$L$1&amp;"', @level1type=N'TABLE',@level1name=N'"&amp;$M$1&amp;"', @level2type=N'COLUMN',@level2name=N'"&amp;$C17&amp;"'"</f>
        <v>set @OldWording = N'' set @NewWording = REPLACE(@OldWording,'***',char(13)+char(10)) EXEC sys.sp_addextendedproperty @name=N'Memo', @value=@NewWording , @level0type=N'SCHEMA',@level0name=N'dbo', @level1type=N'TABLE',@level1name=N'ChannelPackagePlanYear', @level2type=N'COLUMN',@level2name=N'ModifyTime'</v>
      </c>
    </row>
    <row r="18" spans="2:19">
      <c r="B18" s="11"/>
      <c r="C18" s="12" t="s">
        <v>2</v>
      </c>
      <c r="D18" s="12" t="s">
        <v>37</v>
      </c>
      <c r="E18" s="11"/>
      <c r="F18" s="4"/>
      <c r="G18" s="12" t="s">
        <v>33</v>
      </c>
      <c r="H18" s="13"/>
      <c r="I18" s="13"/>
      <c r="N18" s="36" t="str">
        <f>"EXEC sp_dropextendedproperty @name = N'MS_Description', @level0type=N'SCHEMA',@level0name=N'"&amp;$L$1&amp;"', @level1type=N'TABLE',@level1name=N'"&amp;$M$1&amp;"', @level2type=N'COLUMN',@level2name=N'"&amp;$C18&amp;"'"</f>
        <v>EXEC sp_dropextendedproperty @name = N'MS_Description', @level0type=N'SCHEMA',@level0name=N'dbo', @level1type=N'TABLE',@level1name=N'ChannelPackagePlanYear', @level2type=N'COLUMN',@level2name=N'Modifier'</v>
      </c>
      <c r="O18" s="36" t="str">
        <f>"EXEC sp_dropextendedproperty @name = N'Rule', @level0type=N'SCHEMA',@level0name=N'"&amp;$L$1&amp;"', @level1type=N'TABLE',@level1name=N'"&amp;$M$1&amp;"', @level2type=N'COLUMN',@level2name=N'"&amp;$C18&amp;"'"</f>
        <v>EXEC sp_dropextendedproperty @name = N'Rule', @level0type=N'SCHEMA',@level0name=N'dbo', @level1type=N'TABLE',@level1name=N'ChannelPackagePlanYear', @level2type=N'COLUMN',@level2name=N'Modifier'</v>
      </c>
      <c r="P18" s="36" t="str">
        <f>"EXEC sp_dropextendedproperty @name = N'Memo', @level0type=N'SCHEMA',@level0name=N'"&amp;$L$1&amp;"', @level1type=N'TABLE',@level1name=N'"&amp;$M$1&amp;"', @level2type=N'COLUMN',@level2name=N'"&amp;$C18&amp;"'"</f>
        <v>EXEC sp_dropextendedproperty @name = N'Memo', @level0type=N'SCHEMA',@level0name=N'dbo', @level1type=N'TABLE',@level1name=N'ChannelPackagePlanYear', @level2type=N'COLUMN',@level2name=N'Modifier'</v>
      </c>
      <c r="Q18" s="36" t="str">
        <f>"set @OldWording = N'"&amp;SUBSTITUTE($G18,CHAR(10),"")&amp;"'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@level2type=N'COLUMN',@level2name=N'"&amp;$C18&amp;"'"</f>
        <v>set @OldWording = N'修改人員' set @NewWording = REPLACE(@OldWording,'***',char(13)+char(10)) EXEC sys.sp_addextendedproperty @name=N'MS_Description', @value=@NewWording , @level0type=N'SCHEMA',@level0name=N'dbo', @level1type=N'TABLE',@level1name=N'ChannelPackagePlanYear', @level2type=N'COLUMN',@level2name=N'Modifier'</v>
      </c>
      <c r="R18" s="32" t="str">
        <f>"set @OldWording = N'"&amp;SUBSTITUTE($H18,CHAR(10),"")&amp;"'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@level2type=N'COLUMN',@level2name=N'"&amp;$C18&amp;"'"</f>
        <v>set @OldWording = N'' set @NewWording = REPLACE(@OldWording,'***',char(13)+char(10)) EXEC sys.sp_addextendedproperty @name=N'Rule', @value=@NewWording , @level0type=N'SCHEMA',@level0name=N'dbo', @level1type=N'TABLE',@level1name=N'ChannelPackagePlanYear', @level2type=N'COLUMN',@level2name=N'Modifier'</v>
      </c>
      <c r="S18" s="36" t="str">
        <f>"set @OldWording = N'"&amp;SUBSTITUTE($I18,CHAR(10),"")&amp;"' set @NewWording = REPLACE(@OldWording,'***',char(13)+char(10)) "&amp;"EXEC sys.sp_addextendedproperty @name=N'Memo', @value=@NewWording , @level0type=N'SCHEMA',@level0name=N'"&amp;$L$1&amp;"', @level1type=N'TABLE',@level1name=N'"&amp;$M$1&amp;"', @level2type=N'COLUMN',@level2name=N'"&amp;$C18&amp;"'"</f>
        <v>set @OldWording = N'' set @NewWording = REPLACE(@OldWording,'***',char(13)+char(10)) EXEC sys.sp_addextendedproperty @name=N'Memo', @value=@NewWording , @level0type=N'SCHEMA',@level0name=N'dbo', @level1type=N'TABLE',@level1name=N'ChannelPackagePlanYear', @level2type=N'COLUMN',@level2name=N'Modifier'</v>
      </c>
    </row>
    <row r="19" spans="2:19">
      <c r="B19" s="11"/>
      <c r="C19" s="12"/>
      <c r="D19" s="12"/>
      <c r="E19" s="11"/>
      <c r="F19" s="4"/>
      <c r="G19" s="12"/>
      <c r="H19" s="13"/>
      <c r="I19" s="13"/>
    </row>
    <row r="20" spans="2:19">
      <c r="B20" s="11"/>
      <c r="C20" s="12"/>
      <c r="D20" s="12"/>
      <c r="E20" s="11"/>
      <c r="F20" s="4"/>
      <c r="G20" s="12"/>
      <c r="H20" s="13"/>
      <c r="I20" s="13"/>
    </row>
    <row r="21" spans="2:19">
      <c r="B21" s="11"/>
      <c r="C21" s="12"/>
      <c r="D21" s="12"/>
      <c r="E21" s="11"/>
      <c r="F21" s="4"/>
      <c r="G21" s="12"/>
      <c r="H21" s="13"/>
      <c r="I21" s="13"/>
    </row>
    <row r="22" spans="2:19">
      <c r="B22" s="11"/>
      <c r="C22" s="12"/>
      <c r="D22" s="12"/>
      <c r="E22" s="11"/>
      <c r="F22" s="4"/>
      <c r="G22" s="12"/>
      <c r="H22" s="13"/>
      <c r="I22" s="13"/>
    </row>
    <row r="23" spans="2:19">
      <c r="B23" s="11"/>
      <c r="C23" s="12"/>
      <c r="D23" s="12"/>
      <c r="E23" s="11"/>
      <c r="F23" s="4"/>
      <c r="G23" s="12"/>
      <c r="H23" s="13"/>
      <c r="I23" s="13"/>
    </row>
    <row r="24" spans="2:19">
      <c r="B24" s="11"/>
      <c r="C24" s="12"/>
      <c r="D24" s="12"/>
      <c r="E24" s="11"/>
      <c r="F24" s="4"/>
      <c r="G24" s="12"/>
      <c r="H24" s="13"/>
      <c r="I24" s="13"/>
    </row>
    <row r="25" spans="2:19">
      <c r="B25" s="11"/>
      <c r="C25" s="12"/>
      <c r="D25" s="12"/>
      <c r="E25" s="11"/>
      <c r="F25" s="4"/>
      <c r="G25" s="12"/>
      <c r="H25" s="13"/>
      <c r="I25" s="13"/>
    </row>
    <row r="26" spans="2:19">
      <c r="B26" s="11"/>
      <c r="C26" s="12"/>
      <c r="D26" s="12"/>
      <c r="E26" s="11"/>
      <c r="F26" s="4"/>
      <c r="G26" s="12"/>
      <c r="H26" s="13"/>
      <c r="I26" s="13"/>
    </row>
    <row r="27" spans="2:19">
      <c r="B27" s="11"/>
      <c r="C27" s="12"/>
      <c r="D27" s="12"/>
      <c r="E27" s="11"/>
      <c r="F27" s="4"/>
      <c r="G27" s="12"/>
      <c r="H27" s="13"/>
      <c r="I27" s="13"/>
    </row>
    <row r="28" spans="2:19">
      <c r="B28" s="11"/>
      <c r="C28" s="12"/>
      <c r="D28" s="12"/>
      <c r="E28" s="11"/>
      <c r="F28" s="4"/>
      <c r="G28" s="12"/>
      <c r="H28" s="13"/>
      <c r="I28" s="13"/>
    </row>
    <row r="29" spans="2:19">
      <c r="B29" s="11"/>
      <c r="C29" s="12"/>
      <c r="D29" s="12"/>
      <c r="E29" s="11"/>
      <c r="F29" s="4"/>
      <c r="G29" s="12"/>
      <c r="H29" s="13"/>
      <c r="I29" s="13"/>
      <c r="J29" s="10"/>
      <c r="K29" s="10"/>
      <c r="L29" s="10"/>
    </row>
    <row r="30" spans="2:19">
      <c r="B30" s="11"/>
      <c r="C30" s="12"/>
      <c r="D30" s="12"/>
      <c r="E30" s="11"/>
      <c r="F30" s="4"/>
      <c r="G30" s="12"/>
      <c r="H30" s="13"/>
      <c r="I30" s="13"/>
      <c r="J30" s="10"/>
      <c r="K30" s="10"/>
      <c r="L30" s="10"/>
    </row>
    <row r="31" spans="2:19">
      <c r="B31" s="11"/>
      <c r="C31" s="12"/>
      <c r="D31" s="12"/>
      <c r="E31" s="11"/>
      <c r="F31" s="4"/>
      <c r="G31" s="12"/>
      <c r="H31" s="13"/>
      <c r="I31" s="13"/>
      <c r="J31" s="10"/>
      <c r="K31" s="10"/>
      <c r="L31" s="10"/>
    </row>
    <row r="32" spans="2:19">
      <c r="B32" s="11"/>
      <c r="C32" s="12"/>
      <c r="D32" s="12"/>
      <c r="E32" s="11"/>
      <c r="F32" s="4"/>
      <c r="G32" s="12"/>
      <c r="H32" s="13"/>
      <c r="I32" s="13"/>
      <c r="J32" s="10"/>
      <c r="K32" s="10"/>
      <c r="L32" s="10"/>
    </row>
    <row r="33" spans="2:12">
      <c r="B33" s="11"/>
      <c r="C33" s="12"/>
      <c r="D33" s="12"/>
      <c r="E33" s="11"/>
      <c r="F33" s="4"/>
      <c r="G33" s="12"/>
      <c r="H33" s="13"/>
      <c r="I33" s="13"/>
      <c r="J33" s="10"/>
      <c r="K33" s="10"/>
      <c r="L33" s="10"/>
    </row>
    <row r="34" spans="2:12">
      <c r="B34" s="11"/>
      <c r="C34" s="12"/>
      <c r="D34" s="12"/>
      <c r="E34" s="11"/>
      <c r="F34" s="4"/>
      <c r="G34" s="12"/>
      <c r="H34" s="13"/>
      <c r="I34" s="13"/>
      <c r="J34" s="10"/>
      <c r="K34" s="10"/>
      <c r="L34" s="10"/>
    </row>
    <row r="35" spans="2:12">
      <c r="B35" s="11"/>
      <c r="C35" s="12"/>
      <c r="D35" s="12"/>
      <c r="E35" s="11"/>
      <c r="F35" s="4"/>
      <c r="G35" s="12"/>
      <c r="H35" s="13"/>
      <c r="I35" s="13"/>
      <c r="J35" s="10"/>
      <c r="K35" s="10"/>
      <c r="L35" s="10"/>
    </row>
    <row r="36" spans="2:12">
      <c r="B36" s="11"/>
      <c r="C36" s="12"/>
      <c r="D36" s="12"/>
      <c r="E36" s="11"/>
      <c r="F36" s="4"/>
      <c r="G36" s="12"/>
      <c r="H36" s="13"/>
      <c r="I36" s="13"/>
      <c r="J36" s="10"/>
      <c r="K36" s="10"/>
      <c r="L36" s="10"/>
    </row>
    <row r="37" spans="2:12">
      <c r="B37" s="11"/>
      <c r="C37" s="12"/>
      <c r="D37" s="12"/>
      <c r="E37" s="11"/>
      <c r="F37" s="4"/>
      <c r="G37" s="12"/>
      <c r="H37" s="13"/>
      <c r="I37" s="13"/>
      <c r="J37" s="10"/>
      <c r="K37" s="10"/>
      <c r="L37" s="10"/>
    </row>
    <row r="38" spans="2:12">
      <c r="B38" s="11"/>
      <c r="C38" s="12"/>
      <c r="D38" s="12"/>
      <c r="E38" s="11"/>
      <c r="F38" s="4"/>
      <c r="G38" s="12"/>
      <c r="H38" s="13"/>
      <c r="I38" s="13"/>
      <c r="J38" s="10"/>
      <c r="K38" s="10"/>
      <c r="L38" s="10"/>
    </row>
    <row r="39" spans="2:12">
      <c r="B39" s="11"/>
      <c r="C39" s="12"/>
      <c r="D39" s="12"/>
      <c r="E39" s="11"/>
      <c r="F39" s="4"/>
      <c r="G39" s="12"/>
      <c r="H39" s="13"/>
      <c r="I39" s="13"/>
      <c r="J39" s="10"/>
      <c r="K39" s="10"/>
      <c r="L39" s="10"/>
    </row>
    <row r="40" spans="2:12">
      <c r="B40" s="11"/>
      <c r="C40" s="12"/>
      <c r="D40" s="12"/>
      <c r="E40" s="11"/>
      <c r="F40" s="4"/>
      <c r="G40" s="12"/>
      <c r="H40" s="13"/>
      <c r="I40" s="13"/>
      <c r="J40" s="10"/>
      <c r="K40" s="10"/>
      <c r="L40" s="10"/>
    </row>
    <row r="41" spans="2:12">
      <c r="B41" s="11"/>
      <c r="C41" s="12"/>
      <c r="D41" s="12"/>
      <c r="E41" s="11"/>
      <c r="F41" s="4"/>
      <c r="G41" s="12"/>
      <c r="H41" s="13"/>
      <c r="I41" s="13"/>
      <c r="J41" s="10"/>
      <c r="K41" s="10"/>
      <c r="L41" s="10"/>
    </row>
    <row r="42" spans="2:12">
      <c r="B42" s="11"/>
      <c r="C42" s="12"/>
      <c r="D42" s="12"/>
      <c r="E42" s="11"/>
      <c r="F42" s="4"/>
      <c r="G42" s="12"/>
      <c r="H42" s="13"/>
      <c r="I42" s="13"/>
      <c r="J42" s="10"/>
      <c r="K42" s="10"/>
      <c r="L42" s="10"/>
    </row>
    <row r="43" spans="2:12">
      <c r="B43" s="11"/>
      <c r="C43" s="12"/>
      <c r="D43" s="12"/>
      <c r="E43" s="11"/>
      <c r="F43" s="4"/>
      <c r="G43" s="12"/>
      <c r="H43" s="13"/>
      <c r="I43" s="13"/>
      <c r="J43" s="10"/>
      <c r="K43" s="10"/>
      <c r="L43" s="10"/>
    </row>
    <row r="44" spans="2:12">
      <c r="B44" s="11"/>
      <c r="C44" s="12"/>
      <c r="D44" s="12"/>
      <c r="E44" s="11"/>
      <c r="F44" s="4"/>
      <c r="G44" s="12"/>
      <c r="H44" s="13"/>
      <c r="I44" s="13"/>
      <c r="J44" s="10"/>
      <c r="K44" s="10"/>
      <c r="L44" s="10"/>
    </row>
    <row r="45" spans="2:12">
      <c r="B45" s="11"/>
      <c r="C45" s="12"/>
      <c r="D45" s="12"/>
      <c r="E45" s="11"/>
      <c r="F45" s="4"/>
      <c r="G45" s="12"/>
      <c r="H45" s="13"/>
      <c r="I45" s="13"/>
      <c r="J45" s="10"/>
      <c r="K45" s="10"/>
      <c r="L45" s="10"/>
    </row>
    <row r="46" spans="2:12">
      <c r="B46" s="11"/>
      <c r="C46" s="12"/>
      <c r="D46" s="12"/>
      <c r="E46" s="11"/>
      <c r="F46" s="4"/>
      <c r="G46" s="12"/>
      <c r="H46" s="13"/>
      <c r="I46" s="13"/>
      <c r="J46" s="10"/>
      <c r="K46" s="10"/>
      <c r="L46" s="10"/>
    </row>
    <row r="47" spans="2:12">
      <c r="B47" s="11"/>
      <c r="C47" s="12"/>
      <c r="D47" s="12"/>
      <c r="E47" s="11"/>
      <c r="F47" s="4"/>
      <c r="G47" s="12"/>
      <c r="H47" s="13"/>
      <c r="I47" s="13"/>
      <c r="J47" s="10"/>
      <c r="K47" s="10"/>
      <c r="L47" s="10"/>
    </row>
    <row r="48" spans="2:12">
      <c r="B48" s="11"/>
      <c r="C48" s="12"/>
      <c r="D48" s="12"/>
      <c r="E48" s="11"/>
      <c r="F48" s="4"/>
      <c r="G48" s="12"/>
      <c r="H48" s="13"/>
      <c r="I48" s="13"/>
      <c r="J48" s="10"/>
      <c r="K48" s="10"/>
      <c r="L48" s="10"/>
    </row>
    <row r="49" spans="2:12">
      <c r="B49" s="11"/>
      <c r="C49" s="12"/>
      <c r="D49" s="12"/>
      <c r="E49" s="11"/>
      <c r="F49" s="4"/>
      <c r="G49" s="12"/>
      <c r="H49" s="13"/>
      <c r="I49" s="13"/>
      <c r="J49" s="10"/>
      <c r="K49" s="10"/>
      <c r="L49" s="10"/>
    </row>
    <row r="50" spans="2:12">
      <c r="B50" s="11"/>
      <c r="C50" s="12"/>
      <c r="D50" s="12"/>
      <c r="E50" s="11"/>
      <c r="F50" s="4"/>
      <c r="G50" s="12"/>
      <c r="H50" s="13"/>
      <c r="I50" s="13"/>
      <c r="J50" s="10"/>
      <c r="K50" s="10"/>
      <c r="L50" s="10"/>
    </row>
    <row r="51" spans="2:12">
      <c r="B51" s="11"/>
      <c r="C51" s="12"/>
      <c r="D51" s="12"/>
      <c r="E51" s="11"/>
      <c r="F51" s="4"/>
      <c r="G51" s="12"/>
      <c r="H51" s="13"/>
      <c r="I51" s="13"/>
      <c r="J51" s="10"/>
      <c r="K51" s="10"/>
      <c r="L51" s="10"/>
    </row>
    <row r="52" spans="2:12">
      <c r="B52" s="11"/>
      <c r="C52" s="12"/>
      <c r="D52" s="12"/>
      <c r="E52" s="11"/>
      <c r="F52" s="4"/>
      <c r="G52" s="12"/>
      <c r="H52" s="13"/>
      <c r="I52" s="13"/>
      <c r="J52" s="10"/>
      <c r="K52" s="10"/>
      <c r="L52" s="10"/>
    </row>
    <row r="53" spans="2:12">
      <c r="B53" s="11"/>
      <c r="C53" s="12"/>
      <c r="D53" s="12"/>
      <c r="E53" s="11"/>
      <c r="F53" s="4"/>
      <c r="G53" s="12"/>
      <c r="H53" s="13"/>
      <c r="I53" s="13"/>
      <c r="J53" s="10"/>
      <c r="K53" s="10"/>
      <c r="L53" s="10"/>
    </row>
    <row r="54" spans="2:12">
      <c r="B54" s="11"/>
      <c r="C54" s="12"/>
      <c r="D54" s="12"/>
      <c r="E54" s="11"/>
      <c r="F54" s="4"/>
      <c r="G54" s="12"/>
      <c r="H54" s="13"/>
      <c r="I54" s="13"/>
      <c r="J54" s="10"/>
      <c r="K54" s="10"/>
      <c r="L54" s="10"/>
    </row>
    <row r="55" spans="2:12">
      <c r="B55" s="11"/>
      <c r="C55" s="12"/>
      <c r="D55" s="12"/>
      <c r="E55" s="11"/>
      <c r="F55" s="4"/>
      <c r="G55" s="12"/>
      <c r="H55" s="13"/>
      <c r="I55" s="13"/>
      <c r="J55" s="10"/>
      <c r="K55" s="10"/>
      <c r="L55" s="10"/>
    </row>
    <row r="56" spans="2:12">
      <c r="B56" s="11"/>
      <c r="C56" s="12"/>
      <c r="D56" s="12"/>
      <c r="E56" s="11"/>
      <c r="F56" s="4"/>
      <c r="G56" s="12"/>
      <c r="H56" s="13"/>
      <c r="I56" s="13"/>
      <c r="J56" s="10"/>
      <c r="K56" s="10"/>
      <c r="L56" s="10"/>
    </row>
    <row r="57" spans="2:12">
      <c r="B57" s="11"/>
      <c r="C57" s="12"/>
      <c r="D57" s="12"/>
      <c r="E57" s="11"/>
      <c r="F57" s="4"/>
      <c r="G57" s="12"/>
      <c r="H57" s="13"/>
      <c r="I57" s="13"/>
      <c r="J57" s="10"/>
      <c r="K57" s="10"/>
      <c r="L57" s="10"/>
    </row>
    <row r="58" spans="2:12">
      <c r="B58" s="11"/>
      <c r="C58" s="12"/>
      <c r="D58" s="12"/>
      <c r="E58" s="11"/>
      <c r="F58" s="4"/>
      <c r="G58" s="12"/>
      <c r="H58" s="13"/>
      <c r="I58" s="13"/>
      <c r="J58" s="10"/>
      <c r="K58" s="10"/>
      <c r="L58" s="10"/>
    </row>
    <row r="59" spans="2:12">
      <c r="B59" s="11"/>
      <c r="C59" s="12"/>
      <c r="D59" s="12"/>
      <c r="E59" s="11"/>
      <c r="F59" s="4"/>
      <c r="G59" s="12"/>
      <c r="H59" s="13"/>
      <c r="I59" s="13"/>
      <c r="J59" s="10"/>
      <c r="K59" s="10"/>
      <c r="L59" s="10"/>
    </row>
    <row r="60" spans="2:12">
      <c r="B60" s="11"/>
      <c r="C60" s="12"/>
      <c r="D60" s="12"/>
      <c r="E60" s="11"/>
      <c r="F60" s="4"/>
      <c r="G60" s="12"/>
      <c r="H60" s="13"/>
      <c r="I60" s="13"/>
      <c r="J60" s="10"/>
      <c r="K60" s="10"/>
      <c r="L60" s="10"/>
    </row>
    <row r="61" spans="2:12">
      <c r="B61" s="11"/>
      <c r="C61" s="12"/>
      <c r="D61" s="12"/>
      <c r="E61" s="11"/>
      <c r="F61" s="4"/>
      <c r="G61" s="12"/>
      <c r="H61" s="13"/>
      <c r="I61" s="13"/>
      <c r="J61" s="10"/>
      <c r="K61" s="10"/>
      <c r="L61" s="10"/>
    </row>
    <row r="62" spans="2:12">
      <c r="B62" s="11"/>
      <c r="C62" s="12"/>
      <c r="D62" s="12"/>
      <c r="E62" s="11"/>
      <c r="F62" s="4"/>
      <c r="G62" s="12"/>
      <c r="H62" s="13"/>
      <c r="I62" s="13"/>
      <c r="J62" s="10"/>
      <c r="K62" s="10"/>
      <c r="L62" s="10"/>
    </row>
    <row r="63" spans="2:12">
      <c r="B63" s="11"/>
      <c r="C63" s="12"/>
      <c r="D63" s="12"/>
      <c r="E63" s="11"/>
      <c r="F63" s="4"/>
      <c r="G63" s="12"/>
      <c r="H63" s="13"/>
      <c r="I63" s="13"/>
      <c r="J63" s="10"/>
      <c r="K63" s="10"/>
      <c r="L63" s="10"/>
    </row>
    <row r="64" spans="2:12">
      <c r="B64" s="11"/>
      <c r="C64" s="12"/>
      <c r="D64" s="12"/>
      <c r="E64" s="11"/>
      <c r="F64" s="4"/>
      <c r="G64" s="12"/>
      <c r="H64" s="13"/>
      <c r="I64" s="13"/>
      <c r="J64" s="10"/>
      <c r="K64" s="10"/>
      <c r="L64" s="10"/>
    </row>
    <row r="65" spans="2:12">
      <c r="B65" s="11"/>
      <c r="C65" s="12"/>
      <c r="D65" s="12"/>
      <c r="E65" s="11"/>
      <c r="F65" s="4"/>
      <c r="G65" s="12"/>
      <c r="H65" s="13"/>
      <c r="I65" s="13"/>
      <c r="J65" s="10"/>
      <c r="K65" s="10"/>
      <c r="L65" s="10"/>
    </row>
    <row r="66" spans="2:12">
      <c r="B66" s="11"/>
      <c r="C66" s="12"/>
      <c r="D66" s="12"/>
      <c r="E66" s="11"/>
      <c r="F66" s="4"/>
      <c r="G66" s="12"/>
      <c r="H66" s="13"/>
      <c r="I66" s="13"/>
      <c r="J66" s="10"/>
      <c r="K66" s="10"/>
      <c r="L66" s="10"/>
    </row>
    <row r="67" spans="2:12">
      <c r="B67" s="11"/>
      <c r="C67" s="12"/>
      <c r="D67" s="12"/>
      <c r="E67" s="11"/>
      <c r="F67" s="4"/>
      <c r="G67" s="12"/>
      <c r="H67" s="13"/>
      <c r="I67" s="13"/>
      <c r="J67" s="10"/>
      <c r="K67" s="10"/>
      <c r="L67" s="10"/>
    </row>
    <row r="68" spans="2:12">
      <c r="B68" s="11"/>
      <c r="C68" s="12"/>
      <c r="D68" s="12"/>
      <c r="E68" s="11"/>
      <c r="F68" s="4"/>
      <c r="G68" s="12"/>
      <c r="H68" s="13"/>
      <c r="I68" s="13"/>
      <c r="J68" s="10"/>
      <c r="K68" s="10"/>
      <c r="L68" s="10"/>
    </row>
    <row r="69" spans="2:12">
      <c r="B69" s="11"/>
      <c r="C69" s="12"/>
      <c r="D69" s="12"/>
      <c r="E69" s="11"/>
      <c r="F69" s="4"/>
      <c r="G69" s="12"/>
      <c r="H69" s="13"/>
      <c r="I69" s="13"/>
      <c r="J69" s="10"/>
      <c r="K69" s="10"/>
      <c r="L69" s="10"/>
    </row>
    <row r="70" spans="2:12">
      <c r="B70" s="11"/>
      <c r="C70" s="12"/>
      <c r="D70" s="12"/>
      <c r="E70" s="11"/>
      <c r="F70" s="4"/>
      <c r="G70" s="12"/>
      <c r="H70" s="13"/>
      <c r="I70" s="13"/>
      <c r="J70" s="10"/>
      <c r="K70" s="10"/>
      <c r="L70" s="10"/>
    </row>
    <row r="71" spans="2:12">
      <c r="B71" s="11"/>
      <c r="C71" s="12"/>
      <c r="D71" s="12"/>
      <c r="E71" s="11"/>
      <c r="F71" s="4"/>
      <c r="G71" s="12"/>
      <c r="H71" s="13"/>
      <c r="I71" s="13"/>
      <c r="J71" s="10"/>
      <c r="K71" s="10"/>
      <c r="L71" s="10"/>
    </row>
    <row r="72" spans="2:12">
      <c r="B72" s="11"/>
      <c r="C72" s="12"/>
      <c r="D72" s="12"/>
      <c r="E72" s="11"/>
      <c r="F72" s="4"/>
      <c r="G72" s="12"/>
      <c r="H72" s="13"/>
      <c r="I72" s="13"/>
      <c r="J72" s="10"/>
      <c r="K72" s="10"/>
      <c r="L72" s="10"/>
    </row>
    <row r="73" spans="2:12">
      <c r="B73" s="11"/>
      <c r="C73" s="12"/>
      <c r="D73" s="12"/>
      <c r="E73" s="11"/>
      <c r="F73" s="4"/>
      <c r="G73" s="12"/>
      <c r="H73" s="13"/>
      <c r="I73" s="13"/>
      <c r="J73" s="10"/>
      <c r="K73" s="10"/>
      <c r="L73" s="10"/>
    </row>
    <row r="74" spans="2:12">
      <c r="B74" s="11"/>
      <c r="C74" s="12"/>
      <c r="D74" s="12"/>
      <c r="E74" s="11"/>
      <c r="F74" s="4"/>
      <c r="G74" s="12"/>
      <c r="H74" s="13"/>
      <c r="I74" s="13"/>
      <c r="J74" s="10"/>
      <c r="K74" s="10"/>
      <c r="L74" s="10"/>
    </row>
    <row r="75" spans="2:12">
      <c r="B75" s="11"/>
      <c r="C75" s="12"/>
      <c r="D75" s="12"/>
      <c r="E75" s="11"/>
      <c r="F75" s="4"/>
      <c r="G75" s="12"/>
      <c r="H75" s="13"/>
      <c r="I75" s="13"/>
      <c r="J75" s="10"/>
      <c r="K75" s="10"/>
      <c r="L75" s="10"/>
    </row>
    <row r="76" spans="2:12">
      <c r="B76" s="11"/>
      <c r="C76" s="12"/>
      <c r="D76" s="12"/>
      <c r="E76" s="11"/>
      <c r="F76" s="4"/>
      <c r="G76" s="12"/>
      <c r="H76" s="13"/>
      <c r="I76" s="13"/>
      <c r="J76" s="10"/>
      <c r="K76" s="10"/>
      <c r="L76" s="10"/>
    </row>
    <row r="77" spans="2:12">
      <c r="B77" s="11"/>
      <c r="C77" s="12"/>
      <c r="D77" s="12"/>
      <c r="E77" s="11"/>
      <c r="F77" s="4"/>
      <c r="G77" s="12"/>
      <c r="H77" s="13"/>
      <c r="I77" s="13"/>
      <c r="J77" s="10"/>
      <c r="K77" s="10"/>
      <c r="L77" s="10"/>
    </row>
    <row r="78" spans="2:12">
      <c r="B78" s="11"/>
      <c r="C78" s="12"/>
      <c r="D78" s="12"/>
      <c r="E78" s="11"/>
      <c r="F78" s="4"/>
      <c r="G78" s="12"/>
      <c r="H78" s="13"/>
      <c r="I78" s="13"/>
      <c r="J78" s="10"/>
      <c r="K78" s="10"/>
      <c r="L78" s="10"/>
    </row>
    <row r="79" spans="2:12">
      <c r="B79" s="11"/>
      <c r="C79" s="12"/>
      <c r="D79" s="12"/>
      <c r="E79" s="11"/>
      <c r="F79" s="4"/>
      <c r="G79" s="12"/>
      <c r="H79" s="13"/>
      <c r="I79" s="13"/>
      <c r="J79" s="10"/>
      <c r="K79" s="10"/>
      <c r="L79" s="10"/>
    </row>
    <row r="80" spans="2:12">
      <c r="B80" s="11"/>
      <c r="C80" s="12"/>
      <c r="D80" s="12"/>
      <c r="E80" s="11"/>
      <c r="F80" s="4"/>
      <c r="G80" s="12"/>
      <c r="H80" s="13"/>
      <c r="I80" s="13"/>
      <c r="J80" s="10"/>
      <c r="K80" s="10"/>
      <c r="L80" s="10"/>
    </row>
    <row r="81" spans="2:12">
      <c r="B81" s="11"/>
      <c r="C81" s="12"/>
      <c r="D81" s="12"/>
      <c r="E81" s="11"/>
      <c r="F81" s="4"/>
      <c r="G81" s="12"/>
      <c r="H81" s="13"/>
      <c r="I81" s="13"/>
      <c r="J81" s="10"/>
      <c r="K81" s="10"/>
      <c r="L81" s="10"/>
    </row>
    <row r="82" spans="2:12">
      <c r="B82" s="11"/>
      <c r="C82" s="12"/>
      <c r="D82" s="12"/>
      <c r="E82" s="11"/>
      <c r="F82" s="4"/>
      <c r="G82" s="12"/>
      <c r="H82" s="13"/>
      <c r="I82" s="13"/>
      <c r="J82" s="10"/>
      <c r="K82" s="10"/>
      <c r="L82" s="10"/>
    </row>
    <row r="83" spans="2:12">
      <c r="B83" s="11"/>
      <c r="C83" s="12"/>
      <c r="D83" s="12"/>
      <c r="E83" s="11"/>
      <c r="F83" s="4"/>
      <c r="G83" s="12"/>
      <c r="H83" s="13"/>
      <c r="I83" s="13"/>
      <c r="J83" s="10"/>
      <c r="K83" s="10"/>
      <c r="L83" s="10"/>
    </row>
    <row r="84" spans="2:12">
      <c r="B84" s="11"/>
      <c r="C84" s="12"/>
      <c r="D84" s="12"/>
      <c r="E84" s="11"/>
      <c r="F84" s="4"/>
      <c r="G84" s="12"/>
      <c r="H84" s="13"/>
      <c r="I84" s="13"/>
      <c r="J84" s="10"/>
      <c r="K84" s="10"/>
      <c r="L84" s="10"/>
    </row>
    <row r="85" spans="2:12">
      <c r="B85" s="11"/>
      <c r="C85" s="12"/>
      <c r="D85" s="12"/>
      <c r="E85" s="11"/>
      <c r="F85" s="4"/>
      <c r="G85" s="12"/>
      <c r="H85" s="13"/>
      <c r="I85" s="13"/>
      <c r="J85" s="10"/>
      <c r="K85" s="10"/>
      <c r="L85" s="10"/>
    </row>
    <row r="86" spans="2:12">
      <c r="B86" s="11"/>
      <c r="C86" s="12"/>
      <c r="D86" s="12"/>
      <c r="E86" s="11"/>
      <c r="F86" s="4"/>
      <c r="G86" s="12"/>
      <c r="H86" s="13"/>
      <c r="I86" s="13"/>
      <c r="J86" s="10"/>
      <c r="K86" s="10"/>
      <c r="L86" s="10"/>
    </row>
    <row r="87" spans="2:12">
      <c r="B87" s="11"/>
      <c r="C87" s="12"/>
      <c r="D87" s="12"/>
      <c r="E87" s="11"/>
      <c r="F87" s="4"/>
      <c r="G87" s="12"/>
      <c r="H87" s="13"/>
      <c r="I87" s="13"/>
      <c r="J87" s="10"/>
      <c r="K87" s="10"/>
      <c r="L87" s="10"/>
    </row>
    <row r="88" spans="2:12">
      <c r="B88" s="11"/>
      <c r="C88" s="12"/>
      <c r="D88" s="12"/>
      <c r="E88" s="11"/>
      <c r="F88" s="4"/>
      <c r="G88" s="12"/>
      <c r="H88" s="13"/>
      <c r="I88" s="13"/>
      <c r="J88" s="10"/>
      <c r="K88" s="10"/>
      <c r="L88" s="10"/>
    </row>
    <row r="89" spans="2:12">
      <c r="B89" s="11"/>
      <c r="C89" s="12"/>
      <c r="D89" s="12"/>
      <c r="E89" s="11"/>
      <c r="F89" s="4"/>
      <c r="G89" s="12"/>
      <c r="H89" s="13"/>
      <c r="I89" s="13"/>
      <c r="J89" s="10"/>
      <c r="K89" s="10"/>
      <c r="L89" s="10"/>
    </row>
    <row r="90" spans="2:12">
      <c r="B90" s="11"/>
      <c r="C90" s="12"/>
      <c r="D90" s="12"/>
      <c r="E90" s="11"/>
      <c r="F90" s="4"/>
      <c r="G90" s="12"/>
      <c r="H90" s="13"/>
      <c r="I90" s="13"/>
      <c r="J90" s="10"/>
      <c r="K90" s="10"/>
      <c r="L90" s="10"/>
    </row>
    <row r="91" spans="2:12">
      <c r="B91" s="11"/>
      <c r="C91" s="12"/>
      <c r="D91" s="12"/>
      <c r="E91" s="11"/>
      <c r="F91" s="4"/>
      <c r="G91" s="12"/>
      <c r="H91" s="13"/>
      <c r="I91" s="13"/>
      <c r="J91" s="10"/>
      <c r="K91" s="10"/>
      <c r="L91" s="10"/>
    </row>
    <row r="92" spans="2:12">
      <c r="B92" s="11"/>
      <c r="C92" s="12"/>
      <c r="D92" s="12"/>
      <c r="E92" s="11"/>
      <c r="F92" s="4"/>
      <c r="G92" s="12"/>
      <c r="H92" s="13"/>
      <c r="I92" s="13"/>
      <c r="J92" s="10"/>
      <c r="K92" s="10"/>
      <c r="L92" s="10"/>
    </row>
    <row r="93" spans="2:12">
      <c r="B93" s="11"/>
      <c r="C93" s="12"/>
      <c r="D93" s="12"/>
      <c r="E93" s="11"/>
      <c r="F93" s="4"/>
      <c r="G93" s="12"/>
      <c r="H93" s="13"/>
      <c r="I93" s="13"/>
      <c r="J93" s="10"/>
      <c r="K93" s="10"/>
      <c r="L93" s="10"/>
    </row>
    <row r="94" spans="2:12">
      <c r="B94" s="11"/>
      <c r="C94" s="12"/>
      <c r="D94" s="12"/>
      <c r="E94" s="11"/>
      <c r="F94" s="4"/>
      <c r="G94" s="12"/>
      <c r="H94" s="13"/>
      <c r="I94" s="13"/>
      <c r="J94" s="10"/>
      <c r="K94" s="10"/>
      <c r="L94" s="10"/>
    </row>
    <row r="95" spans="2:12">
      <c r="B95" s="11"/>
      <c r="C95" s="12"/>
      <c r="D95" s="12"/>
      <c r="E95" s="11"/>
      <c r="F95" s="4"/>
      <c r="G95" s="12"/>
      <c r="H95" s="13"/>
      <c r="I95" s="13"/>
      <c r="J95" s="10"/>
      <c r="K95" s="10"/>
      <c r="L95" s="10"/>
    </row>
    <row r="96" spans="2:12">
      <c r="B96" s="11"/>
      <c r="C96" s="12"/>
      <c r="D96" s="12"/>
      <c r="E96" s="11"/>
      <c r="F96" s="4"/>
      <c r="G96" s="12"/>
      <c r="H96" s="13"/>
      <c r="I96" s="13"/>
      <c r="J96" s="10"/>
      <c r="K96" s="10"/>
      <c r="L96" s="10"/>
    </row>
    <row r="97" spans="2:12">
      <c r="B97" s="11"/>
      <c r="C97" s="12"/>
      <c r="D97" s="12"/>
      <c r="E97" s="11"/>
      <c r="G97" s="12"/>
      <c r="H97" s="13"/>
      <c r="I97" s="13"/>
      <c r="J97" s="10"/>
      <c r="K97" s="10"/>
      <c r="L97" s="10"/>
    </row>
  </sheetData>
  <phoneticPr fontId="3" type="noConversion"/>
  <hyperlinks>
    <hyperlink ref="A1" location="目錄!A1" display="回到目錄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8"/>
  <dimension ref="A1:R493"/>
  <sheetViews>
    <sheetView workbookViewId="0">
      <pane ySplit="1" topLeftCell="A368" activePane="bottomLeft" state="frozen"/>
      <selection pane="bottomLeft"/>
    </sheetView>
  </sheetViews>
  <sheetFormatPr defaultRowHeight="13.8"/>
  <cols>
    <col min="1" max="1" width="7.453125" style="15" bestFit="1" customWidth="1"/>
    <col min="2" max="2" width="11.81640625" style="15" bestFit="1" customWidth="1"/>
    <col min="3" max="3" width="8.54296875" style="15" bestFit="1" customWidth="1"/>
    <col min="4" max="4" width="7.90625" style="15" bestFit="1" customWidth="1"/>
    <col min="5" max="5" width="8.08984375" style="15" bestFit="1" customWidth="1"/>
    <col min="6" max="6" width="13.26953125" style="15" bestFit="1" customWidth="1"/>
    <col min="7" max="7" width="13.54296875" style="15" bestFit="1" customWidth="1"/>
    <col min="8" max="8" width="17.453125" style="15" bestFit="1" customWidth="1"/>
    <col min="9" max="9" width="13.08984375" style="15" bestFit="1" customWidth="1"/>
    <col min="10" max="10" width="13.36328125" style="15" bestFit="1" customWidth="1"/>
    <col min="11" max="11" width="17.26953125" style="15" bestFit="1" customWidth="1"/>
    <col min="12" max="12" width="11.26953125" style="15" bestFit="1" customWidth="1"/>
    <col min="13" max="13" width="11.54296875" style="15" bestFit="1" customWidth="1"/>
    <col min="14" max="14" width="15.54296875" style="15" bestFit="1" customWidth="1"/>
    <col min="15" max="15" width="10" style="15" bestFit="1" customWidth="1"/>
    <col min="16" max="16" width="7" style="15" bestFit="1" customWidth="1"/>
    <col min="17" max="17" width="10.36328125" style="15" bestFit="1" customWidth="1"/>
    <col min="18" max="18" width="7.81640625" style="15" bestFit="1" customWidth="1"/>
    <col min="19" max="19" width="7.453125" style="15" bestFit="1" customWidth="1"/>
    <col min="20" max="16384" width="8.7265625" style="15"/>
  </cols>
  <sheetData>
    <row r="1" spans="1:18">
      <c r="A1" s="23" t="s">
        <v>36</v>
      </c>
      <c r="B1" s="82" t="s">
        <v>3227</v>
      </c>
      <c r="C1" s="82" t="s">
        <v>171</v>
      </c>
      <c r="D1" s="82" t="s">
        <v>3728</v>
      </c>
      <c r="E1" s="82" t="s">
        <v>528</v>
      </c>
      <c r="F1" s="82" t="s">
        <v>3732</v>
      </c>
      <c r="G1" s="82" t="s">
        <v>3733</v>
      </c>
      <c r="H1" s="82" t="s">
        <v>3731</v>
      </c>
      <c r="I1" s="82" t="s">
        <v>3736</v>
      </c>
      <c r="J1" s="82" t="s">
        <v>3737</v>
      </c>
      <c r="K1" s="82" t="s">
        <v>3735</v>
      </c>
      <c r="L1" s="82" t="s">
        <v>3740</v>
      </c>
      <c r="M1" s="82" t="s">
        <v>3741</v>
      </c>
      <c r="N1" s="82" t="s">
        <v>3739</v>
      </c>
      <c r="O1" s="82" t="s">
        <v>0</v>
      </c>
      <c r="P1" s="82" t="s">
        <v>1</v>
      </c>
      <c r="Q1" s="82" t="s">
        <v>19</v>
      </c>
      <c r="R1" s="82" t="s">
        <v>2</v>
      </c>
    </row>
    <row r="2" spans="1:18">
      <c r="B2" s="15">
        <v>1</v>
      </c>
      <c r="C2" s="15" t="s">
        <v>176</v>
      </c>
      <c r="D2" s="15" t="s">
        <v>526</v>
      </c>
      <c r="E2" s="15">
        <v>10</v>
      </c>
      <c r="F2" s="15">
        <v>0</v>
      </c>
      <c r="G2" s="15">
        <v>65</v>
      </c>
      <c r="H2" s="15" t="s">
        <v>534</v>
      </c>
      <c r="I2" s="15" t="s">
        <v>3027</v>
      </c>
      <c r="J2" s="15" t="s">
        <v>3027</v>
      </c>
      <c r="K2" s="15" t="s">
        <v>3027</v>
      </c>
      <c r="L2" s="15" t="s">
        <v>3027</v>
      </c>
      <c r="M2" s="15" t="s">
        <v>3027</v>
      </c>
      <c r="N2" s="15" t="s">
        <v>3027</v>
      </c>
      <c r="O2" s="75"/>
      <c r="P2" s="15" t="s">
        <v>522</v>
      </c>
      <c r="Q2" s="75"/>
      <c r="R2" s="15" t="s">
        <v>522</v>
      </c>
    </row>
    <row r="3" spans="1:18">
      <c r="B3" s="15">
        <v>1</v>
      </c>
      <c r="C3" s="15" t="s">
        <v>176</v>
      </c>
      <c r="D3" s="15" t="s">
        <v>526</v>
      </c>
      <c r="E3" s="15">
        <v>15</v>
      </c>
      <c r="F3" s="15">
        <v>0</v>
      </c>
      <c r="G3" s="15">
        <v>60</v>
      </c>
      <c r="H3" s="15" t="s">
        <v>534</v>
      </c>
      <c r="I3" s="15" t="s">
        <v>3027</v>
      </c>
      <c r="J3" s="15" t="s">
        <v>3027</v>
      </c>
      <c r="K3" s="15" t="s">
        <v>3027</v>
      </c>
      <c r="L3" s="15" t="s">
        <v>3027</v>
      </c>
      <c r="M3" s="15" t="s">
        <v>3027</v>
      </c>
      <c r="N3" s="15" t="s">
        <v>3027</v>
      </c>
      <c r="O3" s="75"/>
      <c r="P3" s="15" t="s">
        <v>522</v>
      </c>
      <c r="Q3" s="75"/>
      <c r="R3" s="15" t="s">
        <v>522</v>
      </c>
    </row>
    <row r="4" spans="1:18">
      <c r="B4" s="15">
        <v>1</v>
      </c>
      <c r="C4" s="15" t="s">
        <v>176</v>
      </c>
      <c r="D4" s="15" t="s">
        <v>526</v>
      </c>
      <c r="E4" s="15">
        <v>20</v>
      </c>
      <c r="F4" s="15">
        <v>0</v>
      </c>
      <c r="G4" s="15">
        <v>55</v>
      </c>
      <c r="H4" s="15" t="s">
        <v>534</v>
      </c>
      <c r="I4" s="15" t="s">
        <v>3027</v>
      </c>
      <c r="J4" s="15" t="s">
        <v>3027</v>
      </c>
      <c r="K4" s="15" t="s">
        <v>3027</v>
      </c>
      <c r="L4" s="15" t="s">
        <v>3027</v>
      </c>
      <c r="M4" s="15" t="s">
        <v>3027</v>
      </c>
      <c r="N4" s="15" t="s">
        <v>3027</v>
      </c>
      <c r="O4" s="75"/>
      <c r="P4" s="15" t="s">
        <v>522</v>
      </c>
      <c r="Q4" s="75"/>
      <c r="R4" s="15" t="s">
        <v>522</v>
      </c>
    </row>
    <row r="5" spans="1:18">
      <c r="B5" s="15">
        <v>1</v>
      </c>
      <c r="C5" s="15" t="s">
        <v>177</v>
      </c>
      <c r="D5" s="15" t="s">
        <v>526</v>
      </c>
      <c r="E5" s="15">
        <v>10</v>
      </c>
      <c r="F5" s="15">
        <v>0</v>
      </c>
      <c r="G5" s="15">
        <v>65</v>
      </c>
      <c r="H5" s="15" t="s">
        <v>534</v>
      </c>
      <c r="I5" s="15">
        <v>0</v>
      </c>
      <c r="J5" s="15">
        <v>65</v>
      </c>
      <c r="K5" s="15" t="s">
        <v>534</v>
      </c>
      <c r="L5" s="15">
        <v>0</v>
      </c>
      <c r="M5" s="15">
        <v>65</v>
      </c>
      <c r="N5" s="15" t="s">
        <v>534</v>
      </c>
      <c r="O5" s="75"/>
      <c r="P5" s="15" t="s">
        <v>522</v>
      </c>
      <c r="Q5" s="75"/>
      <c r="R5" s="15" t="s">
        <v>522</v>
      </c>
    </row>
    <row r="6" spans="1:18">
      <c r="B6" s="15">
        <v>1</v>
      </c>
      <c r="C6" s="15" t="s">
        <v>177</v>
      </c>
      <c r="D6" s="15" t="s">
        <v>526</v>
      </c>
      <c r="E6" s="15">
        <v>15</v>
      </c>
      <c r="F6" s="15">
        <v>0</v>
      </c>
      <c r="G6" s="15">
        <v>65</v>
      </c>
      <c r="H6" s="15" t="s">
        <v>534</v>
      </c>
      <c r="I6" s="15">
        <v>0</v>
      </c>
      <c r="J6" s="15">
        <v>65</v>
      </c>
      <c r="K6" s="15" t="s">
        <v>534</v>
      </c>
      <c r="L6" s="15">
        <v>0</v>
      </c>
      <c r="M6" s="15">
        <v>65</v>
      </c>
      <c r="N6" s="15" t="s">
        <v>534</v>
      </c>
      <c r="O6" s="75"/>
      <c r="P6" s="15" t="s">
        <v>522</v>
      </c>
      <c r="Q6" s="75"/>
      <c r="R6" s="15" t="s">
        <v>522</v>
      </c>
    </row>
    <row r="7" spans="1:18">
      <c r="B7" s="15">
        <v>1</v>
      </c>
      <c r="C7" s="15" t="s">
        <v>177</v>
      </c>
      <c r="D7" s="15" t="s">
        <v>526</v>
      </c>
      <c r="E7" s="15">
        <v>20</v>
      </c>
      <c r="F7" s="15">
        <v>0</v>
      </c>
      <c r="G7" s="15">
        <v>60</v>
      </c>
      <c r="H7" s="15" t="s">
        <v>534</v>
      </c>
      <c r="I7" s="15">
        <v>0</v>
      </c>
      <c r="J7" s="15">
        <v>60</v>
      </c>
      <c r="K7" s="15" t="s">
        <v>534</v>
      </c>
      <c r="L7" s="15">
        <v>0</v>
      </c>
      <c r="M7" s="15">
        <v>60</v>
      </c>
      <c r="N7" s="15" t="s">
        <v>534</v>
      </c>
      <c r="O7" s="75"/>
      <c r="P7" s="15" t="s">
        <v>522</v>
      </c>
      <c r="Q7" s="75"/>
      <c r="R7" s="15" t="s">
        <v>522</v>
      </c>
    </row>
    <row r="8" spans="1:18">
      <c r="B8" s="15">
        <v>1</v>
      </c>
      <c r="C8" s="15" t="s">
        <v>510</v>
      </c>
      <c r="D8" s="15" t="s">
        <v>526</v>
      </c>
      <c r="E8" s="15">
        <v>10</v>
      </c>
      <c r="F8" s="15">
        <v>0</v>
      </c>
      <c r="G8" s="15">
        <v>55</v>
      </c>
      <c r="H8" s="15" t="s">
        <v>534</v>
      </c>
      <c r="I8" s="15" t="s">
        <v>3027</v>
      </c>
      <c r="J8" s="15" t="s">
        <v>3027</v>
      </c>
      <c r="K8" s="15" t="s">
        <v>3027</v>
      </c>
      <c r="L8" s="15" t="s">
        <v>3027</v>
      </c>
      <c r="M8" s="15" t="s">
        <v>3027</v>
      </c>
      <c r="N8" s="15" t="s">
        <v>3027</v>
      </c>
      <c r="O8" s="75"/>
      <c r="P8" s="15" t="s">
        <v>522</v>
      </c>
      <c r="Q8" s="75"/>
      <c r="R8" s="15" t="s">
        <v>522</v>
      </c>
    </row>
    <row r="9" spans="1:18">
      <c r="B9" s="15">
        <v>1</v>
      </c>
      <c r="C9" s="15" t="s">
        <v>510</v>
      </c>
      <c r="D9" s="15" t="s">
        <v>526</v>
      </c>
      <c r="E9" s="15">
        <v>20</v>
      </c>
      <c r="F9" s="15">
        <v>0</v>
      </c>
      <c r="G9" s="15">
        <v>50</v>
      </c>
      <c r="H9" s="15" t="s">
        <v>534</v>
      </c>
      <c r="I9" s="15" t="s">
        <v>3027</v>
      </c>
      <c r="J9" s="15" t="s">
        <v>3027</v>
      </c>
      <c r="K9" s="15" t="s">
        <v>3027</v>
      </c>
      <c r="L9" s="15" t="s">
        <v>3027</v>
      </c>
      <c r="M9" s="15" t="s">
        <v>3027</v>
      </c>
      <c r="N9" s="15" t="s">
        <v>3027</v>
      </c>
      <c r="O9" s="75"/>
      <c r="P9" s="15" t="s">
        <v>522</v>
      </c>
      <c r="Q9" s="75"/>
      <c r="R9" s="15" t="s">
        <v>522</v>
      </c>
    </row>
    <row r="10" spans="1:18">
      <c r="B10" s="15">
        <v>1</v>
      </c>
      <c r="C10" s="15" t="s">
        <v>507</v>
      </c>
      <c r="D10" s="15" t="s">
        <v>526</v>
      </c>
      <c r="E10" s="15">
        <v>1</v>
      </c>
      <c r="F10" s="15">
        <v>0</v>
      </c>
      <c r="G10" s="15">
        <v>70</v>
      </c>
      <c r="H10" s="15" t="s">
        <v>534</v>
      </c>
      <c r="I10" s="15">
        <v>14</v>
      </c>
      <c r="J10" s="15">
        <v>70</v>
      </c>
      <c r="K10" s="15" t="s">
        <v>539</v>
      </c>
      <c r="L10" s="15">
        <v>0</v>
      </c>
      <c r="M10" s="15">
        <v>23</v>
      </c>
      <c r="N10" s="15" t="s">
        <v>534</v>
      </c>
      <c r="O10" s="75"/>
      <c r="P10" s="15" t="s">
        <v>522</v>
      </c>
      <c r="Q10" s="75"/>
      <c r="R10" s="15" t="s">
        <v>522</v>
      </c>
    </row>
    <row r="11" spans="1:18">
      <c r="B11" s="15">
        <v>1</v>
      </c>
      <c r="C11" s="15" t="s">
        <v>508</v>
      </c>
      <c r="D11" s="15" t="s">
        <v>526</v>
      </c>
      <c r="E11" s="15">
        <v>1</v>
      </c>
      <c r="F11" s="15">
        <v>0</v>
      </c>
      <c r="G11" s="15">
        <v>65</v>
      </c>
      <c r="H11" s="15" t="s">
        <v>534</v>
      </c>
      <c r="I11" s="15">
        <v>0</v>
      </c>
      <c r="J11" s="15">
        <v>65</v>
      </c>
      <c r="K11" s="15" t="s">
        <v>534</v>
      </c>
      <c r="L11" s="15">
        <v>0</v>
      </c>
      <c r="M11" s="15">
        <v>20</v>
      </c>
      <c r="N11" s="15" t="s">
        <v>534</v>
      </c>
      <c r="O11" s="75"/>
      <c r="P11" s="15" t="s">
        <v>522</v>
      </c>
      <c r="Q11" s="75"/>
      <c r="R11" s="15" t="s">
        <v>522</v>
      </c>
    </row>
    <row r="12" spans="1:18">
      <c r="B12" s="15">
        <v>1</v>
      </c>
      <c r="C12" s="15" t="s">
        <v>511</v>
      </c>
      <c r="D12" s="15" t="s">
        <v>526</v>
      </c>
      <c r="E12" s="15">
        <v>10</v>
      </c>
      <c r="F12" s="15">
        <v>0</v>
      </c>
      <c r="G12" s="15">
        <v>70</v>
      </c>
      <c r="H12" s="15" t="s">
        <v>534</v>
      </c>
      <c r="I12" s="15" t="s">
        <v>3027</v>
      </c>
      <c r="J12" s="15" t="s">
        <v>3027</v>
      </c>
      <c r="K12" s="15" t="s">
        <v>3027</v>
      </c>
      <c r="L12" s="15" t="s">
        <v>3027</v>
      </c>
      <c r="M12" s="15" t="s">
        <v>3027</v>
      </c>
      <c r="N12" s="15" t="s">
        <v>3027</v>
      </c>
      <c r="O12" s="75"/>
      <c r="P12" s="15" t="s">
        <v>522</v>
      </c>
      <c r="Q12" s="75"/>
      <c r="R12" s="15" t="s">
        <v>522</v>
      </c>
    </row>
    <row r="13" spans="1:18">
      <c r="B13" s="15">
        <v>1</v>
      </c>
      <c r="C13" s="15" t="s">
        <v>511</v>
      </c>
      <c r="D13" s="15" t="s">
        <v>526</v>
      </c>
      <c r="E13" s="15">
        <v>20</v>
      </c>
      <c r="F13" s="15">
        <v>0</v>
      </c>
      <c r="G13" s="15">
        <v>60</v>
      </c>
      <c r="H13" s="15" t="s">
        <v>534</v>
      </c>
      <c r="I13" s="15" t="s">
        <v>3027</v>
      </c>
      <c r="J13" s="15" t="s">
        <v>3027</v>
      </c>
      <c r="K13" s="15" t="s">
        <v>3027</v>
      </c>
      <c r="L13" s="15" t="s">
        <v>3027</v>
      </c>
      <c r="M13" s="15" t="s">
        <v>3027</v>
      </c>
      <c r="N13" s="15" t="s">
        <v>3027</v>
      </c>
      <c r="O13" s="75"/>
      <c r="P13" s="15" t="s">
        <v>522</v>
      </c>
      <c r="Q13" s="75"/>
      <c r="R13" s="15" t="s">
        <v>522</v>
      </c>
    </row>
    <row r="14" spans="1:18">
      <c r="B14" s="15">
        <v>1</v>
      </c>
      <c r="C14" s="15" t="s">
        <v>511</v>
      </c>
      <c r="D14" s="15" t="s">
        <v>526</v>
      </c>
      <c r="E14" s="15">
        <v>30</v>
      </c>
      <c r="F14" s="15">
        <v>0</v>
      </c>
      <c r="G14" s="15">
        <v>50</v>
      </c>
      <c r="H14" s="15" t="s">
        <v>534</v>
      </c>
      <c r="I14" s="15" t="s">
        <v>3027</v>
      </c>
      <c r="J14" s="15" t="s">
        <v>3027</v>
      </c>
      <c r="K14" s="15" t="s">
        <v>3027</v>
      </c>
      <c r="L14" s="15" t="s">
        <v>3027</v>
      </c>
      <c r="M14" s="15" t="s">
        <v>3027</v>
      </c>
      <c r="N14" s="15" t="s">
        <v>3027</v>
      </c>
      <c r="O14" s="75"/>
      <c r="P14" s="15" t="s">
        <v>522</v>
      </c>
      <c r="Q14" s="75"/>
      <c r="R14" s="15" t="s">
        <v>522</v>
      </c>
    </row>
    <row r="15" spans="1:18">
      <c r="B15" s="15">
        <v>1</v>
      </c>
      <c r="C15" s="15" t="s">
        <v>509</v>
      </c>
      <c r="D15" s="15" t="s">
        <v>526</v>
      </c>
      <c r="E15" s="15">
        <v>1</v>
      </c>
      <c r="F15" s="15">
        <v>0</v>
      </c>
      <c r="G15" s="15">
        <v>65</v>
      </c>
      <c r="H15" s="15" t="s">
        <v>534</v>
      </c>
      <c r="I15" s="15">
        <v>0</v>
      </c>
      <c r="J15" s="15">
        <v>65</v>
      </c>
      <c r="K15" s="15" t="s">
        <v>534</v>
      </c>
      <c r="L15" s="15">
        <v>0</v>
      </c>
      <c r="M15" s="15">
        <v>20</v>
      </c>
      <c r="N15" s="15" t="s">
        <v>534</v>
      </c>
      <c r="O15" s="75"/>
      <c r="P15" s="15" t="s">
        <v>522</v>
      </c>
      <c r="Q15" s="75"/>
      <c r="R15" s="15" t="s">
        <v>522</v>
      </c>
    </row>
    <row r="16" spans="1:18">
      <c r="B16" s="15">
        <v>1</v>
      </c>
      <c r="C16" s="15" t="s">
        <v>518</v>
      </c>
      <c r="D16" s="15" t="s">
        <v>526</v>
      </c>
      <c r="E16" s="15">
        <v>10</v>
      </c>
      <c r="F16" s="15">
        <v>0</v>
      </c>
      <c r="G16" s="15">
        <v>70</v>
      </c>
      <c r="H16" s="15" t="s">
        <v>534</v>
      </c>
      <c r="I16" s="15" t="s">
        <v>3027</v>
      </c>
      <c r="J16" s="15" t="s">
        <v>3027</v>
      </c>
      <c r="K16" s="15" t="s">
        <v>3027</v>
      </c>
      <c r="L16" s="15" t="s">
        <v>3027</v>
      </c>
      <c r="M16" s="15" t="s">
        <v>3027</v>
      </c>
      <c r="N16" s="15" t="s">
        <v>3027</v>
      </c>
      <c r="O16" s="75"/>
      <c r="P16" s="15" t="s">
        <v>522</v>
      </c>
      <c r="Q16" s="75"/>
      <c r="R16" s="15" t="s">
        <v>522</v>
      </c>
    </row>
    <row r="17" spans="2:18">
      <c r="B17" s="15">
        <v>1</v>
      </c>
      <c r="C17" s="15" t="s">
        <v>518</v>
      </c>
      <c r="D17" s="15" t="s">
        <v>526</v>
      </c>
      <c r="E17" s="15">
        <v>15</v>
      </c>
      <c r="F17" s="15">
        <v>0</v>
      </c>
      <c r="G17" s="15">
        <v>65</v>
      </c>
      <c r="H17" s="15" t="s">
        <v>534</v>
      </c>
      <c r="I17" s="15" t="s">
        <v>3027</v>
      </c>
      <c r="J17" s="15" t="s">
        <v>3027</v>
      </c>
      <c r="K17" s="15" t="s">
        <v>3027</v>
      </c>
      <c r="L17" s="15" t="s">
        <v>3027</v>
      </c>
      <c r="M17" s="15" t="s">
        <v>3027</v>
      </c>
      <c r="N17" s="15" t="s">
        <v>3027</v>
      </c>
      <c r="O17" s="75"/>
      <c r="P17" s="15" t="s">
        <v>522</v>
      </c>
      <c r="Q17" s="75"/>
      <c r="R17" s="15" t="s">
        <v>522</v>
      </c>
    </row>
    <row r="18" spans="2:18">
      <c r="B18" s="15">
        <v>1</v>
      </c>
      <c r="C18" s="15" t="s">
        <v>518</v>
      </c>
      <c r="D18" s="15" t="s">
        <v>526</v>
      </c>
      <c r="E18" s="15">
        <v>20</v>
      </c>
      <c r="F18" s="15">
        <v>0</v>
      </c>
      <c r="G18" s="15">
        <v>60</v>
      </c>
      <c r="H18" s="15" t="s">
        <v>534</v>
      </c>
      <c r="I18" s="15" t="s">
        <v>3027</v>
      </c>
      <c r="J18" s="15" t="s">
        <v>3027</v>
      </c>
      <c r="K18" s="15" t="s">
        <v>3027</v>
      </c>
      <c r="L18" s="15" t="s">
        <v>3027</v>
      </c>
      <c r="M18" s="15" t="s">
        <v>3027</v>
      </c>
      <c r="N18" s="15" t="s">
        <v>3027</v>
      </c>
      <c r="O18" s="75"/>
      <c r="P18" s="15" t="s">
        <v>522</v>
      </c>
      <c r="Q18" s="75"/>
      <c r="R18" s="15" t="s">
        <v>522</v>
      </c>
    </row>
    <row r="19" spans="2:18">
      <c r="B19" s="15">
        <v>1</v>
      </c>
      <c r="C19" s="15" t="s">
        <v>519</v>
      </c>
      <c r="D19" s="15" t="s">
        <v>526</v>
      </c>
      <c r="E19" s="15">
        <v>6</v>
      </c>
      <c r="F19" s="15">
        <v>0</v>
      </c>
      <c r="G19" s="15">
        <v>74</v>
      </c>
      <c r="H19" s="15" t="s">
        <v>534</v>
      </c>
      <c r="I19" s="15" t="s">
        <v>3027</v>
      </c>
      <c r="J19" s="15" t="s">
        <v>3027</v>
      </c>
      <c r="K19" s="15" t="s">
        <v>3027</v>
      </c>
      <c r="L19" s="15" t="s">
        <v>3027</v>
      </c>
      <c r="M19" s="15" t="s">
        <v>3027</v>
      </c>
      <c r="N19" s="15" t="s">
        <v>3027</v>
      </c>
      <c r="O19" s="75"/>
      <c r="P19" s="15" t="s">
        <v>522</v>
      </c>
      <c r="Q19" s="75"/>
      <c r="R19" s="15" t="s">
        <v>522</v>
      </c>
    </row>
    <row r="20" spans="2:18">
      <c r="B20" s="15">
        <v>1</v>
      </c>
      <c r="C20" s="15" t="s">
        <v>519</v>
      </c>
      <c r="D20" s="15" t="s">
        <v>526</v>
      </c>
      <c r="E20" s="15">
        <v>8</v>
      </c>
      <c r="F20" s="15">
        <v>0</v>
      </c>
      <c r="G20" s="15">
        <v>72</v>
      </c>
      <c r="H20" s="15" t="s">
        <v>534</v>
      </c>
      <c r="I20" s="15" t="s">
        <v>3027</v>
      </c>
      <c r="J20" s="15" t="s">
        <v>3027</v>
      </c>
      <c r="K20" s="15" t="s">
        <v>3027</v>
      </c>
      <c r="L20" s="15" t="s">
        <v>3027</v>
      </c>
      <c r="M20" s="15" t="s">
        <v>3027</v>
      </c>
      <c r="N20" s="15" t="s">
        <v>3027</v>
      </c>
      <c r="O20" s="75"/>
      <c r="P20" s="15" t="s">
        <v>522</v>
      </c>
      <c r="Q20" s="75"/>
      <c r="R20" s="15" t="s">
        <v>522</v>
      </c>
    </row>
    <row r="21" spans="2:18">
      <c r="B21" s="15">
        <v>1</v>
      </c>
      <c r="C21" s="15" t="s">
        <v>519</v>
      </c>
      <c r="D21" s="15" t="s">
        <v>526</v>
      </c>
      <c r="E21" s="15">
        <v>10</v>
      </c>
      <c r="F21" s="15">
        <v>0</v>
      </c>
      <c r="G21" s="15">
        <v>70</v>
      </c>
      <c r="H21" s="15" t="s">
        <v>534</v>
      </c>
      <c r="I21" s="15" t="s">
        <v>3027</v>
      </c>
      <c r="J21" s="15" t="s">
        <v>3027</v>
      </c>
      <c r="K21" s="15" t="s">
        <v>3027</v>
      </c>
      <c r="L21" s="15" t="s">
        <v>3027</v>
      </c>
      <c r="M21" s="15" t="s">
        <v>3027</v>
      </c>
      <c r="N21" s="15" t="s">
        <v>3027</v>
      </c>
      <c r="O21" s="75"/>
      <c r="P21" s="15" t="s">
        <v>522</v>
      </c>
      <c r="Q21" s="75"/>
      <c r="R21" s="15" t="s">
        <v>522</v>
      </c>
    </row>
    <row r="22" spans="2:18">
      <c r="B22" s="15">
        <v>1</v>
      </c>
      <c r="C22" s="15" t="s">
        <v>519</v>
      </c>
      <c r="D22" s="15" t="s">
        <v>526</v>
      </c>
      <c r="E22" s="15">
        <v>12</v>
      </c>
      <c r="F22" s="15">
        <v>0</v>
      </c>
      <c r="G22" s="15">
        <v>68</v>
      </c>
      <c r="H22" s="15" t="s">
        <v>534</v>
      </c>
      <c r="I22" s="15" t="s">
        <v>3027</v>
      </c>
      <c r="J22" s="15" t="s">
        <v>3027</v>
      </c>
      <c r="K22" s="15" t="s">
        <v>3027</v>
      </c>
      <c r="L22" s="15" t="s">
        <v>3027</v>
      </c>
      <c r="M22" s="15" t="s">
        <v>3027</v>
      </c>
      <c r="N22" s="15" t="s">
        <v>3027</v>
      </c>
      <c r="O22" s="75"/>
      <c r="P22" s="15" t="s">
        <v>522</v>
      </c>
      <c r="Q22" s="75"/>
      <c r="R22" s="15" t="s">
        <v>522</v>
      </c>
    </row>
    <row r="23" spans="2:18">
      <c r="B23" s="15">
        <v>1</v>
      </c>
      <c r="C23" s="15" t="s">
        <v>519</v>
      </c>
      <c r="D23" s="15" t="s">
        <v>526</v>
      </c>
      <c r="E23" s="15">
        <v>20</v>
      </c>
      <c r="F23" s="15">
        <v>0</v>
      </c>
      <c r="G23" s="15">
        <v>60</v>
      </c>
      <c r="H23" s="15" t="s">
        <v>534</v>
      </c>
      <c r="I23" s="15" t="s">
        <v>3027</v>
      </c>
      <c r="J23" s="15" t="s">
        <v>3027</v>
      </c>
      <c r="K23" s="15" t="s">
        <v>3027</v>
      </c>
      <c r="L23" s="15" t="s">
        <v>3027</v>
      </c>
      <c r="M23" s="15" t="s">
        <v>3027</v>
      </c>
      <c r="N23" s="15" t="s">
        <v>3027</v>
      </c>
      <c r="O23" s="75"/>
      <c r="P23" s="15" t="s">
        <v>522</v>
      </c>
      <c r="Q23" s="75"/>
      <c r="R23" s="15" t="s">
        <v>522</v>
      </c>
    </row>
    <row r="24" spans="2:18">
      <c r="B24" s="15">
        <v>1</v>
      </c>
      <c r="C24" s="15" t="s">
        <v>172</v>
      </c>
      <c r="D24" s="15" t="s">
        <v>526</v>
      </c>
      <c r="E24" s="15">
        <v>1</v>
      </c>
      <c r="F24" s="15">
        <v>15</v>
      </c>
      <c r="G24" s="15">
        <v>60</v>
      </c>
      <c r="H24" s="15" t="s">
        <v>534</v>
      </c>
      <c r="I24" s="15">
        <v>15</v>
      </c>
      <c r="J24" s="15">
        <v>60</v>
      </c>
      <c r="K24" s="15" t="s">
        <v>534</v>
      </c>
      <c r="L24" s="15" t="s">
        <v>3027</v>
      </c>
      <c r="M24" s="15" t="s">
        <v>3027</v>
      </c>
      <c r="N24" s="15" t="s">
        <v>3027</v>
      </c>
      <c r="O24" s="75"/>
      <c r="P24" s="15" t="s">
        <v>522</v>
      </c>
      <c r="Q24" s="75"/>
      <c r="R24" s="15" t="s">
        <v>522</v>
      </c>
    </row>
    <row r="25" spans="2:18">
      <c r="B25" s="15">
        <v>1</v>
      </c>
      <c r="C25" s="15" t="s">
        <v>173</v>
      </c>
      <c r="D25" s="15" t="s">
        <v>526</v>
      </c>
      <c r="E25" s="15">
        <v>1</v>
      </c>
      <c r="F25" s="15">
        <v>0</v>
      </c>
      <c r="G25" s="15">
        <v>60</v>
      </c>
      <c r="H25" s="15" t="s">
        <v>534</v>
      </c>
      <c r="I25" s="15">
        <v>0</v>
      </c>
      <c r="J25" s="15">
        <v>60</v>
      </c>
      <c r="K25" s="15" t="s">
        <v>534</v>
      </c>
      <c r="L25" s="15">
        <v>0</v>
      </c>
      <c r="M25" s="15">
        <v>60</v>
      </c>
      <c r="N25" s="15" t="s">
        <v>534</v>
      </c>
      <c r="O25" s="75"/>
      <c r="P25" s="15" t="s">
        <v>522</v>
      </c>
      <c r="Q25" s="75"/>
      <c r="R25" s="15" t="s">
        <v>522</v>
      </c>
    </row>
    <row r="26" spans="2:18">
      <c r="B26" s="15">
        <v>1</v>
      </c>
      <c r="C26" s="15" t="s">
        <v>505</v>
      </c>
      <c r="D26" s="15" t="s">
        <v>526</v>
      </c>
      <c r="E26" s="15">
        <v>1</v>
      </c>
      <c r="F26" s="15">
        <v>0</v>
      </c>
      <c r="G26" s="15">
        <v>65</v>
      </c>
      <c r="H26" s="15" t="s">
        <v>534</v>
      </c>
      <c r="I26" s="15">
        <v>0</v>
      </c>
      <c r="J26" s="15">
        <v>65</v>
      </c>
      <c r="K26" s="15" t="s">
        <v>534</v>
      </c>
      <c r="L26" s="15">
        <v>0</v>
      </c>
      <c r="M26" s="15">
        <v>20</v>
      </c>
      <c r="N26" s="15" t="s">
        <v>534</v>
      </c>
      <c r="O26" s="75"/>
      <c r="P26" s="15" t="s">
        <v>522</v>
      </c>
      <c r="Q26" s="75"/>
      <c r="R26" s="15" t="s">
        <v>522</v>
      </c>
    </row>
    <row r="27" spans="2:18">
      <c r="B27" s="15">
        <v>1</v>
      </c>
      <c r="C27" s="15" t="s">
        <v>503</v>
      </c>
      <c r="D27" s="15" t="s">
        <v>526</v>
      </c>
      <c r="E27" s="15">
        <v>6</v>
      </c>
      <c r="F27" s="15">
        <v>0</v>
      </c>
      <c r="G27" s="15">
        <v>70</v>
      </c>
      <c r="H27" s="15" t="s">
        <v>534</v>
      </c>
      <c r="I27" s="15" t="s">
        <v>3027</v>
      </c>
      <c r="J27" s="15" t="s">
        <v>3027</v>
      </c>
      <c r="K27" s="15" t="s">
        <v>3027</v>
      </c>
      <c r="L27" s="15" t="s">
        <v>3027</v>
      </c>
      <c r="M27" s="15" t="s">
        <v>3027</v>
      </c>
      <c r="N27" s="15" t="s">
        <v>3027</v>
      </c>
      <c r="O27" s="75"/>
      <c r="P27" s="15" t="s">
        <v>522</v>
      </c>
      <c r="Q27" s="75"/>
      <c r="R27" s="15" t="s">
        <v>522</v>
      </c>
    </row>
    <row r="28" spans="2:18">
      <c r="B28" s="15">
        <v>1</v>
      </c>
      <c r="C28" s="15" t="s">
        <v>503</v>
      </c>
      <c r="D28" s="15" t="s">
        <v>526</v>
      </c>
      <c r="E28" s="15">
        <v>10</v>
      </c>
      <c r="F28" s="15">
        <v>0</v>
      </c>
      <c r="G28" s="15">
        <v>65</v>
      </c>
      <c r="H28" s="15" t="s">
        <v>534</v>
      </c>
      <c r="I28" s="15" t="s">
        <v>3027</v>
      </c>
      <c r="J28" s="15" t="s">
        <v>3027</v>
      </c>
      <c r="K28" s="15" t="s">
        <v>3027</v>
      </c>
      <c r="L28" s="15" t="s">
        <v>3027</v>
      </c>
      <c r="M28" s="15" t="s">
        <v>3027</v>
      </c>
      <c r="N28" s="15" t="s">
        <v>3027</v>
      </c>
      <c r="O28" s="75"/>
      <c r="P28" s="15" t="s">
        <v>522</v>
      </c>
      <c r="Q28" s="75"/>
      <c r="R28" s="15" t="s">
        <v>522</v>
      </c>
    </row>
    <row r="29" spans="2:18">
      <c r="B29" s="15">
        <v>1</v>
      </c>
      <c r="C29" s="15" t="s">
        <v>503</v>
      </c>
      <c r="D29" s="15" t="s">
        <v>526</v>
      </c>
      <c r="E29" s="15">
        <v>20</v>
      </c>
      <c r="F29" s="15">
        <v>0</v>
      </c>
      <c r="G29" s="15">
        <v>55</v>
      </c>
      <c r="H29" s="15" t="s">
        <v>534</v>
      </c>
      <c r="I29" s="15" t="s">
        <v>3027</v>
      </c>
      <c r="J29" s="15" t="s">
        <v>3027</v>
      </c>
      <c r="K29" s="15" t="s">
        <v>3027</v>
      </c>
      <c r="L29" s="15" t="s">
        <v>3027</v>
      </c>
      <c r="M29" s="15" t="s">
        <v>3027</v>
      </c>
      <c r="N29" s="15" t="s">
        <v>3027</v>
      </c>
      <c r="O29" s="75"/>
      <c r="P29" s="15" t="s">
        <v>522</v>
      </c>
      <c r="Q29" s="75"/>
      <c r="R29" s="15" t="s">
        <v>522</v>
      </c>
    </row>
    <row r="30" spans="2:18">
      <c r="B30" s="15">
        <v>1</v>
      </c>
      <c r="C30" s="15" t="s">
        <v>512</v>
      </c>
      <c r="D30" s="15" t="s">
        <v>526</v>
      </c>
      <c r="E30" s="15">
        <v>1</v>
      </c>
      <c r="F30" s="15">
        <v>0</v>
      </c>
      <c r="G30" s="15">
        <v>65</v>
      </c>
      <c r="H30" s="15" t="s">
        <v>534</v>
      </c>
      <c r="I30" s="15">
        <v>14</v>
      </c>
      <c r="J30" s="15">
        <v>65</v>
      </c>
      <c r="K30" s="15" t="s">
        <v>539</v>
      </c>
      <c r="L30" s="15">
        <v>0</v>
      </c>
      <c r="M30" s="15">
        <v>20</v>
      </c>
      <c r="N30" s="15" t="s">
        <v>534</v>
      </c>
      <c r="O30" s="75"/>
      <c r="P30" s="15" t="s">
        <v>522</v>
      </c>
      <c r="Q30" s="75"/>
      <c r="R30" s="15" t="s">
        <v>522</v>
      </c>
    </row>
    <row r="31" spans="2:18">
      <c r="B31" s="15">
        <v>1</v>
      </c>
      <c r="C31" s="15" t="s">
        <v>174</v>
      </c>
      <c r="D31" s="15" t="s">
        <v>526</v>
      </c>
      <c r="E31" s="15">
        <v>1</v>
      </c>
      <c r="F31" s="15">
        <v>0</v>
      </c>
      <c r="G31" s="15">
        <v>65</v>
      </c>
      <c r="H31" s="15" t="s">
        <v>534</v>
      </c>
      <c r="I31" s="15">
        <v>0</v>
      </c>
      <c r="J31" s="15">
        <v>65</v>
      </c>
      <c r="K31" s="15" t="s">
        <v>534</v>
      </c>
      <c r="L31" s="15">
        <v>0</v>
      </c>
      <c r="M31" s="15">
        <v>20</v>
      </c>
      <c r="N31" s="15" t="s">
        <v>534</v>
      </c>
      <c r="O31" s="75"/>
      <c r="P31" s="15" t="s">
        <v>522</v>
      </c>
      <c r="Q31" s="75"/>
      <c r="R31" s="15" t="s">
        <v>522</v>
      </c>
    </row>
    <row r="32" spans="2:18">
      <c r="B32" s="15">
        <v>1</v>
      </c>
      <c r="C32" s="15" t="s">
        <v>502</v>
      </c>
      <c r="D32" s="15" t="s">
        <v>526</v>
      </c>
      <c r="E32" s="15">
        <v>1</v>
      </c>
      <c r="F32" s="15">
        <v>0</v>
      </c>
      <c r="G32" s="15">
        <v>65</v>
      </c>
      <c r="H32" s="15" t="s">
        <v>534</v>
      </c>
      <c r="I32" s="15">
        <v>14</v>
      </c>
      <c r="J32" s="15">
        <v>65</v>
      </c>
      <c r="K32" s="15" t="s">
        <v>539</v>
      </c>
      <c r="L32" s="15">
        <v>0</v>
      </c>
      <c r="M32" s="15">
        <v>20</v>
      </c>
      <c r="N32" s="15" t="s">
        <v>534</v>
      </c>
      <c r="O32" s="75"/>
      <c r="P32" s="15" t="s">
        <v>522</v>
      </c>
      <c r="Q32" s="75"/>
      <c r="R32" s="15" t="s">
        <v>522</v>
      </c>
    </row>
    <row r="33" spans="2:18">
      <c r="B33" s="15">
        <v>1</v>
      </c>
      <c r="C33" s="15" t="s">
        <v>513</v>
      </c>
      <c r="D33" s="15" t="s">
        <v>526</v>
      </c>
      <c r="E33" s="15">
        <v>1</v>
      </c>
      <c r="F33" s="15">
        <v>0</v>
      </c>
      <c r="G33" s="15">
        <v>70</v>
      </c>
      <c r="H33" s="15" t="s">
        <v>534</v>
      </c>
      <c r="I33" s="15">
        <v>14</v>
      </c>
      <c r="J33" s="15">
        <v>70</v>
      </c>
      <c r="K33" s="15" t="s">
        <v>539</v>
      </c>
      <c r="L33" s="15">
        <v>0</v>
      </c>
      <c r="M33" s="15">
        <v>25</v>
      </c>
      <c r="N33" s="15" t="s">
        <v>534</v>
      </c>
      <c r="O33" s="75"/>
      <c r="P33" s="15" t="s">
        <v>522</v>
      </c>
      <c r="Q33" s="75"/>
      <c r="R33" s="15" t="s">
        <v>522</v>
      </c>
    </row>
    <row r="34" spans="2:18">
      <c r="B34" s="15">
        <v>1</v>
      </c>
      <c r="C34" s="15" t="s">
        <v>527</v>
      </c>
      <c r="D34" s="15" t="s">
        <v>526</v>
      </c>
      <c r="E34" s="15">
        <v>10</v>
      </c>
      <c r="F34" s="15">
        <v>0</v>
      </c>
      <c r="G34" s="15">
        <v>65</v>
      </c>
      <c r="H34" s="15" t="s">
        <v>534</v>
      </c>
      <c r="I34" s="15" t="s">
        <v>3027</v>
      </c>
      <c r="J34" s="15" t="s">
        <v>3027</v>
      </c>
      <c r="K34" s="15" t="s">
        <v>3027</v>
      </c>
      <c r="L34" s="15" t="s">
        <v>3027</v>
      </c>
      <c r="M34" s="15" t="s">
        <v>3027</v>
      </c>
      <c r="N34" s="15" t="s">
        <v>3027</v>
      </c>
      <c r="O34" s="75"/>
      <c r="P34" s="15" t="s">
        <v>522</v>
      </c>
      <c r="Q34" s="75"/>
      <c r="R34" s="15" t="s">
        <v>522</v>
      </c>
    </row>
    <row r="35" spans="2:18">
      <c r="B35" s="15">
        <v>1</v>
      </c>
      <c r="C35" s="15" t="s">
        <v>527</v>
      </c>
      <c r="D35" s="15" t="s">
        <v>526</v>
      </c>
      <c r="E35" s="15">
        <v>20</v>
      </c>
      <c r="F35" s="15">
        <v>0</v>
      </c>
      <c r="G35" s="15">
        <v>55</v>
      </c>
      <c r="H35" s="15" t="s">
        <v>534</v>
      </c>
      <c r="I35" s="15" t="s">
        <v>3027</v>
      </c>
      <c r="J35" s="15" t="s">
        <v>3027</v>
      </c>
      <c r="K35" s="15" t="s">
        <v>3027</v>
      </c>
      <c r="L35" s="15" t="s">
        <v>3027</v>
      </c>
      <c r="M35" s="15" t="s">
        <v>3027</v>
      </c>
      <c r="N35" s="15" t="s">
        <v>3027</v>
      </c>
      <c r="O35" s="75"/>
      <c r="P35" s="15" t="s">
        <v>522</v>
      </c>
      <c r="Q35" s="75"/>
      <c r="R35" s="15" t="s">
        <v>522</v>
      </c>
    </row>
    <row r="36" spans="2:18">
      <c r="B36" s="15">
        <v>1</v>
      </c>
      <c r="C36" s="15" t="s">
        <v>527</v>
      </c>
      <c r="D36" s="15" t="s">
        <v>526</v>
      </c>
      <c r="E36" s="15">
        <v>30</v>
      </c>
      <c r="F36" s="15">
        <v>0</v>
      </c>
      <c r="G36" s="15">
        <v>45</v>
      </c>
      <c r="H36" s="15" t="s">
        <v>534</v>
      </c>
      <c r="I36" s="15" t="s">
        <v>3027</v>
      </c>
      <c r="J36" s="15" t="s">
        <v>3027</v>
      </c>
      <c r="K36" s="15" t="s">
        <v>3027</v>
      </c>
      <c r="L36" s="15" t="s">
        <v>3027</v>
      </c>
      <c r="M36" s="15" t="s">
        <v>3027</v>
      </c>
      <c r="N36" s="15" t="s">
        <v>3027</v>
      </c>
      <c r="O36" s="75"/>
      <c r="P36" s="15" t="s">
        <v>522</v>
      </c>
      <c r="Q36" s="75"/>
      <c r="R36" s="15" t="s">
        <v>522</v>
      </c>
    </row>
    <row r="37" spans="2:18">
      <c r="B37" s="15">
        <v>1</v>
      </c>
      <c r="C37" s="15" t="s">
        <v>506</v>
      </c>
      <c r="D37" s="15" t="s">
        <v>526</v>
      </c>
      <c r="E37" s="15">
        <v>1</v>
      </c>
      <c r="F37" s="15">
        <v>0</v>
      </c>
      <c r="G37" s="15">
        <v>65</v>
      </c>
      <c r="H37" s="15" t="s">
        <v>534</v>
      </c>
      <c r="I37" s="15">
        <v>0</v>
      </c>
      <c r="J37" s="15">
        <v>65</v>
      </c>
      <c r="K37" s="15" t="s">
        <v>534</v>
      </c>
      <c r="L37" s="15">
        <v>0</v>
      </c>
      <c r="M37" s="15">
        <v>20</v>
      </c>
      <c r="N37" s="15" t="s">
        <v>534</v>
      </c>
      <c r="O37" s="75"/>
      <c r="P37" s="15" t="s">
        <v>522</v>
      </c>
      <c r="Q37" s="75"/>
      <c r="R37" s="15" t="s">
        <v>522</v>
      </c>
    </row>
    <row r="38" spans="2:18">
      <c r="B38" s="15">
        <v>1</v>
      </c>
      <c r="C38" s="15" t="s">
        <v>504</v>
      </c>
      <c r="D38" s="15" t="s">
        <v>526</v>
      </c>
      <c r="E38" s="15">
        <v>10</v>
      </c>
      <c r="F38" s="15">
        <v>30</v>
      </c>
      <c r="G38" s="15">
        <v>70</v>
      </c>
      <c r="H38" s="15" t="s">
        <v>534</v>
      </c>
      <c r="I38" s="15" t="s">
        <v>3027</v>
      </c>
      <c r="J38" s="15" t="s">
        <v>3027</v>
      </c>
      <c r="K38" s="15" t="s">
        <v>3027</v>
      </c>
      <c r="L38" s="15" t="s">
        <v>3027</v>
      </c>
      <c r="M38" s="15" t="s">
        <v>3027</v>
      </c>
      <c r="N38" s="15" t="s">
        <v>3027</v>
      </c>
      <c r="O38" s="75"/>
      <c r="P38" s="15" t="s">
        <v>522</v>
      </c>
      <c r="Q38" s="75"/>
      <c r="R38" s="15" t="s">
        <v>522</v>
      </c>
    </row>
    <row r="39" spans="2:18">
      <c r="B39" s="15">
        <v>1</v>
      </c>
      <c r="C39" s="15" t="s">
        <v>504</v>
      </c>
      <c r="D39" s="15" t="s">
        <v>526</v>
      </c>
      <c r="E39" s="15">
        <v>20</v>
      </c>
      <c r="F39" s="15">
        <v>20</v>
      </c>
      <c r="G39" s="15">
        <v>60</v>
      </c>
      <c r="H39" s="15" t="s">
        <v>534</v>
      </c>
      <c r="I39" s="15" t="s">
        <v>3027</v>
      </c>
      <c r="J39" s="15" t="s">
        <v>3027</v>
      </c>
      <c r="K39" s="15" t="s">
        <v>3027</v>
      </c>
      <c r="L39" s="15" t="s">
        <v>3027</v>
      </c>
      <c r="M39" s="15" t="s">
        <v>3027</v>
      </c>
      <c r="N39" s="15" t="s">
        <v>3027</v>
      </c>
      <c r="O39" s="75"/>
      <c r="P39" s="15" t="s">
        <v>522</v>
      </c>
      <c r="Q39" s="75"/>
      <c r="R39" s="15" t="s">
        <v>522</v>
      </c>
    </row>
    <row r="40" spans="2:18">
      <c r="B40" s="15">
        <v>1</v>
      </c>
      <c r="C40" s="15" t="s">
        <v>504</v>
      </c>
      <c r="D40" s="15" t="s">
        <v>526</v>
      </c>
      <c r="E40" s="15">
        <v>30</v>
      </c>
      <c r="F40" s="15">
        <v>15</v>
      </c>
      <c r="G40" s="15">
        <v>50</v>
      </c>
      <c r="H40" s="15" t="s">
        <v>539</v>
      </c>
      <c r="I40" s="15" t="s">
        <v>3027</v>
      </c>
      <c r="J40" s="15" t="s">
        <v>3027</v>
      </c>
      <c r="K40" s="15" t="s">
        <v>3027</v>
      </c>
      <c r="L40" s="15" t="s">
        <v>3027</v>
      </c>
      <c r="M40" s="15" t="s">
        <v>3027</v>
      </c>
      <c r="N40" s="15" t="s">
        <v>3027</v>
      </c>
      <c r="O40" s="75"/>
      <c r="P40" s="15" t="s">
        <v>522</v>
      </c>
      <c r="Q40" s="75"/>
      <c r="R40" s="15" t="s">
        <v>522</v>
      </c>
    </row>
    <row r="41" spans="2:18">
      <c r="B41" s="15">
        <v>1</v>
      </c>
      <c r="C41" s="15" t="s">
        <v>514</v>
      </c>
      <c r="D41" s="15" t="s">
        <v>526</v>
      </c>
      <c r="E41" s="15">
        <v>5</v>
      </c>
      <c r="F41" s="15">
        <v>15</v>
      </c>
      <c r="G41" s="15">
        <v>80</v>
      </c>
      <c r="H41" s="15" t="s">
        <v>539</v>
      </c>
      <c r="I41" s="15" t="s">
        <v>3027</v>
      </c>
      <c r="J41" s="15" t="s">
        <v>3027</v>
      </c>
      <c r="K41" s="15" t="s">
        <v>3027</v>
      </c>
      <c r="L41" s="15" t="s">
        <v>3027</v>
      </c>
      <c r="M41" s="15" t="s">
        <v>3027</v>
      </c>
      <c r="N41" s="15" t="s">
        <v>3027</v>
      </c>
      <c r="O41" s="75"/>
      <c r="P41" s="15" t="s">
        <v>522</v>
      </c>
      <c r="Q41" s="75"/>
      <c r="R41" s="15" t="s">
        <v>522</v>
      </c>
    </row>
    <row r="42" spans="2:18">
      <c r="B42" s="15">
        <v>1</v>
      </c>
      <c r="C42" s="15" t="s">
        <v>514</v>
      </c>
      <c r="D42" s="15" t="s">
        <v>526</v>
      </c>
      <c r="E42" s="15">
        <v>6</v>
      </c>
      <c r="F42" s="15">
        <v>15</v>
      </c>
      <c r="G42" s="15">
        <v>79</v>
      </c>
      <c r="H42" s="15" t="s">
        <v>539</v>
      </c>
      <c r="I42" s="15" t="s">
        <v>3027</v>
      </c>
      <c r="J42" s="15" t="s">
        <v>3027</v>
      </c>
      <c r="K42" s="15" t="s">
        <v>3027</v>
      </c>
      <c r="L42" s="15" t="s">
        <v>3027</v>
      </c>
      <c r="M42" s="15" t="s">
        <v>3027</v>
      </c>
      <c r="N42" s="15" t="s">
        <v>3027</v>
      </c>
      <c r="O42" s="75"/>
      <c r="P42" s="15" t="s">
        <v>522</v>
      </c>
      <c r="Q42" s="75"/>
      <c r="R42" s="15" t="s">
        <v>522</v>
      </c>
    </row>
    <row r="43" spans="2:18">
      <c r="B43" s="15">
        <v>1</v>
      </c>
      <c r="C43" s="15" t="s">
        <v>514</v>
      </c>
      <c r="D43" s="15" t="s">
        <v>526</v>
      </c>
      <c r="E43" s="15">
        <v>7</v>
      </c>
      <c r="F43" s="15">
        <v>15</v>
      </c>
      <c r="G43" s="15">
        <v>78</v>
      </c>
      <c r="H43" s="15" t="s">
        <v>539</v>
      </c>
      <c r="I43" s="15" t="s">
        <v>3027</v>
      </c>
      <c r="J43" s="15" t="s">
        <v>3027</v>
      </c>
      <c r="K43" s="15" t="s">
        <v>3027</v>
      </c>
      <c r="L43" s="15" t="s">
        <v>3027</v>
      </c>
      <c r="M43" s="15" t="s">
        <v>3027</v>
      </c>
      <c r="N43" s="15" t="s">
        <v>3027</v>
      </c>
      <c r="O43" s="75"/>
      <c r="P43" s="15" t="s">
        <v>522</v>
      </c>
      <c r="Q43" s="75"/>
      <c r="R43" s="15" t="s">
        <v>522</v>
      </c>
    </row>
    <row r="44" spans="2:18">
      <c r="B44" s="15">
        <v>1</v>
      </c>
      <c r="C44" s="15" t="s">
        <v>514</v>
      </c>
      <c r="D44" s="15" t="s">
        <v>526</v>
      </c>
      <c r="E44" s="15">
        <v>8</v>
      </c>
      <c r="F44" s="15">
        <v>15</v>
      </c>
      <c r="G44" s="15">
        <v>77</v>
      </c>
      <c r="H44" s="15" t="s">
        <v>539</v>
      </c>
      <c r="I44" s="15" t="s">
        <v>3027</v>
      </c>
      <c r="J44" s="15" t="s">
        <v>3027</v>
      </c>
      <c r="K44" s="15" t="s">
        <v>3027</v>
      </c>
      <c r="L44" s="15" t="s">
        <v>3027</v>
      </c>
      <c r="M44" s="15" t="s">
        <v>3027</v>
      </c>
      <c r="N44" s="15" t="s">
        <v>3027</v>
      </c>
      <c r="O44" s="75"/>
      <c r="P44" s="15" t="s">
        <v>522</v>
      </c>
      <c r="Q44" s="75"/>
      <c r="R44" s="15" t="s">
        <v>522</v>
      </c>
    </row>
    <row r="45" spans="2:18">
      <c r="B45" s="15">
        <v>1</v>
      </c>
      <c r="C45" s="15" t="s">
        <v>514</v>
      </c>
      <c r="D45" s="15" t="s">
        <v>526</v>
      </c>
      <c r="E45" s="15">
        <v>9</v>
      </c>
      <c r="F45" s="15">
        <v>15</v>
      </c>
      <c r="G45" s="15">
        <v>76</v>
      </c>
      <c r="H45" s="15" t="s">
        <v>539</v>
      </c>
      <c r="I45" s="15" t="s">
        <v>3027</v>
      </c>
      <c r="J45" s="15" t="s">
        <v>3027</v>
      </c>
      <c r="K45" s="15" t="s">
        <v>3027</v>
      </c>
      <c r="L45" s="15" t="s">
        <v>3027</v>
      </c>
      <c r="M45" s="15" t="s">
        <v>3027</v>
      </c>
      <c r="N45" s="15" t="s">
        <v>3027</v>
      </c>
      <c r="O45" s="75"/>
      <c r="P45" s="15" t="s">
        <v>522</v>
      </c>
      <c r="Q45" s="75"/>
      <c r="R45" s="15" t="s">
        <v>522</v>
      </c>
    </row>
    <row r="46" spans="2:18">
      <c r="B46" s="15">
        <v>1</v>
      </c>
      <c r="C46" s="15" t="s">
        <v>514</v>
      </c>
      <c r="D46" s="15" t="s">
        <v>526</v>
      </c>
      <c r="E46" s="15">
        <v>10</v>
      </c>
      <c r="F46" s="15">
        <v>15</v>
      </c>
      <c r="G46" s="15">
        <v>75</v>
      </c>
      <c r="H46" s="15" t="s">
        <v>539</v>
      </c>
      <c r="I46" s="15" t="s">
        <v>3027</v>
      </c>
      <c r="J46" s="15" t="s">
        <v>3027</v>
      </c>
      <c r="K46" s="15" t="s">
        <v>3027</v>
      </c>
      <c r="L46" s="15" t="s">
        <v>3027</v>
      </c>
      <c r="M46" s="15" t="s">
        <v>3027</v>
      </c>
      <c r="N46" s="15" t="s">
        <v>3027</v>
      </c>
      <c r="O46" s="75"/>
      <c r="P46" s="15" t="s">
        <v>522</v>
      </c>
      <c r="Q46" s="75"/>
      <c r="R46" s="15" t="s">
        <v>522</v>
      </c>
    </row>
    <row r="47" spans="2:18">
      <c r="B47" s="15">
        <v>1</v>
      </c>
      <c r="C47" s="15" t="s">
        <v>514</v>
      </c>
      <c r="D47" s="15" t="s">
        <v>526</v>
      </c>
      <c r="E47" s="15">
        <v>11</v>
      </c>
      <c r="F47" s="15">
        <v>15</v>
      </c>
      <c r="G47" s="15">
        <v>74</v>
      </c>
      <c r="H47" s="15" t="s">
        <v>539</v>
      </c>
      <c r="I47" s="15" t="s">
        <v>3027</v>
      </c>
      <c r="J47" s="15" t="s">
        <v>3027</v>
      </c>
      <c r="K47" s="15" t="s">
        <v>3027</v>
      </c>
      <c r="L47" s="15" t="s">
        <v>3027</v>
      </c>
      <c r="M47" s="15" t="s">
        <v>3027</v>
      </c>
      <c r="N47" s="15" t="s">
        <v>3027</v>
      </c>
      <c r="O47" s="75"/>
      <c r="P47" s="15" t="s">
        <v>522</v>
      </c>
      <c r="Q47" s="75"/>
      <c r="R47" s="15" t="s">
        <v>522</v>
      </c>
    </row>
    <row r="48" spans="2:18">
      <c r="B48" s="15">
        <v>1</v>
      </c>
      <c r="C48" s="15" t="s">
        <v>514</v>
      </c>
      <c r="D48" s="15" t="s">
        <v>526</v>
      </c>
      <c r="E48" s="15">
        <v>12</v>
      </c>
      <c r="F48" s="15">
        <v>15</v>
      </c>
      <c r="G48" s="15">
        <v>73</v>
      </c>
      <c r="H48" s="15" t="s">
        <v>539</v>
      </c>
      <c r="I48" s="15" t="s">
        <v>3027</v>
      </c>
      <c r="J48" s="15" t="s">
        <v>3027</v>
      </c>
      <c r="K48" s="15" t="s">
        <v>3027</v>
      </c>
      <c r="L48" s="15" t="s">
        <v>3027</v>
      </c>
      <c r="M48" s="15" t="s">
        <v>3027</v>
      </c>
      <c r="N48" s="15" t="s">
        <v>3027</v>
      </c>
      <c r="O48" s="75"/>
      <c r="P48" s="15" t="s">
        <v>522</v>
      </c>
      <c r="Q48" s="75"/>
      <c r="R48" s="15" t="s">
        <v>522</v>
      </c>
    </row>
    <row r="49" spans="2:18">
      <c r="B49" s="15">
        <v>1</v>
      </c>
      <c r="C49" s="15" t="s">
        <v>514</v>
      </c>
      <c r="D49" s="15" t="s">
        <v>526</v>
      </c>
      <c r="E49" s="15">
        <v>13</v>
      </c>
      <c r="F49" s="15">
        <v>15</v>
      </c>
      <c r="G49" s="15">
        <v>72</v>
      </c>
      <c r="H49" s="15" t="s">
        <v>539</v>
      </c>
      <c r="I49" s="15" t="s">
        <v>3027</v>
      </c>
      <c r="J49" s="15" t="s">
        <v>3027</v>
      </c>
      <c r="K49" s="15" t="s">
        <v>3027</v>
      </c>
      <c r="L49" s="15" t="s">
        <v>3027</v>
      </c>
      <c r="M49" s="15" t="s">
        <v>3027</v>
      </c>
      <c r="N49" s="15" t="s">
        <v>3027</v>
      </c>
      <c r="O49" s="75"/>
      <c r="P49" s="15" t="s">
        <v>522</v>
      </c>
      <c r="Q49" s="75"/>
      <c r="R49" s="15" t="s">
        <v>522</v>
      </c>
    </row>
    <row r="50" spans="2:18">
      <c r="B50" s="15">
        <v>1</v>
      </c>
      <c r="C50" s="15" t="s">
        <v>514</v>
      </c>
      <c r="D50" s="15" t="s">
        <v>526</v>
      </c>
      <c r="E50" s="15">
        <v>14</v>
      </c>
      <c r="F50" s="15">
        <v>15</v>
      </c>
      <c r="G50" s="15">
        <v>71</v>
      </c>
      <c r="H50" s="15" t="s">
        <v>539</v>
      </c>
      <c r="I50" s="15" t="s">
        <v>3027</v>
      </c>
      <c r="J50" s="15" t="s">
        <v>3027</v>
      </c>
      <c r="K50" s="15" t="s">
        <v>3027</v>
      </c>
      <c r="L50" s="15" t="s">
        <v>3027</v>
      </c>
      <c r="M50" s="15" t="s">
        <v>3027</v>
      </c>
      <c r="N50" s="15" t="s">
        <v>3027</v>
      </c>
      <c r="O50" s="75"/>
      <c r="P50" s="15" t="s">
        <v>522</v>
      </c>
      <c r="Q50" s="75"/>
      <c r="R50" s="15" t="s">
        <v>522</v>
      </c>
    </row>
    <row r="51" spans="2:18">
      <c r="B51" s="15">
        <v>1</v>
      </c>
      <c r="C51" s="15" t="s">
        <v>514</v>
      </c>
      <c r="D51" s="15" t="s">
        <v>526</v>
      </c>
      <c r="E51" s="15">
        <v>15</v>
      </c>
      <c r="F51" s="15">
        <v>15</v>
      </c>
      <c r="G51" s="15">
        <v>70</v>
      </c>
      <c r="H51" s="15" t="s">
        <v>539</v>
      </c>
      <c r="I51" s="15" t="s">
        <v>3027</v>
      </c>
      <c r="J51" s="15" t="s">
        <v>3027</v>
      </c>
      <c r="K51" s="15" t="s">
        <v>3027</v>
      </c>
      <c r="L51" s="15" t="s">
        <v>3027</v>
      </c>
      <c r="M51" s="15" t="s">
        <v>3027</v>
      </c>
      <c r="N51" s="15" t="s">
        <v>3027</v>
      </c>
      <c r="O51" s="75"/>
      <c r="P51" s="15" t="s">
        <v>522</v>
      </c>
      <c r="Q51" s="75"/>
      <c r="R51" s="15" t="s">
        <v>522</v>
      </c>
    </row>
    <row r="52" spans="2:18">
      <c r="B52" s="15">
        <v>1</v>
      </c>
      <c r="C52" s="15" t="s">
        <v>514</v>
      </c>
      <c r="D52" s="15" t="s">
        <v>526</v>
      </c>
      <c r="E52" s="15">
        <v>16</v>
      </c>
      <c r="F52" s="15">
        <v>15</v>
      </c>
      <c r="G52" s="15">
        <v>69</v>
      </c>
      <c r="H52" s="15" t="s">
        <v>539</v>
      </c>
      <c r="I52" s="15" t="s">
        <v>3027</v>
      </c>
      <c r="J52" s="15" t="s">
        <v>3027</v>
      </c>
      <c r="K52" s="15" t="s">
        <v>3027</v>
      </c>
      <c r="L52" s="15" t="s">
        <v>3027</v>
      </c>
      <c r="M52" s="15" t="s">
        <v>3027</v>
      </c>
      <c r="N52" s="15" t="s">
        <v>3027</v>
      </c>
      <c r="O52" s="75"/>
      <c r="P52" s="15" t="s">
        <v>522</v>
      </c>
      <c r="Q52" s="75"/>
      <c r="R52" s="15" t="s">
        <v>522</v>
      </c>
    </row>
    <row r="53" spans="2:18">
      <c r="B53" s="15">
        <v>1</v>
      </c>
      <c r="C53" s="15" t="s">
        <v>514</v>
      </c>
      <c r="D53" s="15" t="s">
        <v>526</v>
      </c>
      <c r="E53" s="15">
        <v>17</v>
      </c>
      <c r="F53" s="15">
        <v>15</v>
      </c>
      <c r="G53" s="15">
        <v>68</v>
      </c>
      <c r="H53" s="15" t="s">
        <v>539</v>
      </c>
      <c r="I53" s="15" t="s">
        <v>3027</v>
      </c>
      <c r="J53" s="15" t="s">
        <v>3027</v>
      </c>
      <c r="K53" s="15" t="s">
        <v>3027</v>
      </c>
      <c r="L53" s="15" t="s">
        <v>3027</v>
      </c>
      <c r="M53" s="15" t="s">
        <v>3027</v>
      </c>
      <c r="N53" s="15" t="s">
        <v>3027</v>
      </c>
      <c r="O53" s="75"/>
      <c r="P53" s="15" t="s">
        <v>522</v>
      </c>
      <c r="Q53" s="75"/>
      <c r="R53" s="15" t="s">
        <v>522</v>
      </c>
    </row>
    <row r="54" spans="2:18">
      <c r="B54" s="15">
        <v>1</v>
      </c>
      <c r="C54" s="15" t="s">
        <v>514</v>
      </c>
      <c r="D54" s="15" t="s">
        <v>526</v>
      </c>
      <c r="E54" s="15">
        <v>18</v>
      </c>
      <c r="F54" s="15">
        <v>15</v>
      </c>
      <c r="G54" s="15">
        <v>67</v>
      </c>
      <c r="H54" s="15" t="s">
        <v>539</v>
      </c>
      <c r="I54" s="15" t="s">
        <v>3027</v>
      </c>
      <c r="J54" s="15" t="s">
        <v>3027</v>
      </c>
      <c r="K54" s="15" t="s">
        <v>3027</v>
      </c>
      <c r="L54" s="15" t="s">
        <v>3027</v>
      </c>
      <c r="M54" s="15" t="s">
        <v>3027</v>
      </c>
      <c r="N54" s="15" t="s">
        <v>3027</v>
      </c>
      <c r="O54" s="75"/>
      <c r="P54" s="15" t="s">
        <v>522</v>
      </c>
      <c r="Q54" s="75"/>
      <c r="R54" s="15" t="s">
        <v>522</v>
      </c>
    </row>
    <row r="55" spans="2:18">
      <c r="B55" s="15">
        <v>1</v>
      </c>
      <c r="C55" s="15" t="s">
        <v>514</v>
      </c>
      <c r="D55" s="15" t="s">
        <v>526</v>
      </c>
      <c r="E55" s="15">
        <v>19</v>
      </c>
      <c r="F55" s="15">
        <v>15</v>
      </c>
      <c r="G55" s="15">
        <v>66</v>
      </c>
      <c r="H55" s="15" t="s">
        <v>539</v>
      </c>
      <c r="I55" s="15" t="s">
        <v>3027</v>
      </c>
      <c r="J55" s="15" t="s">
        <v>3027</v>
      </c>
      <c r="K55" s="15" t="s">
        <v>3027</v>
      </c>
      <c r="L55" s="15" t="s">
        <v>3027</v>
      </c>
      <c r="M55" s="15" t="s">
        <v>3027</v>
      </c>
      <c r="N55" s="15" t="s">
        <v>3027</v>
      </c>
      <c r="O55" s="75"/>
      <c r="P55" s="15" t="s">
        <v>522</v>
      </c>
      <c r="Q55" s="75"/>
      <c r="R55" s="15" t="s">
        <v>522</v>
      </c>
    </row>
    <row r="56" spans="2:18">
      <c r="B56" s="15">
        <v>1</v>
      </c>
      <c r="C56" s="15" t="s">
        <v>514</v>
      </c>
      <c r="D56" s="15" t="s">
        <v>526</v>
      </c>
      <c r="E56" s="15">
        <v>20</v>
      </c>
      <c r="F56" s="15">
        <v>15</v>
      </c>
      <c r="G56" s="15">
        <v>65</v>
      </c>
      <c r="H56" s="15" t="s">
        <v>539</v>
      </c>
      <c r="I56" s="15" t="s">
        <v>3027</v>
      </c>
      <c r="J56" s="15" t="s">
        <v>3027</v>
      </c>
      <c r="K56" s="15" t="s">
        <v>3027</v>
      </c>
      <c r="L56" s="15" t="s">
        <v>3027</v>
      </c>
      <c r="M56" s="15" t="s">
        <v>3027</v>
      </c>
      <c r="N56" s="15" t="s">
        <v>3027</v>
      </c>
      <c r="O56" s="75"/>
      <c r="P56" s="15" t="s">
        <v>522</v>
      </c>
      <c r="Q56" s="75"/>
      <c r="R56" s="15" t="s">
        <v>522</v>
      </c>
    </row>
    <row r="57" spans="2:18">
      <c r="B57" s="15">
        <v>1</v>
      </c>
      <c r="C57" s="15" t="s">
        <v>514</v>
      </c>
      <c r="D57" s="15" t="s">
        <v>526</v>
      </c>
      <c r="E57" s="15">
        <v>21</v>
      </c>
      <c r="F57" s="15">
        <v>15</v>
      </c>
      <c r="G57" s="15">
        <v>64</v>
      </c>
      <c r="H57" s="15" t="s">
        <v>539</v>
      </c>
      <c r="I57" s="15" t="s">
        <v>3027</v>
      </c>
      <c r="J57" s="15" t="s">
        <v>3027</v>
      </c>
      <c r="K57" s="15" t="s">
        <v>3027</v>
      </c>
      <c r="L57" s="15" t="s">
        <v>3027</v>
      </c>
      <c r="M57" s="15" t="s">
        <v>3027</v>
      </c>
      <c r="N57" s="15" t="s">
        <v>3027</v>
      </c>
      <c r="O57" s="75"/>
      <c r="P57" s="15" t="s">
        <v>522</v>
      </c>
      <c r="Q57" s="75"/>
      <c r="R57" s="15" t="s">
        <v>522</v>
      </c>
    </row>
    <row r="58" spans="2:18">
      <c r="B58" s="15">
        <v>1</v>
      </c>
      <c r="C58" s="15" t="s">
        <v>514</v>
      </c>
      <c r="D58" s="15" t="s">
        <v>526</v>
      </c>
      <c r="E58" s="15">
        <v>22</v>
      </c>
      <c r="F58" s="15">
        <v>15</v>
      </c>
      <c r="G58" s="15">
        <v>63</v>
      </c>
      <c r="H58" s="15" t="s">
        <v>539</v>
      </c>
      <c r="I58" s="15" t="s">
        <v>3027</v>
      </c>
      <c r="J58" s="15" t="s">
        <v>3027</v>
      </c>
      <c r="K58" s="15" t="s">
        <v>3027</v>
      </c>
      <c r="L58" s="15" t="s">
        <v>3027</v>
      </c>
      <c r="M58" s="15" t="s">
        <v>3027</v>
      </c>
      <c r="N58" s="15" t="s">
        <v>3027</v>
      </c>
      <c r="O58" s="75"/>
      <c r="P58" s="15" t="s">
        <v>522</v>
      </c>
      <c r="Q58" s="75"/>
      <c r="R58" s="15" t="s">
        <v>522</v>
      </c>
    </row>
    <row r="59" spans="2:18">
      <c r="B59" s="15">
        <v>1</v>
      </c>
      <c r="C59" s="15" t="s">
        <v>514</v>
      </c>
      <c r="D59" s="15" t="s">
        <v>526</v>
      </c>
      <c r="E59" s="15">
        <v>23</v>
      </c>
      <c r="F59" s="15">
        <v>15</v>
      </c>
      <c r="G59" s="15">
        <v>62</v>
      </c>
      <c r="H59" s="15" t="s">
        <v>539</v>
      </c>
      <c r="I59" s="15" t="s">
        <v>3027</v>
      </c>
      <c r="J59" s="15" t="s">
        <v>3027</v>
      </c>
      <c r="K59" s="15" t="s">
        <v>3027</v>
      </c>
      <c r="L59" s="15" t="s">
        <v>3027</v>
      </c>
      <c r="M59" s="15" t="s">
        <v>3027</v>
      </c>
      <c r="N59" s="15" t="s">
        <v>3027</v>
      </c>
      <c r="O59" s="75"/>
      <c r="P59" s="15" t="s">
        <v>522</v>
      </c>
      <c r="Q59" s="75"/>
      <c r="R59" s="15" t="s">
        <v>522</v>
      </c>
    </row>
    <row r="60" spans="2:18">
      <c r="B60" s="15">
        <v>1</v>
      </c>
      <c r="C60" s="15" t="s">
        <v>514</v>
      </c>
      <c r="D60" s="15" t="s">
        <v>526</v>
      </c>
      <c r="E60" s="15">
        <v>24</v>
      </c>
      <c r="F60" s="15">
        <v>15</v>
      </c>
      <c r="G60" s="15">
        <v>61</v>
      </c>
      <c r="H60" s="15" t="s">
        <v>539</v>
      </c>
      <c r="I60" s="15" t="s">
        <v>3027</v>
      </c>
      <c r="J60" s="15" t="s">
        <v>3027</v>
      </c>
      <c r="K60" s="15" t="s">
        <v>3027</v>
      </c>
      <c r="L60" s="15" t="s">
        <v>3027</v>
      </c>
      <c r="M60" s="15" t="s">
        <v>3027</v>
      </c>
      <c r="N60" s="15" t="s">
        <v>3027</v>
      </c>
      <c r="O60" s="75"/>
      <c r="P60" s="15" t="s">
        <v>522</v>
      </c>
      <c r="Q60" s="75"/>
      <c r="R60" s="15" t="s">
        <v>522</v>
      </c>
    </row>
    <row r="61" spans="2:18">
      <c r="B61" s="15">
        <v>1</v>
      </c>
      <c r="C61" s="15" t="s">
        <v>514</v>
      </c>
      <c r="D61" s="15" t="s">
        <v>526</v>
      </c>
      <c r="E61" s="15">
        <v>25</v>
      </c>
      <c r="F61" s="15">
        <v>15</v>
      </c>
      <c r="G61" s="15">
        <v>60</v>
      </c>
      <c r="H61" s="15" t="s">
        <v>539</v>
      </c>
      <c r="I61" s="15" t="s">
        <v>3027</v>
      </c>
      <c r="J61" s="15" t="s">
        <v>3027</v>
      </c>
      <c r="K61" s="15" t="s">
        <v>3027</v>
      </c>
      <c r="L61" s="15" t="s">
        <v>3027</v>
      </c>
      <c r="M61" s="15" t="s">
        <v>3027</v>
      </c>
      <c r="N61" s="15" t="s">
        <v>3027</v>
      </c>
      <c r="O61" s="75"/>
      <c r="P61" s="15" t="s">
        <v>522</v>
      </c>
      <c r="Q61" s="75"/>
      <c r="R61" s="15" t="s">
        <v>522</v>
      </c>
    </row>
    <row r="62" spans="2:18">
      <c r="B62" s="15">
        <v>1</v>
      </c>
      <c r="C62" s="15" t="s">
        <v>514</v>
      </c>
      <c r="D62" s="15" t="s">
        <v>526</v>
      </c>
      <c r="E62" s="15">
        <v>26</v>
      </c>
      <c r="F62" s="15">
        <v>15</v>
      </c>
      <c r="G62" s="15">
        <v>59</v>
      </c>
      <c r="H62" s="15" t="s">
        <v>539</v>
      </c>
      <c r="I62" s="15" t="s">
        <v>3027</v>
      </c>
      <c r="J62" s="15" t="s">
        <v>3027</v>
      </c>
      <c r="K62" s="15" t="s">
        <v>3027</v>
      </c>
      <c r="L62" s="15" t="s">
        <v>3027</v>
      </c>
      <c r="M62" s="15" t="s">
        <v>3027</v>
      </c>
      <c r="N62" s="15" t="s">
        <v>3027</v>
      </c>
      <c r="O62" s="75"/>
      <c r="P62" s="15" t="s">
        <v>522</v>
      </c>
      <c r="Q62" s="75"/>
      <c r="R62" s="15" t="s">
        <v>522</v>
      </c>
    </row>
    <row r="63" spans="2:18">
      <c r="B63" s="15">
        <v>1</v>
      </c>
      <c r="C63" s="15" t="s">
        <v>514</v>
      </c>
      <c r="D63" s="15" t="s">
        <v>526</v>
      </c>
      <c r="E63" s="15">
        <v>27</v>
      </c>
      <c r="F63" s="15">
        <v>15</v>
      </c>
      <c r="G63" s="15">
        <v>58</v>
      </c>
      <c r="H63" s="15" t="s">
        <v>539</v>
      </c>
      <c r="I63" s="15" t="s">
        <v>3027</v>
      </c>
      <c r="J63" s="15" t="s">
        <v>3027</v>
      </c>
      <c r="K63" s="15" t="s">
        <v>3027</v>
      </c>
      <c r="L63" s="15" t="s">
        <v>3027</v>
      </c>
      <c r="M63" s="15" t="s">
        <v>3027</v>
      </c>
      <c r="N63" s="15" t="s">
        <v>3027</v>
      </c>
      <c r="O63" s="75"/>
      <c r="P63" s="15" t="s">
        <v>522</v>
      </c>
      <c r="Q63" s="75"/>
      <c r="R63" s="15" t="s">
        <v>522</v>
      </c>
    </row>
    <row r="64" spans="2:18">
      <c r="B64" s="15">
        <v>1</v>
      </c>
      <c r="C64" s="15" t="s">
        <v>514</v>
      </c>
      <c r="D64" s="15" t="s">
        <v>526</v>
      </c>
      <c r="E64" s="15">
        <v>28</v>
      </c>
      <c r="F64" s="15">
        <v>15</v>
      </c>
      <c r="G64" s="15">
        <v>57</v>
      </c>
      <c r="H64" s="15" t="s">
        <v>539</v>
      </c>
      <c r="I64" s="15" t="s">
        <v>3027</v>
      </c>
      <c r="J64" s="15" t="s">
        <v>3027</v>
      </c>
      <c r="K64" s="15" t="s">
        <v>3027</v>
      </c>
      <c r="L64" s="15" t="s">
        <v>3027</v>
      </c>
      <c r="M64" s="15" t="s">
        <v>3027</v>
      </c>
      <c r="N64" s="15" t="s">
        <v>3027</v>
      </c>
      <c r="O64" s="75"/>
      <c r="P64" s="15" t="s">
        <v>522</v>
      </c>
      <c r="Q64" s="75"/>
      <c r="R64" s="15" t="s">
        <v>522</v>
      </c>
    </row>
    <row r="65" spans="2:18">
      <c r="B65" s="15">
        <v>1</v>
      </c>
      <c r="C65" s="15" t="s">
        <v>514</v>
      </c>
      <c r="D65" s="15" t="s">
        <v>526</v>
      </c>
      <c r="E65" s="15">
        <v>29</v>
      </c>
      <c r="F65" s="15">
        <v>15</v>
      </c>
      <c r="G65" s="15">
        <v>56</v>
      </c>
      <c r="H65" s="15" t="s">
        <v>539</v>
      </c>
      <c r="I65" s="15" t="s">
        <v>3027</v>
      </c>
      <c r="J65" s="15" t="s">
        <v>3027</v>
      </c>
      <c r="K65" s="15" t="s">
        <v>3027</v>
      </c>
      <c r="L65" s="15" t="s">
        <v>3027</v>
      </c>
      <c r="M65" s="15" t="s">
        <v>3027</v>
      </c>
      <c r="N65" s="15" t="s">
        <v>3027</v>
      </c>
      <c r="O65" s="75"/>
      <c r="P65" s="15" t="s">
        <v>522</v>
      </c>
      <c r="Q65" s="75"/>
      <c r="R65" s="15" t="s">
        <v>522</v>
      </c>
    </row>
    <row r="66" spans="2:18">
      <c r="B66" s="15">
        <v>1</v>
      </c>
      <c r="C66" s="15" t="s">
        <v>514</v>
      </c>
      <c r="D66" s="15" t="s">
        <v>526</v>
      </c>
      <c r="E66" s="15">
        <v>30</v>
      </c>
      <c r="F66" s="15">
        <v>15</v>
      </c>
      <c r="G66" s="15">
        <v>55</v>
      </c>
      <c r="H66" s="15" t="s">
        <v>539</v>
      </c>
      <c r="I66" s="15" t="s">
        <v>3027</v>
      </c>
      <c r="J66" s="15" t="s">
        <v>3027</v>
      </c>
      <c r="K66" s="15" t="s">
        <v>3027</v>
      </c>
      <c r="L66" s="15" t="s">
        <v>3027</v>
      </c>
      <c r="M66" s="15" t="s">
        <v>3027</v>
      </c>
      <c r="N66" s="15" t="s">
        <v>3027</v>
      </c>
      <c r="O66" s="75"/>
      <c r="P66" s="15" t="s">
        <v>522</v>
      </c>
      <c r="Q66" s="75"/>
      <c r="R66" s="15" t="s">
        <v>522</v>
      </c>
    </row>
    <row r="67" spans="2:18">
      <c r="B67" s="15">
        <v>1</v>
      </c>
      <c r="C67" s="15" t="s">
        <v>515</v>
      </c>
      <c r="D67" s="15" t="s">
        <v>526</v>
      </c>
      <c r="E67" s="15">
        <v>5</v>
      </c>
      <c r="F67" s="15">
        <v>15</v>
      </c>
      <c r="G67" s="15">
        <v>80</v>
      </c>
      <c r="H67" s="15" t="s">
        <v>539</v>
      </c>
      <c r="I67" s="15" t="s">
        <v>3027</v>
      </c>
      <c r="J67" s="15" t="s">
        <v>3027</v>
      </c>
      <c r="K67" s="15" t="s">
        <v>3027</v>
      </c>
      <c r="L67" s="15" t="s">
        <v>3027</v>
      </c>
      <c r="M67" s="15" t="s">
        <v>3027</v>
      </c>
      <c r="N67" s="15" t="s">
        <v>3027</v>
      </c>
      <c r="O67" s="75"/>
      <c r="P67" s="15" t="s">
        <v>522</v>
      </c>
      <c r="Q67" s="75"/>
      <c r="R67" s="15" t="s">
        <v>522</v>
      </c>
    </row>
    <row r="68" spans="2:18">
      <c r="B68" s="15">
        <v>1</v>
      </c>
      <c r="C68" s="15" t="s">
        <v>515</v>
      </c>
      <c r="D68" s="15" t="s">
        <v>526</v>
      </c>
      <c r="E68" s="15">
        <v>6</v>
      </c>
      <c r="F68" s="15">
        <v>15</v>
      </c>
      <c r="G68" s="15">
        <v>79</v>
      </c>
      <c r="H68" s="15" t="s">
        <v>539</v>
      </c>
      <c r="I68" s="15" t="s">
        <v>3027</v>
      </c>
      <c r="J68" s="15" t="s">
        <v>3027</v>
      </c>
      <c r="K68" s="15" t="s">
        <v>3027</v>
      </c>
      <c r="L68" s="15" t="s">
        <v>3027</v>
      </c>
      <c r="M68" s="15" t="s">
        <v>3027</v>
      </c>
      <c r="N68" s="15" t="s">
        <v>3027</v>
      </c>
      <c r="O68" s="75"/>
      <c r="P68" s="15" t="s">
        <v>522</v>
      </c>
      <c r="Q68" s="75"/>
      <c r="R68" s="15" t="s">
        <v>522</v>
      </c>
    </row>
    <row r="69" spans="2:18">
      <c r="B69" s="15">
        <v>1</v>
      </c>
      <c r="C69" s="15" t="s">
        <v>515</v>
      </c>
      <c r="D69" s="15" t="s">
        <v>526</v>
      </c>
      <c r="E69" s="15">
        <v>7</v>
      </c>
      <c r="F69" s="15">
        <v>15</v>
      </c>
      <c r="G69" s="15">
        <v>78</v>
      </c>
      <c r="H69" s="15" t="s">
        <v>539</v>
      </c>
      <c r="I69" s="15" t="s">
        <v>3027</v>
      </c>
      <c r="J69" s="15" t="s">
        <v>3027</v>
      </c>
      <c r="K69" s="15" t="s">
        <v>3027</v>
      </c>
      <c r="L69" s="15" t="s">
        <v>3027</v>
      </c>
      <c r="M69" s="15" t="s">
        <v>3027</v>
      </c>
      <c r="N69" s="15" t="s">
        <v>3027</v>
      </c>
      <c r="O69" s="75"/>
      <c r="P69" s="15" t="s">
        <v>522</v>
      </c>
      <c r="Q69" s="75"/>
      <c r="R69" s="15" t="s">
        <v>522</v>
      </c>
    </row>
    <row r="70" spans="2:18">
      <c r="B70" s="15">
        <v>1</v>
      </c>
      <c r="C70" s="15" t="s">
        <v>515</v>
      </c>
      <c r="D70" s="15" t="s">
        <v>526</v>
      </c>
      <c r="E70" s="15">
        <v>8</v>
      </c>
      <c r="F70" s="15">
        <v>15</v>
      </c>
      <c r="G70" s="15">
        <v>77</v>
      </c>
      <c r="H70" s="15" t="s">
        <v>539</v>
      </c>
      <c r="I70" s="15" t="s">
        <v>3027</v>
      </c>
      <c r="J70" s="15" t="s">
        <v>3027</v>
      </c>
      <c r="K70" s="15" t="s">
        <v>3027</v>
      </c>
      <c r="L70" s="15" t="s">
        <v>3027</v>
      </c>
      <c r="M70" s="15" t="s">
        <v>3027</v>
      </c>
      <c r="N70" s="15" t="s">
        <v>3027</v>
      </c>
      <c r="O70" s="75"/>
      <c r="P70" s="15" t="s">
        <v>522</v>
      </c>
      <c r="Q70" s="75"/>
      <c r="R70" s="15" t="s">
        <v>522</v>
      </c>
    </row>
    <row r="71" spans="2:18">
      <c r="B71" s="15">
        <v>1</v>
      </c>
      <c r="C71" s="15" t="s">
        <v>515</v>
      </c>
      <c r="D71" s="15" t="s">
        <v>526</v>
      </c>
      <c r="E71" s="15">
        <v>9</v>
      </c>
      <c r="F71" s="15">
        <v>15</v>
      </c>
      <c r="G71" s="15">
        <v>76</v>
      </c>
      <c r="H71" s="15" t="s">
        <v>539</v>
      </c>
      <c r="I71" s="15" t="s">
        <v>3027</v>
      </c>
      <c r="J71" s="15" t="s">
        <v>3027</v>
      </c>
      <c r="K71" s="15" t="s">
        <v>3027</v>
      </c>
      <c r="L71" s="15" t="s">
        <v>3027</v>
      </c>
      <c r="M71" s="15" t="s">
        <v>3027</v>
      </c>
      <c r="N71" s="15" t="s">
        <v>3027</v>
      </c>
      <c r="O71" s="75"/>
      <c r="P71" s="15" t="s">
        <v>522</v>
      </c>
      <c r="Q71" s="75"/>
      <c r="R71" s="15" t="s">
        <v>522</v>
      </c>
    </row>
    <row r="72" spans="2:18">
      <c r="B72" s="15">
        <v>1</v>
      </c>
      <c r="C72" s="15" t="s">
        <v>515</v>
      </c>
      <c r="D72" s="15" t="s">
        <v>526</v>
      </c>
      <c r="E72" s="15">
        <v>10</v>
      </c>
      <c r="F72" s="15">
        <v>15</v>
      </c>
      <c r="G72" s="15">
        <v>75</v>
      </c>
      <c r="H72" s="15" t="s">
        <v>539</v>
      </c>
      <c r="I72" s="15" t="s">
        <v>3027</v>
      </c>
      <c r="J72" s="15" t="s">
        <v>3027</v>
      </c>
      <c r="K72" s="15" t="s">
        <v>3027</v>
      </c>
      <c r="L72" s="15" t="s">
        <v>3027</v>
      </c>
      <c r="M72" s="15" t="s">
        <v>3027</v>
      </c>
      <c r="N72" s="15" t="s">
        <v>3027</v>
      </c>
      <c r="O72" s="75"/>
      <c r="P72" s="15" t="s">
        <v>522</v>
      </c>
      <c r="Q72" s="75"/>
      <c r="R72" s="15" t="s">
        <v>522</v>
      </c>
    </row>
    <row r="73" spans="2:18">
      <c r="B73" s="15">
        <v>1</v>
      </c>
      <c r="C73" s="15" t="s">
        <v>515</v>
      </c>
      <c r="D73" s="15" t="s">
        <v>526</v>
      </c>
      <c r="E73" s="15">
        <v>11</v>
      </c>
      <c r="F73" s="15">
        <v>15</v>
      </c>
      <c r="G73" s="15">
        <v>74</v>
      </c>
      <c r="H73" s="15" t="s">
        <v>539</v>
      </c>
      <c r="I73" s="15" t="s">
        <v>3027</v>
      </c>
      <c r="J73" s="15" t="s">
        <v>3027</v>
      </c>
      <c r="K73" s="15" t="s">
        <v>3027</v>
      </c>
      <c r="L73" s="15" t="s">
        <v>3027</v>
      </c>
      <c r="M73" s="15" t="s">
        <v>3027</v>
      </c>
      <c r="N73" s="15" t="s">
        <v>3027</v>
      </c>
      <c r="O73" s="75"/>
      <c r="P73" s="15" t="s">
        <v>522</v>
      </c>
      <c r="Q73" s="75"/>
      <c r="R73" s="15" t="s">
        <v>522</v>
      </c>
    </row>
    <row r="74" spans="2:18">
      <c r="B74" s="15">
        <v>1</v>
      </c>
      <c r="C74" s="15" t="s">
        <v>515</v>
      </c>
      <c r="D74" s="15" t="s">
        <v>526</v>
      </c>
      <c r="E74" s="15">
        <v>12</v>
      </c>
      <c r="F74" s="15">
        <v>15</v>
      </c>
      <c r="G74" s="15">
        <v>73</v>
      </c>
      <c r="H74" s="15" t="s">
        <v>539</v>
      </c>
      <c r="I74" s="15" t="s">
        <v>3027</v>
      </c>
      <c r="J74" s="15" t="s">
        <v>3027</v>
      </c>
      <c r="K74" s="15" t="s">
        <v>3027</v>
      </c>
      <c r="L74" s="15" t="s">
        <v>3027</v>
      </c>
      <c r="M74" s="15" t="s">
        <v>3027</v>
      </c>
      <c r="N74" s="15" t="s">
        <v>3027</v>
      </c>
      <c r="O74" s="75"/>
      <c r="P74" s="15" t="s">
        <v>522</v>
      </c>
      <c r="Q74" s="75"/>
      <c r="R74" s="15" t="s">
        <v>522</v>
      </c>
    </row>
    <row r="75" spans="2:18">
      <c r="B75" s="15">
        <v>1</v>
      </c>
      <c r="C75" s="15" t="s">
        <v>515</v>
      </c>
      <c r="D75" s="15" t="s">
        <v>526</v>
      </c>
      <c r="E75" s="15">
        <v>13</v>
      </c>
      <c r="F75" s="15">
        <v>15</v>
      </c>
      <c r="G75" s="15">
        <v>72</v>
      </c>
      <c r="H75" s="15" t="s">
        <v>539</v>
      </c>
      <c r="I75" s="15" t="s">
        <v>3027</v>
      </c>
      <c r="J75" s="15" t="s">
        <v>3027</v>
      </c>
      <c r="K75" s="15" t="s">
        <v>3027</v>
      </c>
      <c r="L75" s="15" t="s">
        <v>3027</v>
      </c>
      <c r="M75" s="15" t="s">
        <v>3027</v>
      </c>
      <c r="N75" s="15" t="s">
        <v>3027</v>
      </c>
      <c r="O75" s="75"/>
      <c r="P75" s="15" t="s">
        <v>522</v>
      </c>
      <c r="Q75" s="75"/>
      <c r="R75" s="15" t="s">
        <v>522</v>
      </c>
    </row>
    <row r="76" spans="2:18">
      <c r="B76" s="15">
        <v>1</v>
      </c>
      <c r="C76" s="15" t="s">
        <v>515</v>
      </c>
      <c r="D76" s="15" t="s">
        <v>526</v>
      </c>
      <c r="E76" s="15">
        <v>14</v>
      </c>
      <c r="F76" s="15">
        <v>15</v>
      </c>
      <c r="G76" s="15">
        <v>71</v>
      </c>
      <c r="H76" s="15" t="s">
        <v>539</v>
      </c>
      <c r="I76" s="15" t="s">
        <v>3027</v>
      </c>
      <c r="J76" s="15" t="s">
        <v>3027</v>
      </c>
      <c r="K76" s="15" t="s">
        <v>3027</v>
      </c>
      <c r="L76" s="15" t="s">
        <v>3027</v>
      </c>
      <c r="M76" s="15" t="s">
        <v>3027</v>
      </c>
      <c r="N76" s="15" t="s">
        <v>3027</v>
      </c>
      <c r="O76" s="75"/>
      <c r="P76" s="15" t="s">
        <v>522</v>
      </c>
      <c r="Q76" s="75"/>
      <c r="R76" s="15" t="s">
        <v>522</v>
      </c>
    </row>
    <row r="77" spans="2:18">
      <c r="B77" s="15">
        <v>1</v>
      </c>
      <c r="C77" s="15" t="s">
        <v>515</v>
      </c>
      <c r="D77" s="15" t="s">
        <v>526</v>
      </c>
      <c r="E77" s="15">
        <v>15</v>
      </c>
      <c r="F77" s="15">
        <v>15</v>
      </c>
      <c r="G77" s="15">
        <v>70</v>
      </c>
      <c r="H77" s="15" t="s">
        <v>539</v>
      </c>
      <c r="I77" s="15" t="s">
        <v>3027</v>
      </c>
      <c r="J77" s="15" t="s">
        <v>3027</v>
      </c>
      <c r="K77" s="15" t="s">
        <v>3027</v>
      </c>
      <c r="L77" s="15" t="s">
        <v>3027</v>
      </c>
      <c r="M77" s="15" t="s">
        <v>3027</v>
      </c>
      <c r="N77" s="15" t="s">
        <v>3027</v>
      </c>
      <c r="O77" s="75"/>
      <c r="P77" s="15" t="s">
        <v>522</v>
      </c>
      <c r="Q77" s="75"/>
      <c r="R77" s="15" t="s">
        <v>522</v>
      </c>
    </row>
    <row r="78" spans="2:18">
      <c r="B78" s="15">
        <v>1</v>
      </c>
      <c r="C78" s="15" t="s">
        <v>515</v>
      </c>
      <c r="D78" s="15" t="s">
        <v>526</v>
      </c>
      <c r="E78" s="15">
        <v>16</v>
      </c>
      <c r="F78" s="15">
        <v>15</v>
      </c>
      <c r="G78" s="15">
        <v>69</v>
      </c>
      <c r="H78" s="15" t="s">
        <v>539</v>
      </c>
      <c r="I78" s="15" t="s">
        <v>3027</v>
      </c>
      <c r="J78" s="15" t="s">
        <v>3027</v>
      </c>
      <c r="K78" s="15" t="s">
        <v>3027</v>
      </c>
      <c r="L78" s="15" t="s">
        <v>3027</v>
      </c>
      <c r="M78" s="15" t="s">
        <v>3027</v>
      </c>
      <c r="N78" s="15" t="s">
        <v>3027</v>
      </c>
      <c r="O78" s="75"/>
      <c r="P78" s="15" t="s">
        <v>522</v>
      </c>
      <c r="Q78" s="75"/>
      <c r="R78" s="15" t="s">
        <v>522</v>
      </c>
    </row>
    <row r="79" spans="2:18">
      <c r="B79" s="15">
        <v>1</v>
      </c>
      <c r="C79" s="15" t="s">
        <v>515</v>
      </c>
      <c r="D79" s="15" t="s">
        <v>526</v>
      </c>
      <c r="E79" s="15">
        <v>17</v>
      </c>
      <c r="F79" s="15">
        <v>15</v>
      </c>
      <c r="G79" s="15">
        <v>68</v>
      </c>
      <c r="H79" s="15" t="s">
        <v>539</v>
      </c>
      <c r="I79" s="15" t="s">
        <v>3027</v>
      </c>
      <c r="J79" s="15" t="s">
        <v>3027</v>
      </c>
      <c r="K79" s="15" t="s">
        <v>3027</v>
      </c>
      <c r="L79" s="15" t="s">
        <v>3027</v>
      </c>
      <c r="M79" s="15" t="s">
        <v>3027</v>
      </c>
      <c r="N79" s="15" t="s">
        <v>3027</v>
      </c>
      <c r="O79" s="75"/>
      <c r="P79" s="15" t="s">
        <v>522</v>
      </c>
      <c r="Q79" s="75"/>
      <c r="R79" s="15" t="s">
        <v>522</v>
      </c>
    </row>
    <row r="80" spans="2:18">
      <c r="B80" s="15">
        <v>1</v>
      </c>
      <c r="C80" s="15" t="s">
        <v>515</v>
      </c>
      <c r="D80" s="15" t="s">
        <v>526</v>
      </c>
      <c r="E80" s="15">
        <v>18</v>
      </c>
      <c r="F80" s="15">
        <v>15</v>
      </c>
      <c r="G80" s="15">
        <v>67</v>
      </c>
      <c r="H80" s="15" t="s">
        <v>539</v>
      </c>
      <c r="I80" s="15" t="s">
        <v>3027</v>
      </c>
      <c r="J80" s="15" t="s">
        <v>3027</v>
      </c>
      <c r="K80" s="15" t="s">
        <v>3027</v>
      </c>
      <c r="L80" s="15" t="s">
        <v>3027</v>
      </c>
      <c r="M80" s="15" t="s">
        <v>3027</v>
      </c>
      <c r="N80" s="15" t="s">
        <v>3027</v>
      </c>
      <c r="O80" s="75"/>
      <c r="P80" s="15" t="s">
        <v>522</v>
      </c>
      <c r="Q80" s="75"/>
      <c r="R80" s="15" t="s">
        <v>522</v>
      </c>
    </row>
    <row r="81" spans="2:18">
      <c r="B81" s="15">
        <v>1</v>
      </c>
      <c r="C81" s="15" t="s">
        <v>515</v>
      </c>
      <c r="D81" s="15" t="s">
        <v>526</v>
      </c>
      <c r="E81" s="15">
        <v>19</v>
      </c>
      <c r="F81" s="15">
        <v>15</v>
      </c>
      <c r="G81" s="15">
        <v>66</v>
      </c>
      <c r="H81" s="15" t="s">
        <v>539</v>
      </c>
      <c r="I81" s="15" t="s">
        <v>3027</v>
      </c>
      <c r="J81" s="15" t="s">
        <v>3027</v>
      </c>
      <c r="K81" s="15" t="s">
        <v>3027</v>
      </c>
      <c r="L81" s="15" t="s">
        <v>3027</v>
      </c>
      <c r="M81" s="15" t="s">
        <v>3027</v>
      </c>
      <c r="N81" s="15" t="s">
        <v>3027</v>
      </c>
      <c r="O81" s="75"/>
      <c r="P81" s="15" t="s">
        <v>522</v>
      </c>
      <c r="Q81" s="75"/>
      <c r="R81" s="15" t="s">
        <v>522</v>
      </c>
    </row>
    <row r="82" spans="2:18">
      <c r="B82" s="15">
        <v>1</v>
      </c>
      <c r="C82" s="15" t="s">
        <v>515</v>
      </c>
      <c r="D82" s="15" t="s">
        <v>526</v>
      </c>
      <c r="E82" s="15">
        <v>20</v>
      </c>
      <c r="F82" s="15">
        <v>15</v>
      </c>
      <c r="G82" s="15">
        <v>65</v>
      </c>
      <c r="H82" s="15" t="s">
        <v>539</v>
      </c>
      <c r="I82" s="15" t="s">
        <v>3027</v>
      </c>
      <c r="J82" s="15" t="s">
        <v>3027</v>
      </c>
      <c r="K82" s="15" t="s">
        <v>3027</v>
      </c>
      <c r="L82" s="15" t="s">
        <v>3027</v>
      </c>
      <c r="M82" s="15" t="s">
        <v>3027</v>
      </c>
      <c r="N82" s="15" t="s">
        <v>3027</v>
      </c>
      <c r="O82" s="75"/>
      <c r="P82" s="15" t="s">
        <v>522</v>
      </c>
      <c r="Q82" s="75"/>
      <c r="R82" s="15" t="s">
        <v>522</v>
      </c>
    </row>
    <row r="83" spans="2:18">
      <c r="B83" s="15">
        <v>1</v>
      </c>
      <c r="C83" s="15" t="s">
        <v>515</v>
      </c>
      <c r="D83" s="15" t="s">
        <v>526</v>
      </c>
      <c r="E83" s="15">
        <v>21</v>
      </c>
      <c r="F83" s="15">
        <v>15</v>
      </c>
      <c r="G83" s="15">
        <v>64</v>
      </c>
      <c r="H83" s="15" t="s">
        <v>539</v>
      </c>
      <c r="I83" s="15" t="s">
        <v>3027</v>
      </c>
      <c r="J83" s="15" t="s">
        <v>3027</v>
      </c>
      <c r="K83" s="15" t="s">
        <v>3027</v>
      </c>
      <c r="L83" s="15" t="s">
        <v>3027</v>
      </c>
      <c r="M83" s="15" t="s">
        <v>3027</v>
      </c>
      <c r="N83" s="15" t="s">
        <v>3027</v>
      </c>
      <c r="O83" s="75"/>
      <c r="P83" s="15" t="s">
        <v>522</v>
      </c>
      <c r="Q83" s="75"/>
      <c r="R83" s="15" t="s">
        <v>522</v>
      </c>
    </row>
    <row r="84" spans="2:18">
      <c r="B84" s="15">
        <v>1</v>
      </c>
      <c r="C84" s="15" t="s">
        <v>515</v>
      </c>
      <c r="D84" s="15" t="s">
        <v>526</v>
      </c>
      <c r="E84" s="15">
        <v>22</v>
      </c>
      <c r="F84" s="15">
        <v>15</v>
      </c>
      <c r="G84" s="15">
        <v>63</v>
      </c>
      <c r="H84" s="15" t="s">
        <v>539</v>
      </c>
      <c r="I84" s="15" t="s">
        <v>3027</v>
      </c>
      <c r="J84" s="15" t="s">
        <v>3027</v>
      </c>
      <c r="K84" s="15" t="s">
        <v>3027</v>
      </c>
      <c r="L84" s="15" t="s">
        <v>3027</v>
      </c>
      <c r="M84" s="15" t="s">
        <v>3027</v>
      </c>
      <c r="N84" s="15" t="s">
        <v>3027</v>
      </c>
      <c r="O84" s="75"/>
      <c r="P84" s="15" t="s">
        <v>522</v>
      </c>
      <c r="Q84" s="75"/>
      <c r="R84" s="15" t="s">
        <v>522</v>
      </c>
    </row>
    <row r="85" spans="2:18">
      <c r="B85" s="15">
        <v>1</v>
      </c>
      <c r="C85" s="15" t="s">
        <v>515</v>
      </c>
      <c r="D85" s="15" t="s">
        <v>526</v>
      </c>
      <c r="E85" s="15">
        <v>23</v>
      </c>
      <c r="F85" s="15">
        <v>15</v>
      </c>
      <c r="G85" s="15">
        <v>62</v>
      </c>
      <c r="H85" s="15" t="s">
        <v>539</v>
      </c>
      <c r="I85" s="15" t="s">
        <v>3027</v>
      </c>
      <c r="J85" s="15" t="s">
        <v>3027</v>
      </c>
      <c r="K85" s="15" t="s">
        <v>3027</v>
      </c>
      <c r="L85" s="15" t="s">
        <v>3027</v>
      </c>
      <c r="M85" s="15" t="s">
        <v>3027</v>
      </c>
      <c r="N85" s="15" t="s">
        <v>3027</v>
      </c>
      <c r="O85" s="75"/>
      <c r="P85" s="15" t="s">
        <v>522</v>
      </c>
      <c r="Q85" s="75"/>
      <c r="R85" s="15" t="s">
        <v>522</v>
      </c>
    </row>
    <row r="86" spans="2:18">
      <c r="B86" s="15">
        <v>1</v>
      </c>
      <c r="C86" s="15" t="s">
        <v>515</v>
      </c>
      <c r="D86" s="15" t="s">
        <v>526</v>
      </c>
      <c r="E86" s="15">
        <v>24</v>
      </c>
      <c r="F86" s="15">
        <v>15</v>
      </c>
      <c r="G86" s="15">
        <v>61</v>
      </c>
      <c r="H86" s="15" t="s">
        <v>539</v>
      </c>
      <c r="I86" s="15" t="s">
        <v>3027</v>
      </c>
      <c r="J86" s="15" t="s">
        <v>3027</v>
      </c>
      <c r="K86" s="15" t="s">
        <v>3027</v>
      </c>
      <c r="L86" s="15" t="s">
        <v>3027</v>
      </c>
      <c r="M86" s="15" t="s">
        <v>3027</v>
      </c>
      <c r="N86" s="15" t="s">
        <v>3027</v>
      </c>
      <c r="O86" s="75"/>
      <c r="P86" s="15" t="s">
        <v>522</v>
      </c>
      <c r="Q86" s="75"/>
      <c r="R86" s="15" t="s">
        <v>522</v>
      </c>
    </row>
    <row r="87" spans="2:18">
      <c r="B87" s="15">
        <v>1</v>
      </c>
      <c r="C87" s="15" t="s">
        <v>515</v>
      </c>
      <c r="D87" s="15" t="s">
        <v>526</v>
      </c>
      <c r="E87" s="15">
        <v>25</v>
      </c>
      <c r="F87" s="15">
        <v>15</v>
      </c>
      <c r="G87" s="15">
        <v>60</v>
      </c>
      <c r="H87" s="15" t="s">
        <v>539</v>
      </c>
      <c r="I87" s="15" t="s">
        <v>3027</v>
      </c>
      <c r="J87" s="15" t="s">
        <v>3027</v>
      </c>
      <c r="K87" s="15" t="s">
        <v>3027</v>
      </c>
      <c r="L87" s="15" t="s">
        <v>3027</v>
      </c>
      <c r="M87" s="15" t="s">
        <v>3027</v>
      </c>
      <c r="N87" s="15" t="s">
        <v>3027</v>
      </c>
      <c r="O87" s="75"/>
      <c r="P87" s="15" t="s">
        <v>522</v>
      </c>
      <c r="Q87" s="75"/>
      <c r="R87" s="15" t="s">
        <v>522</v>
      </c>
    </row>
    <row r="88" spans="2:18">
      <c r="B88" s="15">
        <v>1</v>
      </c>
      <c r="C88" s="15" t="s">
        <v>515</v>
      </c>
      <c r="D88" s="15" t="s">
        <v>526</v>
      </c>
      <c r="E88" s="15">
        <v>26</v>
      </c>
      <c r="F88" s="15">
        <v>15</v>
      </c>
      <c r="G88" s="15">
        <v>59</v>
      </c>
      <c r="H88" s="15" t="s">
        <v>539</v>
      </c>
      <c r="I88" s="15" t="s">
        <v>3027</v>
      </c>
      <c r="J88" s="15" t="s">
        <v>3027</v>
      </c>
      <c r="K88" s="15" t="s">
        <v>3027</v>
      </c>
      <c r="L88" s="15" t="s">
        <v>3027</v>
      </c>
      <c r="M88" s="15" t="s">
        <v>3027</v>
      </c>
      <c r="N88" s="15" t="s">
        <v>3027</v>
      </c>
      <c r="O88" s="75"/>
      <c r="P88" s="15" t="s">
        <v>522</v>
      </c>
      <c r="Q88" s="75"/>
      <c r="R88" s="15" t="s">
        <v>522</v>
      </c>
    </row>
    <row r="89" spans="2:18">
      <c r="B89" s="15">
        <v>1</v>
      </c>
      <c r="C89" s="15" t="s">
        <v>515</v>
      </c>
      <c r="D89" s="15" t="s">
        <v>526</v>
      </c>
      <c r="E89" s="15">
        <v>27</v>
      </c>
      <c r="F89" s="15">
        <v>15</v>
      </c>
      <c r="G89" s="15">
        <v>58</v>
      </c>
      <c r="H89" s="15" t="s">
        <v>539</v>
      </c>
      <c r="I89" s="15" t="s">
        <v>3027</v>
      </c>
      <c r="J89" s="15" t="s">
        <v>3027</v>
      </c>
      <c r="K89" s="15" t="s">
        <v>3027</v>
      </c>
      <c r="L89" s="15" t="s">
        <v>3027</v>
      </c>
      <c r="M89" s="15" t="s">
        <v>3027</v>
      </c>
      <c r="N89" s="15" t="s">
        <v>3027</v>
      </c>
      <c r="O89" s="75"/>
      <c r="P89" s="15" t="s">
        <v>522</v>
      </c>
      <c r="Q89" s="75"/>
      <c r="R89" s="15" t="s">
        <v>522</v>
      </c>
    </row>
    <row r="90" spans="2:18">
      <c r="B90" s="15">
        <v>1</v>
      </c>
      <c r="C90" s="15" t="s">
        <v>515</v>
      </c>
      <c r="D90" s="15" t="s">
        <v>526</v>
      </c>
      <c r="E90" s="15">
        <v>28</v>
      </c>
      <c r="F90" s="15">
        <v>15</v>
      </c>
      <c r="G90" s="15">
        <v>57</v>
      </c>
      <c r="H90" s="15" t="s">
        <v>539</v>
      </c>
      <c r="I90" s="15" t="s">
        <v>3027</v>
      </c>
      <c r="J90" s="15" t="s">
        <v>3027</v>
      </c>
      <c r="K90" s="15" t="s">
        <v>3027</v>
      </c>
      <c r="L90" s="15" t="s">
        <v>3027</v>
      </c>
      <c r="M90" s="15" t="s">
        <v>3027</v>
      </c>
      <c r="N90" s="15" t="s">
        <v>3027</v>
      </c>
      <c r="O90" s="75"/>
      <c r="P90" s="15" t="s">
        <v>522</v>
      </c>
      <c r="Q90" s="75"/>
      <c r="R90" s="15" t="s">
        <v>522</v>
      </c>
    </row>
    <row r="91" spans="2:18">
      <c r="B91" s="15">
        <v>1</v>
      </c>
      <c r="C91" s="15" t="s">
        <v>515</v>
      </c>
      <c r="D91" s="15" t="s">
        <v>526</v>
      </c>
      <c r="E91" s="15">
        <v>29</v>
      </c>
      <c r="F91" s="15">
        <v>15</v>
      </c>
      <c r="G91" s="15">
        <v>56</v>
      </c>
      <c r="H91" s="15" t="s">
        <v>539</v>
      </c>
      <c r="I91" s="15" t="s">
        <v>3027</v>
      </c>
      <c r="J91" s="15" t="s">
        <v>3027</v>
      </c>
      <c r="K91" s="15" t="s">
        <v>3027</v>
      </c>
      <c r="L91" s="15" t="s">
        <v>3027</v>
      </c>
      <c r="M91" s="15" t="s">
        <v>3027</v>
      </c>
      <c r="N91" s="15" t="s">
        <v>3027</v>
      </c>
      <c r="O91" s="75"/>
      <c r="P91" s="15" t="s">
        <v>522</v>
      </c>
      <c r="Q91" s="75"/>
      <c r="R91" s="15" t="s">
        <v>522</v>
      </c>
    </row>
    <row r="92" spans="2:18">
      <c r="B92" s="15">
        <v>1</v>
      </c>
      <c r="C92" s="15" t="s">
        <v>515</v>
      </c>
      <c r="D92" s="15" t="s">
        <v>526</v>
      </c>
      <c r="E92" s="15">
        <v>30</v>
      </c>
      <c r="F92" s="15">
        <v>15</v>
      </c>
      <c r="G92" s="15">
        <v>55</v>
      </c>
      <c r="H92" s="15" t="s">
        <v>539</v>
      </c>
      <c r="I92" s="15" t="s">
        <v>3027</v>
      </c>
      <c r="J92" s="15" t="s">
        <v>3027</v>
      </c>
      <c r="K92" s="15" t="s">
        <v>3027</v>
      </c>
      <c r="L92" s="15" t="s">
        <v>3027</v>
      </c>
      <c r="M92" s="15" t="s">
        <v>3027</v>
      </c>
      <c r="N92" s="15" t="s">
        <v>3027</v>
      </c>
      <c r="O92" s="75"/>
      <c r="P92" s="15" t="s">
        <v>522</v>
      </c>
      <c r="Q92" s="75"/>
      <c r="R92" s="15" t="s">
        <v>522</v>
      </c>
    </row>
    <row r="93" spans="2:18">
      <c r="B93" s="15">
        <v>1</v>
      </c>
      <c r="C93" s="15" t="s">
        <v>516</v>
      </c>
      <c r="D93" s="15" t="s">
        <v>526</v>
      </c>
      <c r="E93" s="15">
        <v>5</v>
      </c>
      <c r="F93" s="15">
        <v>15</v>
      </c>
      <c r="G93" s="15">
        <v>80</v>
      </c>
      <c r="H93" s="15" t="s">
        <v>539</v>
      </c>
      <c r="I93" s="15" t="s">
        <v>3027</v>
      </c>
      <c r="J93" s="15" t="s">
        <v>3027</v>
      </c>
      <c r="K93" s="15" t="s">
        <v>3027</v>
      </c>
      <c r="L93" s="15" t="s">
        <v>3027</v>
      </c>
      <c r="M93" s="15" t="s">
        <v>3027</v>
      </c>
      <c r="N93" s="15" t="s">
        <v>3027</v>
      </c>
      <c r="O93" s="75"/>
      <c r="P93" s="15" t="s">
        <v>522</v>
      </c>
      <c r="Q93" s="75"/>
      <c r="R93" s="15" t="s">
        <v>522</v>
      </c>
    </row>
    <row r="94" spans="2:18">
      <c r="B94" s="15">
        <v>1</v>
      </c>
      <c r="C94" s="15" t="s">
        <v>516</v>
      </c>
      <c r="D94" s="15" t="s">
        <v>526</v>
      </c>
      <c r="E94" s="15">
        <v>6</v>
      </c>
      <c r="F94" s="15">
        <v>15</v>
      </c>
      <c r="G94" s="15">
        <v>79</v>
      </c>
      <c r="H94" s="15" t="s">
        <v>539</v>
      </c>
      <c r="I94" s="15" t="s">
        <v>3027</v>
      </c>
      <c r="J94" s="15" t="s">
        <v>3027</v>
      </c>
      <c r="K94" s="15" t="s">
        <v>3027</v>
      </c>
      <c r="L94" s="15" t="s">
        <v>3027</v>
      </c>
      <c r="M94" s="15" t="s">
        <v>3027</v>
      </c>
      <c r="N94" s="15" t="s">
        <v>3027</v>
      </c>
      <c r="O94" s="75"/>
      <c r="P94" s="15" t="s">
        <v>522</v>
      </c>
      <c r="Q94" s="75"/>
      <c r="R94" s="15" t="s">
        <v>522</v>
      </c>
    </row>
    <row r="95" spans="2:18">
      <c r="B95" s="15">
        <v>1</v>
      </c>
      <c r="C95" s="15" t="s">
        <v>516</v>
      </c>
      <c r="D95" s="15" t="s">
        <v>526</v>
      </c>
      <c r="E95" s="15">
        <v>7</v>
      </c>
      <c r="F95" s="15">
        <v>15</v>
      </c>
      <c r="G95" s="15">
        <v>78</v>
      </c>
      <c r="H95" s="15" t="s">
        <v>539</v>
      </c>
      <c r="I95" s="15" t="s">
        <v>3027</v>
      </c>
      <c r="J95" s="15" t="s">
        <v>3027</v>
      </c>
      <c r="K95" s="15" t="s">
        <v>3027</v>
      </c>
      <c r="L95" s="15" t="s">
        <v>3027</v>
      </c>
      <c r="M95" s="15" t="s">
        <v>3027</v>
      </c>
      <c r="N95" s="15" t="s">
        <v>3027</v>
      </c>
      <c r="O95" s="75"/>
      <c r="P95" s="15" t="s">
        <v>522</v>
      </c>
      <c r="Q95" s="75"/>
      <c r="R95" s="15" t="s">
        <v>522</v>
      </c>
    </row>
    <row r="96" spans="2:18">
      <c r="B96" s="15">
        <v>1</v>
      </c>
      <c r="C96" s="15" t="s">
        <v>516</v>
      </c>
      <c r="D96" s="15" t="s">
        <v>526</v>
      </c>
      <c r="E96" s="15">
        <v>8</v>
      </c>
      <c r="F96" s="15">
        <v>15</v>
      </c>
      <c r="G96" s="15">
        <v>77</v>
      </c>
      <c r="H96" s="15" t="s">
        <v>539</v>
      </c>
      <c r="I96" s="15" t="s">
        <v>3027</v>
      </c>
      <c r="J96" s="15" t="s">
        <v>3027</v>
      </c>
      <c r="K96" s="15" t="s">
        <v>3027</v>
      </c>
      <c r="L96" s="15" t="s">
        <v>3027</v>
      </c>
      <c r="M96" s="15" t="s">
        <v>3027</v>
      </c>
      <c r="N96" s="15" t="s">
        <v>3027</v>
      </c>
      <c r="O96" s="75"/>
      <c r="P96" s="15" t="s">
        <v>522</v>
      </c>
      <c r="Q96" s="75"/>
      <c r="R96" s="15" t="s">
        <v>522</v>
      </c>
    </row>
    <row r="97" spans="2:18">
      <c r="B97" s="15">
        <v>1</v>
      </c>
      <c r="C97" s="15" t="s">
        <v>516</v>
      </c>
      <c r="D97" s="15" t="s">
        <v>526</v>
      </c>
      <c r="E97" s="15">
        <v>9</v>
      </c>
      <c r="F97" s="15">
        <v>15</v>
      </c>
      <c r="G97" s="15">
        <v>76</v>
      </c>
      <c r="H97" s="15" t="s">
        <v>539</v>
      </c>
      <c r="I97" s="15" t="s">
        <v>3027</v>
      </c>
      <c r="J97" s="15" t="s">
        <v>3027</v>
      </c>
      <c r="K97" s="15" t="s">
        <v>3027</v>
      </c>
      <c r="L97" s="15" t="s">
        <v>3027</v>
      </c>
      <c r="M97" s="15" t="s">
        <v>3027</v>
      </c>
      <c r="N97" s="15" t="s">
        <v>3027</v>
      </c>
      <c r="O97" s="75"/>
      <c r="P97" s="15" t="s">
        <v>522</v>
      </c>
      <c r="Q97" s="75"/>
      <c r="R97" s="15" t="s">
        <v>522</v>
      </c>
    </row>
    <row r="98" spans="2:18">
      <c r="B98" s="15">
        <v>1</v>
      </c>
      <c r="C98" s="15" t="s">
        <v>516</v>
      </c>
      <c r="D98" s="15" t="s">
        <v>526</v>
      </c>
      <c r="E98" s="15">
        <v>10</v>
      </c>
      <c r="F98" s="15">
        <v>15</v>
      </c>
      <c r="G98" s="15">
        <v>75</v>
      </c>
      <c r="H98" s="15" t="s">
        <v>539</v>
      </c>
      <c r="I98" s="15" t="s">
        <v>3027</v>
      </c>
      <c r="J98" s="15" t="s">
        <v>3027</v>
      </c>
      <c r="K98" s="15" t="s">
        <v>3027</v>
      </c>
      <c r="L98" s="15" t="s">
        <v>3027</v>
      </c>
      <c r="M98" s="15" t="s">
        <v>3027</v>
      </c>
      <c r="N98" s="15" t="s">
        <v>3027</v>
      </c>
      <c r="O98" s="75"/>
      <c r="P98" s="15" t="s">
        <v>522</v>
      </c>
      <c r="Q98" s="75"/>
      <c r="R98" s="15" t="s">
        <v>522</v>
      </c>
    </row>
    <row r="99" spans="2:18">
      <c r="B99" s="15">
        <v>1</v>
      </c>
      <c r="C99" s="15" t="s">
        <v>516</v>
      </c>
      <c r="D99" s="15" t="s">
        <v>526</v>
      </c>
      <c r="E99" s="15">
        <v>11</v>
      </c>
      <c r="F99" s="15">
        <v>15</v>
      </c>
      <c r="G99" s="15">
        <v>74</v>
      </c>
      <c r="H99" s="15" t="s">
        <v>539</v>
      </c>
      <c r="I99" s="15" t="s">
        <v>3027</v>
      </c>
      <c r="J99" s="15" t="s">
        <v>3027</v>
      </c>
      <c r="K99" s="15" t="s">
        <v>3027</v>
      </c>
      <c r="L99" s="15" t="s">
        <v>3027</v>
      </c>
      <c r="M99" s="15" t="s">
        <v>3027</v>
      </c>
      <c r="N99" s="15" t="s">
        <v>3027</v>
      </c>
      <c r="O99" s="75"/>
      <c r="P99" s="15" t="s">
        <v>522</v>
      </c>
      <c r="Q99" s="75"/>
      <c r="R99" s="15" t="s">
        <v>522</v>
      </c>
    </row>
    <row r="100" spans="2:18">
      <c r="B100" s="15">
        <v>1</v>
      </c>
      <c r="C100" s="15" t="s">
        <v>516</v>
      </c>
      <c r="D100" s="15" t="s">
        <v>526</v>
      </c>
      <c r="E100" s="15">
        <v>12</v>
      </c>
      <c r="F100" s="15">
        <v>15</v>
      </c>
      <c r="G100" s="15">
        <v>73</v>
      </c>
      <c r="H100" s="15" t="s">
        <v>539</v>
      </c>
      <c r="I100" s="15" t="s">
        <v>3027</v>
      </c>
      <c r="J100" s="15" t="s">
        <v>3027</v>
      </c>
      <c r="K100" s="15" t="s">
        <v>3027</v>
      </c>
      <c r="L100" s="15" t="s">
        <v>3027</v>
      </c>
      <c r="M100" s="15" t="s">
        <v>3027</v>
      </c>
      <c r="N100" s="15" t="s">
        <v>3027</v>
      </c>
      <c r="O100" s="75"/>
      <c r="P100" s="15" t="s">
        <v>522</v>
      </c>
      <c r="Q100" s="75"/>
      <c r="R100" s="15" t="s">
        <v>522</v>
      </c>
    </row>
    <row r="101" spans="2:18">
      <c r="B101" s="15">
        <v>1</v>
      </c>
      <c r="C101" s="15" t="s">
        <v>516</v>
      </c>
      <c r="D101" s="15" t="s">
        <v>526</v>
      </c>
      <c r="E101" s="15">
        <v>13</v>
      </c>
      <c r="F101" s="15">
        <v>15</v>
      </c>
      <c r="G101" s="15">
        <v>72</v>
      </c>
      <c r="H101" s="15" t="s">
        <v>539</v>
      </c>
      <c r="I101" s="15" t="s">
        <v>3027</v>
      </c>
      <c r="J101" s="15" t="s">
        <v>3027</v>
      </c>
      <c r="K101" s="15" t="s">
        <v>3027</v>
      </c>
      <c r="L101" s="15" t="s">
        <v>3027</v>
      </c>
      <c r="M101" s="15" t="s">
        <v>3027</v>
      </c>
      <c r="N101" s="15" t="s">
        <v>3027</v>
      </c>
      <c r="O101" s="75"/>
      <c r="P101" s="15" t="s">
        <v>522</v>
      </c>
      <c r="Q101" s="75"/>
      <c r="R101" s="15" t="s">
        <v>522</v>
      </c>
    </row>
    <row r="102" spans="2:18">
      <c r="B102" s="15">
        <v>1</v>
      </c>
      <c r="C102" s="15" t="s">
        <v>516</v>
      </c>
      <c r="D102" s="15" t="s">
        <v>526</v>
      </c>
      <c r="E102" s="15">
        <v>14</v>
      </c>
      <c r="F102" s="15">
        <v>15</v>
      </c>
      <c r="G102" s="15">
        <v>71</v>
      </c>
      <c r="H102" s="15" t="s">
        <v>539</v>
      </c>
      <c r="I102" s="15" t="s">
        <v>3027</v>
      </c>
      <c r="J102" s="15" t="s">
        <v>3027</v>
      </c>
      <c r="K102" s="15" t="s">
        <v>3027</v>
      </c>
      <c r="L102" s="15" t="s">
        <v>3027</v>
      </c>
      <c r="M102" s="15" t="s">
        <v>3027</v>
      </c>
      <c r="N102" s="15" t="s">
        <v>3027</v>
      </c>
      <c r="O102" s="75"/>
      <c r="P102" s="15" t="s">
        <v>522</v>
      </c>
      <c r="Q102" s="75"/>
      <c r="R102" s="15" t="s">
        <v>522</v>
      </c>
    </row>
    <row r="103" spans="2:18">
      <c r="B103" s="15">
        <v>1</v>
      </c>
      <c r="C103" s="15" t="s">
        <v>516</v>
      </c>
      <c r="D103" s="15" t="s">
        <v>526</v>
      </c>
      <c r="E103" s="15">
        <v>15</v>
      </c>
      <c r="F103" s="15">
        <v>15</v>
      </c>
      <c r="G103" s="15">
        <v>70</v>
      </c>
      <c r="H103" s="15" t="s">
        <v>539</v>
      </c>
      <c r="I103" s="15" t="s">
        <v>3027</v>
      </c>
      <c r="J103" s="15" t="s">
        <v>3027</v>
      </c>
      <c r="K103" s="15" t="s">
        <v>3027</v>
      </c>
      <c r="L103" s="15" t="s">
        <v>3027</v>
      </c>
      <c r="M103" s="15" t="s">
        <v>3027</v>
      </c>
      <c r="N103" s="15" t="s">
        <v>3027</v>
      </c>
      <c r="O103" s="75"/>
      <c r="P103" s="15" t="s">
        <v>522</v>
      </c>
      <c r="Q103" s="75"/>
      <c r="R103" s="15" t="s">
        <v>522</v>
      </c>
    </row>
    <row r="104" spans="2:18">
      <c r="B104" s="15">
        <v>1</v>
      </c>
      <c r="C104" s="15" t="s">
        <v>516</v>
      </c>
      <c r="D104" s="15" t="s">
        <v>526</v>
      </c>
      <c r="E104" s="15">
        <v>16</v>
      </c>
      <c r="F104" s="15">
        <v>15</v>
      </c>
      <c r="G104" s="15">
        <v>69</v>
      </c>
      <c r="H104" s="15" t="s">
        <v>539</v>
      </c>
      <c r="I104" s="15" t="s">
        <v>3027</v>
      </c>
      <c r="J104" s="15" t="s">
        <v>3027</v>
      </c>
      <c r="K104" s="15" t="s">
        <v>3027</v>
      </c>
      <c r="L104" s="15" t="s">
        <v>3027</v>
      </c>
      <c r="M104" s="15" t="s">
        <v>3027</v>
      </c>
      <c r="N104" s="15" t="s">
        <v>3027</v>
      </c>
      <c r="O104" s="75"/>
      <c r="P104" s="15" t="s">
        <v>522</v>
      </c>
      <c r="Q104" s="75"/>
      <c r="R104" s="15" t="s">
        <v>522</v>
      </c>
    </row>
    <row r="105" spans="2:18">
      <c r="B105" s="15">
        <v>1</v>
      </c>
      <c r="C105" s="15" t="s">
        <v>516</v>
      </c>
      <c r="D105" s="15" t="s">
        <v>526</v>
      </c>
      <c r="E105" s="15">
        <v>17</v>
      </c>
      <c r="F105" s="15">
        <v>15</v>
      </c>
      <c r="G105" s="15">
        <v>68</v>
      </c>
      <c r="H105" s="15" t="s">
        <v>539</v>
      </c>
      <c r="I105" s="15" t="s">
        <v>3027</v>
      </c>
      <c r="J105" s="15" t="s">
        <v>3027</v>
      </c>
      <c r="K105" s="15" t="s">
        <v>3027</v>
      </c>
      <c r="L105" s="15" t="s">
        <v>3027</v>
      </c>
      <c r="M105" s="15" t="s">
        <v>3027</v>
      </c>
      <c r="N105" s="15" t="s">
        <v>3027</v>
      </c>
      <c r="O105" s="75"/>
      <c r="P105" s="15" t="s">
        <v>522</v>
      </c>
      <c r="Q105" s="75"/>
      <c r="R105" s="15" t="s">
        <v>522</v>
      </c>
    </row>
    <row r="106" spans="2:18">
      <c r="B106" s="15">
        <v>1</v>
      </c>
      <c r="C106" s="15" t="s">
        <v>516</v>
      </c>
      <c r="D106" s="15" t="s">
        <v>526</v>
      </c>
      <c r="E106" s="15">
        <v>18</v>
      </c>
      <c r="F106" s="15">
        <v>15</v>
      </c>
      <c r="G106" s="15">
        <v>67</v>
      </c>
      <c r="H106" s="15" t="s">
        <v>539</v>
      </c>
      <c r="I106" s="15" t="s">
        <v>3027</v>
      </c>
      <c r="J106" s="15" t="s">
        <v>3027</v>
      </c>
      <c r="K106" s="15" t="s">
        <v>3027</v>
      </c>
      <c r="L106" s="15" t="s">
        <v>3027</v>
      </c>
      <c r="M106" s="15" t="s">
        <v>3027</v>
      </c>
      <c r="N106" s="15" t="s">
        <v>3027</v>
      </c>
      <c r="O106" s="75"/>
      <c r="P106" s="15" t="s">
        <v>522</v>
      </c>
      <c r="Q106" s="75"/>
      <c r="R106" s="15" t="s">
        <v>522</v>
      </c>
    </row>
    <row r="107" spans="2:18">
      <c r="B107" s="15">
        <v>1</v>
      </c>
      <c r="C107" s="15" t="s">
        <v>516</v>
      </c>
      <c r="D107" s="15" t="s">
        <v>526</v>
      </c>
      <c r="E107" s="15">
        <v>19</v>
      </c>
      <c r="F107" s="15">
        <v>15</v>
      </c>
      <c r="G107" s="15">
        <v>66</v>
      </c>
      <c r="H107" s="15" t="s">
        <v>539</v>
      </c>
      <c r="I107" s="15" t="s">
        <v>3027</v>
      </c>
      <c r="J107" s="15" t="s">
        <v>3027</v>
      </c>
      <c r="K107" s="15" t="s">
        <v>3027</v>
      </c>
      <c r="L107" s="15" t="s">
        <v>3027</v>
      </c>
      <c r="M107" s="15" t="s">
        <v>3027</v>
      </c>
      <c r="N107" s="15" t="s">
        <v>3027</v>
      </c>
      <c r="O107" s="75"/>
      <c r="P107" s="15" t="s">
        <v>522</v>
      </c>
      <c r="Q107" s="75"/>
      <c r="R107" s="15" t="s">
        <v>522</v>
      </c>
    </row>
    <row r="108" spans="2:18">
      <c r="B108" s="15">
        <v>1</v>
      </c>
      <c r="C108" s="15" t="s">
        <v>516</v>
      </c>
      <c r="D108" s="15" t="s">
        <v>526</v>
      </c>
      <c r="E108" s="15">
        <v>20</v>
      </c>
      <c r="F108" s="15">
        <v>15</v>
      </c>
      <c r="G108" s="15">
        <v>65</v>
      </c>
      <c r="H108" s="15" t="s">
        <v>539</v>
      </c>
      <c r="I108" s="15" t="s">
        <v>3027</v>
      </c>
      <c r="J108" s="15" t="s">
        <v>3027</v>
      </c>
      <c r="K108" s="15" t="s">
        <v>3027</v>
      </c>
      <c r="L108" s="15" t="s">
        <v>3027</v>
      </c>
      <c r="M108" s="15" t="s">
        <v>3027</v>
      </c>
      <c r="N108" s="15" t="s">
        <v>3027</v>
      </c>
      <c r="O108" s="75"/>
      <c r="P108" s="15" t="s">
        <v>522</v>
      </c>
      <c r="Q108" s="75"/>
      <c r="R108" s="15" t="s">
        <v>522</v>
      </c>
    </row>
    <row r="109" spans="2:18">
      <c r="B109" s="15">
        <v>1</v>
      </c>
      <c r="C109" s="15" t="s">
        <v>517</v>
      </c>
      <c r="D109" s="15" t="s">
        <v>526</v>
      </c>
      <c r="E109" s="15">
        <v>5</v>
      </c>
      <c r="F109" s="15">
        <v>15</v>
      </c>
      <c r="G109" s="15">
        <v>80</v>
      </c>
      <c r="H109" s="15" t="s">
        <v>539</v>
      </c>
      <c r="I109" s="15" t="s">
        <v>3027</v>
      </c>
      <c r="J109" s="15" t="s">
        <v>3027</v>
      </c>
      <c r="K109" s="15" t="s">
        <v>3027</v>
      </c>
      <c r="L109" s="15" t="s">
        <v>3027</v>
      </c>
      <c r="M109" s="15" t="s">
        <v>3027</v>
      </c>
      <c r="N109" s="15" t="s">
        <v>3027</v>
      </c>
      <c r="O109" s="75"/>
      <c r="P109" s="15" t="s">
        <v>522</v>
      </c>
      <c r="Q109" s="75"/>
      <c r="R109" s="15" t="s">
        <v>522</v>
      </c>
    </row>
    <row r="110" spans="2:18">
      <c r="B110" s="15">
        <v>1</v>
      </c>
      <c r="C110" s="15" t="s">
        <v>517</v>
      </c>
      <c r="D110" s="15" t="s">
        <v>526</v>
      </c>
      <c r="E110" s="15">
        <v>6</v>
      </c>
      <c r="F110" s="15">
        <v>15</v>
      </c>
      <c r="G110" s="15">
        <v>79</v>
      </c>
      <c r="H110" s="15" t="s">
        <v>539</v>
      </c>
      <c r="I110" s="15" t="s">
        <v>3027</v>
      </c>
      <c r="J110" s="15" t="s">
        <v>3027</v>
      </c>
      <c r="K110" s="15" t="s">
        <v>3027</v>
      </c>
      <c r="L110" s="15" t="s">
        <v>3027</v>
      </c>
      <c r="M110" s="15" t="s">
        <v>3027</v>
      </c>
      <c r="N110" s="15" t="s">
        <v>3027</v>
      </c>
      <c r="O110" s="75"/>
      <c r="P110" s="15" t="s">
        <v>522</v>
      </c>
      <c r="Q110" s="75"/>
      <c r="R110" s="15" t="s">
        <v>522</v>
      </c>
    </row>
    <row r="111" spans="2:18">
      <c r="B111" s="15">
        <v>1</v>
      </c>
      <c r="C111" s="15" t="s">
        <v>517</v>
      </c>
      <c r="D111" s="15" t="s">
        <v>526</v>
      </c>
      <c r="E111" s="15">
        <v>7</v>
      </c>
      <c r="F111" s="15">
        <v>15</v>
      </c>
      <c r="G111" s="15">
        <v>78</v>
      </c>
      <c r="H111" s="15" t="s">
        <v>539</v>
      </c>
      <c r="I111" s="15" t="s">
        <v>3027</v>
      </c>
      <c r="J111" s="15" t="s">
        <v>3027</v>
      </c>
      <c r="K111" s="15" t="s">
        <v>3027</v>
      </c>
      <c r="L111" s="15" t="s">
        <v>3027</v>
      </c>
      <c r="M111" s="15" t="s">
        <v>3027</v>
      </c>
      <c r="N111" s="15" t="s">
        <v>3027</v>
      </c>
      <c r="O111" s="75"/>
      <c r="P111" s="15" t="s">
        <v>522</v>
      </c>
      <c r="Q111" s="75"/>
      <c r="R111" s="15" t="s">
        <v>522</v>
      </c>
    </row>
    <row r="112" spans="2:18">
      <c r="B112" s="15">
        <v>1</v>
      </c>
      <c r="C112" s="15" t="s">
        <v>517</v>
      </c>
      <c r="D112" s="15" t="s">
        <v>526</v>
      </c>
      <c r="E112" s="15">
        <v>8</v>
      </c>
      <c r="F112" s="15">
        <v>15</v>
      </c>
      <c r="G112" s="15">
        <v>77</v>
      </c>
      <c r="H112" s="15" t="s">
        <v>539</v>
      </c>
      <c r="I112" s="15" t="s">
        <v>3027</v>
      </c>
      <c r="J112" s="15" t="s">
        <v>3027</v>
      </c>
      <c r="K112" s="15" t="s">
        <v>3027</v>
      </c>
      <c r="L112" s="15" t="s">
        <v>3027</v>
      </c>
      <c r="M112" s="15" t="s">
        <v>3027</v>
      </c>
      <c r="N112" s="15" t="s">
        <v>3027</v>
      </c>
      <c r="O112" s="75"/>
      <c r="P112" s="15" t="s">
        <v>522</v>
      </c>
      <c r="Q112" s="75"/>
      <c r="R112" s="15" t="s">
        <v>522</v>
      </c>
    </row>
    <row r="113" spans="2:18">
      <c r="B113" s="15">
        <v>1</v>
      </c>
      <c r="C113" s="15" t="s">
        <v>517</v>
      </c>
      <c r="D113" s="15" t="s">
        <v>526</v>
      </c>
      <c r="E113" s="15">
        <v>9</v>
      </c>
      <c r="F113" s="15">
        <v>15</v>
      </c>
      <c r="G113" s="15">
        <v>76</v>
      </c>
      <c r="H113" s="15" t="s">
        <v>539</v>
      </c>
      <c r="I113" s="15" t="s">
        <v>3027</v>
      </c>
      <c r="J113" s="15" t="s">
        <v>3027</v>
      </c>
      <c r="K113" s="15" t="s">
        <v>3027</v>
      </c>
      <c r="L113" s="15" t="s">
        <v>3027</v>
      </c>
      <c r="M113" s="15" t="s">
        <v>3027</v>
      </c>
      <c r="N113" s="15" t="s">
        <v>3027</v>
      </c>
      <c r="O113" s="75"/>
      <c r="P113" s="15" t="s">
        <v>522</v>
      </c>
      <c r="Q113" s="75"/>
      <c r="R113" s="15" t="s">
        <v>522</v>
      </c>
    </row>
    <row r="114" spans="2:18">
      <c r="B114" s="15">
        <v>1</v>
      </c>
      <c r="C114" s="15" t="s">
        <v>517</v>
      </c>
      <c r="D114" s="15" t="s">
        <v>526</v>
      </c>
      <c r="E114" s="15">
        <v>10</v>
      </c>
      <c r="F114" s="15">
        <v>15</v>
      </c>
      <c r="G114" s="15">
        <v>75</v>
      </c>
      <c r="H114" s="15" t="s">
        <v>539</v>
      </c>
      <c r="I114" s="15" t="s">
        <v>3027</v>
      </c>
      <c r="J114" s="15" t="s">
        <v>3027</v>
      </c>
      <c r="K114" s="15" t="s">
        <v>3027</v>
      </c>
      <c r="L114" s="15" t="s">
        <v>3027</v>
      </c>
      <c r="M114" s="15" t="s">
        <v>3027</v>
      </c>
      <c r="N114" s="15" t="s">
        <v>3027</v>
      </c>
      <c r="O114" s="75"/>
      <c r="P114" s="15" t="s">
        <v>522</v>
      </c>
      <c r="Q114" s="75"/>
      <c r="R114" s="15" t="s">
        <v>522</v>
      </c>
    </row>
    <row r="115" spans="2:18">
      <c r="B115" s="15">
        <v>1</v>
      </c>
      <c r="C115" s="15" t="s">
        <v>517</v>
      </c>
      <c r="D115" s="15" t="s">
        <v>526</v>
      </c>
      <c r="E115" s="15">
        <v>11</v>
      </c>
      <c r="F115" s="15">
        <v>15</v>
      </c>
      <c r="G115" s="15">
        <v>74</v>
      </c>
      <c r="H115" s="15" t="s">
        <v>539</v>
      </c>
      <c r="I115" s="15" t="s">
        <v>3027</v>
      </c>
      <c r="J115" s="15" t="s">
        <v>3027</v>
      </c>
      <c r="K115" s="15" t="s">
        <v>3027</v>
      </c>
      <c r="L115" s="15" t="s">
        <v>3027</v>
      </c>
      <c r="M115" s="15" t="s">
        <v>3027</v>
      </c>
      <c r="N115" s="15" t="s">
        <v>3027</v>
      </c>
      <c r="O115" s="75"/>
      <c r="P115" s="15" t="s">
        <v>522</v>
      </c>
      <c r="Q115" s="75"/>
      <c r="R115" s="15" t="s">
        <v>522</v>
      </c>
    </row>
    <row r="116" spans="2:18">
      <c r="B116" s="15">
        <v>1</v>
      </c>
      <c r="C116" s="15" t="s">
        <v>517</v>
      </c>
      <c r="D116" s="15" t="s">
        <v>526</v>
      </c>
      <c r="E116" s="15">
        <v>12</v>
      </c>
      <c r="F116" s="15">
        <v>15</v>
      </c>
      <c r="G116" s="15">
        <v>73</v>
      </c>
      <c r="H116" s="15" t="s">
        <v>539</v>
      </c>
      <c r="I116" s="15" t="s">
        <v>3027</v>
      </c>
      <c r="J116" s="15" t="s">
        <v>3027</v>
      </c>
      <c r="K116" s="15" t="s">
        <v>3027</v>
      </c>
      <c r="L116" s="15" t="s">
        <v>3027</v>
      </c>
      <c r="M116" s="15" t="s">
        <v>3027</v>
      </c>
      <c r="N116" s="15" t="s">
        <v>3027</v>
      </c>
      <c r="O116" s="75"/>
      <c r="P116" s="15" t="s">
        <v>522</v>
      </c>
      <c r="Q116" s="75"/>
      <c r="R116" s="15" t="s">
        <v>522</v>
      </c>
    </row>
    <row r="117" spans="2:18">
      <c r="B117" s="15">
        <v>1</v>
      </c>
      <c r="C117" s="15" t="s">
        <v>517</v>
      </c>
      <c r="D117" s="15" t="s">
        <v>526</v>
      </c>
      <c r="E117" s="15">
        <v>13</v>
      </c>
      <c r="F117" s="15">
        <v>15</v>
      </c>
      <c r="G117" s="15">
        <v>72</v>
      </c>
      <c r="H117" s="15" t="s">
        <v>539</v>
      </c>
      <c r="I117" s="15" t="s">
        <v>3027</v>
      </c>
      <c r="J117" s="15" t="s">
        <v>3027</v>
      </c>
      <c r="K117" s="15" t="s">
        <v>3027</v>
      </c>
      <c r="L117" s="15" t="s">
        <v>3027</v>
      </c>
      <c r="M117" s="15" t="s">
        <v>3027</v>
      </c>
      <c r="N117" s="15" t="s">
        <v>3027</v>
      </c>
      <c r="O117" s="75"/>
      <c r="P117" s="15" t="s">
        <v>522</v>
      </c>
      <c r="Q117" s="75"/>
      <c r="R117" s="15" t="s">
        <v>522</v>
      </c>
    </row>
    <row r="118" spans="2:18">
      <c r="B118" s="15">
        <v>1</v>
      </c>
      <c r="C118" s="15" t="s">
        <v>517</v>
      </c>
      <c r="D118" s="15" t="s">
        <v>526</v>
      </c>
      <c r="E118" s="15">
        <v>14</v>
      </c>
      <c r="F118" s="15">
        <v>15</v>
      </c>
      <c r="G118" s="15">
        <v>71</v>
      </c>
      <c r="H118" s="15" t="s">
        <v>539</v>
      </c>
      <c r="I118" s="15" t="s">
        <v>3027</v>
      </c>
      <c r="J118" s="15" t="s">
        <v>3027</v>
      </c>
      <c r="K118" s="15" t="s">
        <v>3027</v>
      </c>
      <c r="L118" s="15" t="s">
        <v>3027</v>
      </c>
      <c r="M118" s="15" t="s">
        <v>3027</v>
      </c>
      <c r="N118" s="15" t="s">
        <v>3027</v>
      </c>
      <c r="O118" s="75"/>
      <c r="P118" s="15" t="s">
        <v>522</v>
      </c>
      <c r="Q118" s="75"/>
      <c r="R118" s="15" t="s">
        <v>522</v>
      </c>
    </row>
    <row r="119" spans="2:18">
      <c r="B119" s="15">
        <v>1</v>
      </c>
      <c r="C119" s="15" t="s">
        <v>517</v>
      </c>
      <c r="D119" s="15" t="s">
        <v>526</v>
      </c>
      <c r="E119" s="15">
        <v>15</v>
      </c>
      <c r="F119" s="15">
        <v>15</v>
      </c>
      <c r="G119" s="15">
        <v>70</v>
      </c>
      <c r="H119" s="15" t="s">
        <v>539</v>
      </c>
      <c r="I119" s="15" t="s">
        <v>3027</v>
      </c>
      <c r="J119" s="15" t="s">
        <v>3027</v>
      </c>
      <c r="K119" s="15" t="s">
        <v>3027</v>
      </c>
      <c r="L119" s="15" t="s">
        <v>3027</v>
      </c>
      <c r="M119" s="15" t="s">
        <v>3027</v>
      </c>
      <c r="N119" s="15" t="s">
        <v>3027</v>
      </c>
      <c r="O119" s="75"/>
      <c r="P119" s="15" t="s">
        <v>522</v>
      </c>
      <c r="Q119" s="75"/>
      <c r="R119" s="15" t="s">
        <v>522</v>
      </c>
    </row>
    <row r="120" spans="2:18">
      <c r="B120" s="15">
        <v>1</v>
      </c>
      <c r="C120" s="15" t="s">
        <v>517</v>
      </c>
      <c r="D120" s="15" t="s">
        <v>526</v>
      </c>
      <c r="E120" s="15">
        <v>16</v>
      </c>
      <c r="F120" s="15">
        <v>15</v>
      </c>
      <c r="G120" s="15">
        <v>69</v>
      </c>
      <c r="H120" s="15" t="s">
        <v>539</v>
      </c>
      <c r="I120" s="15" t="s">
        <v>3027</v>
      </c>
      <c r="J120" s="15" t="s">
        <v>3027</v>
      </c>
      <c r="K120" s="15" t="s">
        <v>3027</v>
      </c>
      <c r="L120" s="15" t="s">
        <v>3027</v>
      </c>
      <c r="M120" s="15" t="s">
        <v>3027</v>
      </c>
      <c r="N120" s="15" t="s">
        <v>3027</v>
      </c>
      <c r="O120" s="75"/>
      <c r="P120" s="15" t="s">
        <v>522</v>
      </c>
      <c r="Q120" s="75"/>
      <c r="R120" s="15" t="s">
        <v>522</v>
      </c>
    </row>
    <row r="121" spans="2:18">
      <c r="B121" s="15">
        <v>1</v>
      </c>
      <c r="C121" s="15" t="s">
        <v>517</v>
      </c>
      <c r="D121" s="15" t="s">
        <v>526</v>
      </c>
      <c r="E121" s="15">
        <v>17</v>
      </c>
      <c r="F121" s="15">
        <v>15</v>
      </c>
      <c r="G121" s="15">
        <v>68</v>
      </c>
      <c r="H121" s="15" t="s">
        <v>539</v>
      </c>
      <c r="I121" s="15" t="s">
        <v>3027</v>
      </c>
      <c r="J121" s="15" t="s">
        <v>3027</v>
      </c>
      <c r="K121" s="15" t="s">
        <v>3027</v>
      </c>
      <c r="L121" s="15" t="s">
        <v>3027</v>
      </c>
      <c r="M121" s="15" t="s">
        <v>3027</v>
      </c>
      <c r="N121" s="15" t="s">
        <v>3027</v>
      </c>
      <c r="O121" s="75"/>
      <c r="P121" s="15" t="s">
        <v>522</v>
      </c>
      <c r="Q121" s="75"/>
      <c r="R121" s="15" t="s">
        <v>522</v>
      </c>
    </row>
    <row r="122" spans="2:18">
      <c r="B122" s="15">
        <v>1</v>
      </c>
      <c r="C122" s="15" t="s">
        <v>517</v>
      </c>
      <c r="D122" s="15" t="s">
        <v>526</v>
      </c>
      <c r="E122" s="15">
        <v>18</v>
      </c>
      <c r="F122" s="15">
        <v>15</v>
      </c>
      <c r="G122" s="15">
        <v>67</v>
      </c>
      <c r="H122" s="15" t="s">
        <v>539</v>
      </c>
      <c r="I122" s="15" t="s">
        <v>3027</v>
      </c>
      <c r="J122" s="15" t="s">
        <v>3027</v>
      </c>
      <c r="K122" s="15" t="s">
        <v>3027</v>
      </c>
      <c r="L122" s="15" t="s">
        <v>3027</v>
      </c>
      <c r="M122" s="15" t="s">
        <v>3027</v>
      </c>
      <c r="N122" s="15" t="s">
        <v>3027</v>
      </c>
      <c r="O122" s="75"/>
      <c r="P122" s="15" t="s">
        <v>522</v>
      </c>
      <c r="Q122" s="75"/>
      <c r="R122" s="15" t="s">
        <v>522</v>
      </c>
    </row>
    <row r="123" spans="2:18">
      <c r="B123" s="15">
        <v>1</v>
      </c>
      <c r="C123" s="15" t="s">
        <v>517</v>
      </c>
      <c r="D123" s="15" t="s">
        <v>526</v>
      </c>
      <c r="E123" s="15">
        <v>19</v>
      </c>
      <c r="F123" s="15">
        <v>15</v>
      </c>
      <c r="G123" s="15">
        <v>66</v>
      </c>
      <c r="H123" s="15" t="s">
        <v>539</v>
      </c>
      <c r="I123" s="15" t="s">
        <v>3027</v>
      </c>
      <c r="J123" s="15" t="s">
        <v>3027</v>
      </c>
      <c r="K123" s="15" t="s">
        <v>3027</v>
      </c>
      <c r="L123" s="15" t="s">
        <v>3027</v>
      </c>
      <c r="M123" s="15" t="s">
        <v>3027</v>
      </c>
      <c r="N123" s="15" t="s">
        <v>3027</v>
      </c>
      <c r="O123" s="75"/>
      <c r="P123" s="15" t="s">
        <v>522</v>
      </c>
      <c r="Q123" s="75"/>
      <c r="R123" s="15" t="s">
        <v>522</v>
      </c>
    </row>
    <row r="124" spans="2:18">
      <c r="B124" s="15">
        <v>1</v>
      </c>
      <c r="C124" s="15" t="s">
        <v>517</v>
      </c>
      <c r="D124" s="15" t="s">
        <v>526</v>
      </c>
      <c r="E124" s="15">
        <v>20</v>
      </c>
      <c r="F124" s="15">
        <v>15</v>
      </c>
      <c r="G124" s="15">
        <v>65</v>
      </c>
      <c r="H124" s="15" t="s">
        <v>539</v>
      </c>
      <c r="I124" s="15" t="s">
        <v>3027</v>
      </c>
      <c r="J124" s="15" t="s">
        <v>3027</v>
      </c>
      <c r="K124" s="15" t="s">
        <v>3027</v>
      </c>
      <c r="L124" s="15" t="s">
        <v>3027</v>
      </c>
      <c r="M124" s="15" t="s">
        <v>3027</v>
      </c>
      <c r="N124" s="15" t="s">
        <v>3027</v>
      </c>
      <c r="O124" s="75"/>
      <c r="P124" s="15" t="s">
        <v>522</v>
      </c>
      <c r="Q124" s="75"/>
      <c r="R124" s="15" t="s">
        <v>522</v>
      </c>
    </row>
    <row r="125" spans="2:18">
      <c r="B125" s="15">
        <v>2</v>
      </c>
      <c r="C125" s="15" t="s">
        <v>176</v>
      </c>
      <c r="D125" s="15" t="s">
        <v>526</v>
      </c>
      <c r="E125" s="15">
        <v>10</v>
      </c>
      <c r="F125" s="15">
        <v>0</v>
      </c>
      <c r="G125" s="15">
        <v>65</v>
      </c>
      <c r="H125" s="15" t="s">
        <v>534</v>
      </c>
      <c r="I125" s="15" t="s">
        <v>3027</v>
      </c>
      <c r="J125" s="15" t="s">
        <v>3027</v>
      </c>
      <c r="K125" s="15" t="s">
        <v>3027</v>
      </c>
      <c r="L125" s="15" t="s">
        <v>3027</v>
      </c>
      <c r="M125" s="15" t="s">
        <v>3027</v>
      </c>
      <c r="N125" s="15" t="s">
        <v>3027</v>
      </c>
      <c r="O125" s="75"/>
      <c r="P125" s="15" t="s">
        <v>522</v>
      </c>
      <c r="Q125" s="75"/>
      <c r="R125" s="15" t="s">
        <v>522</v>
      </c>
    </row>
    <row r="126" spans="2:18">
      <c r="B126" s="15">
        <v>2</v>
      </c>
      <c r="C126" s="15" t="s">
        <v>176</v>
      </c>
      <c r="D126" s="15" t="s">
        <v>526</v>
      </c>
      <c r="E126" s="15">
        <v>15</v>
      </c>
      <c r="F126" s="15">
        <v>0</v>
      </c>
      <c r="G126" s="15">
        <v>60</v>
      </c>
      <c r="H126" s="15" t="s">
        <v>534</v>
      </c>
      <c r="I126" s="15" t="s">
        <v>3027</v>
      </c>
      <c r="J126" s="15" t="s">
        <v>3027</v>
      </c>
      <c r="K126" s="15" t="s">
        <v>3027</v>
      </c>
      <c r="L126" s="15" t="s">
        <v>3027</v>
      </c>
      <c r="M126" s="15" t="s">
        <v>3027</v>
      </c>
      <c r="N126" s="15" t="s">
        <v>3027</v>
      </c>
      <c r="O126" s="75"/>
      <c r="P126" s="15" t="s">
        <v>522</v>
      </c>
      <c r="Q126" s="75"/>
      <c r="R126" s="15" t="s">
        <v>522</v>
      </c>
    </row>
    <row r="127" spans="2:18">
      <c r="B127" s="15">
        <v>2</v>
      </c>
      <c r="C127" s="15" t="s">
        <v>176</v>
      </c>
      <c r="D127" s="15" t="s">
        <v>526</v>
      </c>
      <c r="E127" s="15">
        <v>20</v>
      </c>
      <c r="F127" s="15">
        <v>0</v>
      </c>
      <c r="G127" s="15">
        <v>55</v>
      </c>
      <c r="H127" s="15" t="s">
        <v>534</v>
      </c>
      <c r="I127" s="15" t="s">
        <v>3027</v>
      </c>
      <c r="J127" s="15" t="s">
        <v>3027</v>
      </c>
      <c r="K127" s="15" t="s">
        <v>3027</v>
      </c>
      <c r="L127" s="15" t="s">
        <v>3027</v>
      </c>
      <c r="M127" s="15" t="s">
        <v>3027</v>
      </c>
      <c r="N127" s="15" t="s">
        <v>3027</v>
      </c>
      <c r="O127" s="75"/>
      <c r="P127" s="15" t="s">
        <v>522</v>
      </c>
      <c r="Q127" s="75"/>
      <c r="R127" s="15" t="s">
        <v>522</v>
      </c>
    </row>
    <row r="128" spans="2:18">
      <c r="B128" s="15">
        <v>2</v>
      </c>
      <c r="C128" s="15" t="s">
        <v>177</v>
      </c>
      <c r="D128" s="15" t="s">
        <v>526</v>
      </c>
      <c r="E128" s="15">
        <v>10</v>
      </c>
      <c r="F128" s="15">
        <v>0</v>
      </c>
      <c r="G128" s="15">
        <v>65</v>
      </c>
      <c r="H128" s="15" t="s">
        <v>534</v>
      </c>
      <c r="I128" s="15">
        <v>0</v>
      </c>
      <c r="J128" s="15">
        <v>65</v>
      </c>
      <c r="K128" s="15" t="s">
        <v>534</v>
      </c>
      <c r="L128" s="15">
        <v>0</v>
      </c>
      <c r="M128" s="15">
        <v>65</v>
      </c>
      <c r="N128" s="15" t="s">
        <v>534</v>
      </c>
      <c r="O128" s="75"/>
      <c r="P128" s="15" t="s">
        <v>522</v>
      </c>
      <c r="Q128" s="75"/>
      <c r="R128" s="15" t="s">
        <v>522</v>
      </c>
    </row>
    <row r="129" spans="2:18">
      <c r="B129" s="15">
        <v>2</v>
      </c>
      <c r="C129" s="15" t="s">
        <v>177</v>
      </c>
      <c r="D129" s="15" t="s">
        <v>526</v>
      </c>
      <c r="E129" s="15">
        <v>15</v>
      </c>
      <c r="F129" s="15">
        <v>0</v>
      </c>
      <c r="G129" s="15">
        <v>65</v>
      </c>
      <c r="H129" s="15" t="s">
        <v>534</v>
      </c>
      <c r="I129" s="15">
        <v>0</v>
      </c>
      <c r="J129" s="15">
        <v>65</v>
      </c>
      <c r="K129" s="15" t="s">
        <v>534</v>
      </c>
      <c r="L129" s="15">
        <v>0</v>
      </c>
      <c r="M129" s="15">
        <v>65</v>
      </c>
      <c r="N129" s="15" t="s">
        <v>534</v>
      </c>
      <c r="O129" s="75"/>
      <c r="P129" s="15" t="s">
        <v>522</v>
      </c>
      <c r="Q129" s="75"/>
      <c r="R129" s="15" t="s">
        <v>522</v>
      </c>
    </row>
    <row r="130" spans="2:18">
      <c r="B130" s="15">
        <v>2</v>
      </c>
      <c r="C130" s="15" t="s">
        <v>177</v>
      </c>
      <c r="D130" s="15" t="s">
        <v>526</v>
      </c>
      <c r="E130" s="15">
        <v>20</v>
      </c>
      <c r="F130" s="15">
        <v>0</v>
      </c>
      <c r="G130" s="15">
        <v>60</v>
      </c>
      <c r="H130" s="15" t="s">
        <v>534</v>
      </c>
      <c r="I130" s="15">
        <v>0</v>
      </c>
      <c r="J130" s="15">
        <v>60</v>
      </c>
      <c r="K130" s="15" t="s">
        <v>534</v>
      </c>
      <c r="L130" s="15">
        <v>0</v>
      </c>
      <c r="M130" s="15">
        <v>60</v>
      </c>
      <c r="N130" s="15" t="s">
        <v>534</v>
      </c>
      <c r="O130" s="75"/>
      <c r="P130" s="15" t="s">
        <v>522</v>
      </c>
      <c r="Q130" s="75"/>
      <c r="R130" s="15" t="s">
        <v>522</v>
      </c>
    </row>
    <row r="131" spans="2:18">
      <c r="B131" s="15">
        <v>2</v>
      </c>
      <c r="C131" s="15" t="s">
        <v>510</v>
      </c>
      <c r="D131" s="15" t="s">
        <v>526</v>
      </c>
      <c r="E131" s="15">
        <v>10</v>
      </c>
      <c r="F131" s="15">
        <v>0</v>
      </c>
      <c r="G131" s="15">
        <v>55</v>
      </c>
      <c r="H131" s="15" t="s">
        <v>534</v>
      </c>
      <c r="I131" s="15" t="s">
        <v>3027</v>
      </c>
      <c r="J131" s="15" t="s">
        <v>3027</v>
      </c>
      <c r="K131" s="15" t="s">
        <v>3027</v>
      </c>
      <c r="L131" s="15" t="s">
        <v>3027</v>
      </c>
      <c r="M131" s="15" t="s">
        <v>3027</v>
      </c>
      <c r="N131" s="15" t="s">
        <v>3027</v>
      </c>
      <c r="O131" s="75"/>
      <c r="P131" s="15" t="s">
        <v>522</v>
      </c>
      <c r="Q131" s="75"/>
      <c r="R131" s="15" t="s">
        <v>522</v>
      </c>
    </row>
    <row r="132" spans="2:18">
      <c r="B132" s="15">
        <v>2</v>
      </c>
      <c r="C132" s="15" t="s">
        <v>510</v>
      </c>
      <c r="D132" s="15" t="s">
        <v>526</v>
      </c>
      <c r="E132" s="15">
        <v>20</v>
      </c>
      <c r="F132" s="15">
        <v>0</v>
      </c>
      <c r="G132" s="15">
        <v>50</v>
      </c>
      <c r="H132" s="15" t="s">
        <v>534</v>
      </c>
      <c r="I132" s="15" t="s">
        <v>3027</v>
      </c>
      <c r="J132" s="15" t="s">
        <v>3027</v>
      </c>
      <c r="K132" s="15" t="s">
        <v>3027</v>
      </c>
      <c r="L132" s="15" t="s">
        <v>3027</v>
      </c>
      <c r="M132" s="15" t="s">
        <v>3027</v>
      </c>
      <c r="N132" s="15" t="s">
        <v>3027</v>
      </c>
      <c r="O132" s="75"/>
      <c r="P132" s="15" t="s">
        <v>522</v>
      </c>
      <c r="Q132" s="75"/>
      <c r="R132" s="15" t="s">
        <v>522</v>
      </c>
    </row>
    <row r="133" spans="2:18">
      <c r="B133" s="15">
        <v>2</v>
      </c>
      <c r="C133" s="15" t="s">
        <v>507</v>
      </c>
      <c r="D133" s="15" t="s">
        <v>526</v>
      </c>
      <c r="E133" s="15">
        <v>1</v>
      </c>
      <c r="F133" s="15">
        <v>0</v>
      </c>
      <c r="G133" s="15">
        <v>70</v>
      </c>
      <c r="H133" s="15" t="s">
        <v>534</v>
      </c>
      <c r="I133" s="15">
        <v>14</v>
      </c>
      <c r="J133" s="15">
        <v>70</v>
      </c>
      <c r="K133" s="15" t="s">
        <v>539</v>
      </c>
      <c r="L133" s="15">
        <v>0</v>
      </c>
      <c r="M133" s="15">
        <v>23</v>
      </c>
      <c r="N133" s="15" t="s">
        <v>534</v>
      </c>
      <c r="O133" s="75"/>
      <c r="P133" s="15" t="s">
        <v>522</v>
      </c>
      <c r="Q133" s="75"/>
      <c r="R133" s="15" t="s">
        <v>522</v>
      </c>
    </row>
    <row r="134" spans="2:18">
      <c r="B134" s="15">
        <v>2</v>
      </c>
      <c r="C134" s="15" t="s">
        <v>508</v>
      </c>
      <c r="D134" s="15" t="s">
        <v>526</v>
      </c>
      <c r="E134" s="15">
        <v>1</v>
      </c>
      <c r="F134" s="15">
        <v>0</v>
      </c>
      <c r="G134" s="15">
        <v>65</v>
      </c>
      <c r="H134" s="15" t="s">
        <v>534</v>
      </c>
      <c r="I134" s="15">
        <v>0</v>
      </c>
      <c r="J134" s="15">
        <v>65</v>
      </c>
      <c r="K134" s="15" t="s">
        <v>534</v>
      </c>
      <c r="L134" s="15">
        <v>0</v>
      </c>
      <c r="M134" s="15">
        <v>20</v>
      </c>
      <c r="N134" s="15" t="s">
        <v>534</v>
      </c>
      <c r="O134" s="75"/>
      <c r="P134" s="15" t="s">
        <v>522</v>
      </c>
      <c r="Q134" s="75"/>
      <c r="R134" s="15" t="s">
        <v>522</v>
      </c>
    </row>
    <row r="135" spans="2:18">
      <c r="B135" s="15">
        <v>2</v>
      </c>
      <c r="C135" s="15" t="s">
        <v>511</v>
      </c>
      <c r="D135" s="15" t="s">
        <v>526</v>
      </c>
      <c r="E135" s="15">
        <v>10</v>
      </c>
      <c r="F135" s="15">
        <v>0</v>
      </c>
      <c r="G135" s="15">
        <v>70</v>
      </c>
      <c r="H135" s="15" t="s">
        <v>534</v>
      </c>
      <c r="I135" s="15" t="s">
        <v>3027</v>
      </c>
      <c r="J135" s="15" t="s">
        <v>3027</v>
      </c>
      <c r="K135" s="15" t="s">
        <v>3027</v>
      </c>
      <c r="L135" s="15" t="s">
        <v>3027</v>
      </c>
      <c r="M135" s="15" t="s">
        <v>3027</v>
      </c>
      <c r="N135" s="15" t="s">
        <v>3027</v>
      </c>
      <c r="O135" s="75"/>
      <c r="P135" s="15" t="s">
        <v>522</v>
      </c>
      <c r="Q135" s="75"/>
      <c r="R135" s="15" t="s">
        <v>522</v>
      </c>
    </row>
    <row r="136" spans="2:18">
      <c r="B136" s="15">
        <v>2</v>
      </c>
      <c r="C136" s="15" t="s">
        <v>511</v>
      </c>
      <c r="D136" s="15" t="s">
        <v>526</v>
      </c>
      <c r="E136" s="15">
        <v>20</v>
      </c>
      <c r="F136" s="15">
        <v>0</v>
      </c>
      <c r="G136" s="15">
        <v>60</v>
      </c>
      <c r="H136" s="15" t="s">
        <v>534</v>
      </c>
      <c r="I136" s="15" t="s">
        <v>3027</v>
      </c>
      <c r="J136" s="15" t="s">
        <v>3027</v>
      </c>
      <c r="K136" s="15" t="s">
        <v>3027</v>
      </c>
      <c r="L136" s="15" t="s">
        <v>3027</v>
      </c>
      <c r="M136" s="15" t="s">
        <v>3027</v>
      </c>
      <c r="N136" s="15" t="s">
        <v>3027</v>
      </c>
      <c r="O136" s="75"/>
      <c r="P136" s="15" t="s">
        <v>522</v>
      </c>
      <c r="Q136" s="75"/>
      <c r="R136" s="15" t="s">
        <v>522</v>
      </c>
    </row>
    <row r="137" spans="2:18">
      <c r="B137" s="15">
        <v>2</v>
      </c>
      <c r="C137" s="15" t="s">
        <v>511</v>
      </c>
      <c r="D137" s="15" t="s">
        <v>526</v>
      </c>
      <c r="E137" s="15">
        <v>30</v>
      </c>
      <c r="F137" s="15">
        <v>0</v>
      </c>
      <c r="G137" s="15">
        <v>50</v>
      </c>
      <c r="H137" s="15" t="s">
        <v>534</v>
      </c>
      <c r="I137" s="15" t="s">
        <v>3027</v>
      </c>
      <c r="J137" s="15" t="s">
        <v>3027</v>
      </c>
      <c r="K137" s="15" t="s">
        <v>3027</v>
      </c>
      <c r="L137" s="15" t="s">
        <v>3027</v>
      </c>
      <c r="M137" s="15" t="s">
        <v>3027</v>
      </c>
      <c r="N137" s="15" t="s">
        <v>3027</v>
      </c>
      <c r="O137" s="75"/>
      <c r="P137" s="15" t="s">
        <v>522</v>
      </c>
      <c r="Q137" s="75"/>
      <c r="R137" s="15" t="s">
        <v>522</v>
      </c>
    </row>
    <row r="138" spans="2:18">
      <c r="B138" s="15">
        <v>2</v>
      </c>
      <c r="C138" s="15" t="s">
        <v>509</v>
      </c>
      <c r="D138" s="15" t="s">
        <v>526</v>
      </c>
      <c r="E138" s="15">
        <v>1</v>
      </c>
      <c r="F138" s="15">
        <v>0</v>
      </c>
      <c r="G138" s="15">
        <v>65</v>
      </c>
      <c r="H138" s="15" t="s">
        <v>534</v>
      </c>
      <c r="I138" s="15">
        <v>0</v>
      </c>
      <c r="J138" s="15">
        <v>65</v>
      </c>
      <c r="K138" s="15" t="s">
        <v>534</v>
      </c>
      <c r="L138" s="15">
        <v>0</v>
      </c>
      <c r="M138" s="15">
        <v>20</v>
      </c>
      <c r="N138" s="15" t="s">
        <v>534</v>
      </c>
      <c r="O138" s="75"/>
      <c r="P138" s="15" t="s">
        <v>522</v>
      </c>
      <c r="Q138" s="75"/>
      <c r="R138" s="15" t="s">
        <v>522</v>
      </c>
    </row>
    <row r="139" spans="2:18">
      <c r="B139" s="15">
        <v>2</v>
      </c>
      <c r="C139" s="15" t="s">
        <v>518</v>
      </c>
      <c r="D139" s="15" t="s">
        <v>526</v>
      </c>
      <c r="E139" s="15">
        <v>10</v>
      </c>
      <c r="F139" s="15">
        <v>0</v>
      </c>
      <c r="G139" s="15">
        <v>70</v>
      </c>
      <c r="H139" s="15" t="s">
        <v>534</v>
      </c>
      <c r="I139" s="15" t="s">
        <v>3027</v>
      </c>
      <c r="J139" s="15" t="s">
        <v>3027</v>
      </c>
      <c r="K139" s="15" t="s">
        <v>3027</v>
      </c>
      <c r="L139" s="15" t="s">
        <v>3027</v>
      </c>
      <c r="M139" s="15" t="s">
        <v>3027</v>
      </c>
      <c r="N139" s="15" t="s">
        <v>3027</v>
      </c>
      <c r="O139" s="75"/>
      <c r="P139" s="15" t="s">
        <v>522</v>
      </c>
      <c r="Q139" s="75"/>
      <c r="R139" s="15" t="s">
        <v>522</v>
      </c>
    </row>
    <row r="140" spans="2:18">
      <c r="B140" s="15">
        <v>2</v>
      </c>
      <c r="C140" s="15" t="s">
        <v>518</v>
      </c>
      <c r="D140" s="15" t="s">
        <v>526</v>
      </c>
      <c r="E140" s="15">
        <v>15</v>
      </c>
      <c r="F140" s="15">
        <v>0</v>
      </c>
      <c r="G140" s="15">
        <v>65</v>
      </c>
      <c r="H140" s="15" t="s">
        <v>534</v>
      </c>
      <c r="I140" s="15" t="s">
        <v>3027</v>
      </c>
      <c r="J140" s="15" t="s">
        <v>3027</v>
      </c>
      <c r="K140" s="15" t="s">
        <v>3027</v>
      </c>
      <c r="L140" s="15" t="s">
        <v>3027</v>
      </c>
      <c r="M140" s="15" t="s">
        <v>3027</v>
      </c>
      <c r="N140" s="15" t="s">
        <v>3027</v>
      </c>
      <c r="O140" s="75"/>
      <c r="P140" s="15" t="s">
        <v>522</v>
      </c>
      <c r="Q140" s="75"/>
      <c r="R140" s="15" t="s">
        <v>522</v>
      </c>
    </row>
    <row r="141" spans="2:18">
      <c r="B141" s="15">
        <v>2</v>
      </c>
      <c r="C141" s="15" t="s">
        <v>518</v>
      </c>
      <c r="D141" s="15" t="s">
        <v>526</v>
      </c>
      <c r="E141" s="15">
        <v>20</v>
      </c>
      <c r="F141" s="15">
        <v>0</v>
      </c>
      <c r="G141" s="15">
        <v>60</v>
      </c>
      <c r="H141" s="15" t="s">
        <v>534</v>
      </c>
      <c r="I141" s="15" t="s">
        <v>3027</v>
      </c>
      <c r="J141" s="15" t="s">
        <v>3027</v>
      </c>
      <c r="K141" s="15" t="s">
        <v>3027</v>
      </c>
      <c r="L141" s="15" t="s">
        <v>3027</v>
      </c>
      <c r="M141" s="15" t="s">
        <v>3027</v>
      </c>
      <c r="N141" s="15" t="s">
        <v>3027</v>
      </c>
      <c r="O141" s="75"/>
      <c r="P141" s="15" t="s">
        <v>522</v>
      </c>
      <c r="Q141" s="75"/>
      <c r="R141" s="15" t="s">
        <v>522</v>
      </c>
    </row>
    <row r="142" spans="2:18">
      <c r="B142" s="15">
        <v>2</v>
      </c>
      <c r="C142" s="15" t="s">
        <v>519</v>
      </c>
      <c r="D142" s="15" t="s">
        <v>526</v>
      </c>
      <c r="E142" s="15">
        <v>6</v>
      </c>
      <c r="F142" s="15">
        <v>0</v>
      </c>
      <c r="G142" s="15">
        <v>74</v>
      </c>
      <c r="H142" s="15" t="s">
        <v>534</v>
      </c>
      <c r="I142" s="15" t="s">
        <v>3027</v>
      </c>
      <c r="J142" s="15" t="s">
        <v>3027</v>
      </c>
      <c r="K142" s="15" t="s">
        <v>3027</v>
      </c>
      <c r="L142" s="15" t="s">
        <v>3027</v>
      </c>
      <c r="M142" s="15" t="s">
        <v>3027</v>
      </c>
      <c r="N142" s="15" t="s">
        <v>3027</v>
      </c>
      <c r="O142" s="75"/>
      <c r="P142" s="15" t="s">
        <v>522</v>
      </c>
      <c r="Q142" s="75"/>
      <c r="R142" s="15" t="s">
        <v>522</v>
      </c>
    </row>
    <row r="143" spans="2:18" s="36" customFormat="1">
      <c r="B143" s="36">
        <v>2</v>
      </c>
      <c r="C143" s="36" t="s">
        <v>519</v>
      </c>
      <c r="D143" s="36" t="s">
        <v>526</v>
      </c>
      <c r="E143" s="36">
        <v>8</v>
      </c>
      <c r="F143" s="37">
        <v>0</v>
      </c>
      <c r="G143" s="37">
        <v>72</v>
      </c>
      <c r="H143" s="37" t="s">
        <v>534</v>
      </c>
      <c r="I143" s="36" t="s">
        <v>3027</v>
      </c>
      <c r="J143" s="36" t="s">
        <v>3027</v>
      </c>
      <c r="K143" s="36" t="s">
        <v>3027</v>
      </c>
      <c r="L143" s="36" t="s">
        <v>3027</v>
      </c>
      <c r="M143" s="36" t="s">
        <v>3027</v>
      </c>
      <c r="N143" s="36" t="s">
        <v>3027</v>
      </c>
      <c r="O143" s="115"/>
      <c r="P143" s="36" t="s">
        <v>522</v>
      </c>
      <c r="Q143" s="115"/>
      <c r="R143" s="36" t="s">
        <v>522</v>
      </c>
    </row>
    <row r="144" spans="2:18">
      <c r="B144" s="15">
        <v>2</v>
      </c>
      <c r="C144" s="15" t="s">
        <v>519</v>
      </c>
      <c r="D144" s="15" t="s">
        <v>526</v>
      </c>
      <c r="E144" s="15">
        <v>10</v>
      </c>
      <c r="F144" s="15">
        <v>0</v>
      </c>
      <c r="G144" s="15">
        <v>70</v>
      </c>
      <c r="H144" s="15" t="s">
        <v>534</v>
      </c>
      <c r="I144" s="15" t="s">
        <v>3027</v>
      </c>
      <c r="J144" s="15" t="s">
        <v>3027</v>
      </c>
      <c r="K144" s="15" t="s">
        <v>3027</v>
      </c>
      <c r="L144" s="15" t="s">
        <v>3027</v>
      </c>
      <c r="M144" s="15" t="s">
        <v>3027</v>
      </c>
      <c r="N144" s="15" t="s">
        <v>3027</v>
      </c>
      <c r="O144" s="75"/>
      <c r="P144" s="15" t="s">
        <v>522</v>
      </c>
      <c r="Q144" s="75"/>
      <c r="R144" s="15" t="s">
        <v>522</v>
      </c>
    </row>
    <row r="145" spans="2:18">
      <c r="B145" s="15">
        <v>2</v>
      </c>
      <c r="C145" s="15" t="s">
        <v>519</v>
      </c>
      <c r="D145" s="15" t="s">
        <v>526</v>
      </c>
      <c r="E145" s="15">
        <v>12</v>
      </c>
      <c r="F145" s="15">
        <v>0</v>
      </c>
      <c r="G145" s="15">
        <v>68</v>
      </c>
      <c r="H145" s="15" t="s">
        <v>534</v>
      </c>
      <c r="I145" s="37" t="s">
        <v>3027</v>
      </c>
      <c r="J145" s="37" t="s">
        <v>3027</v>
      </c>
      <c r="K145" s="37" t="s">
        <v>3027</v>
      </c>
      <c r="L145" s="37" t="s">
        <v>3027</v>
      </c>
      <c r="M145" s="37" t="s">
        <v>3027</v>
      </c>
      <c r="N145" s="37" t="s">
        <v>3027</v>
      </c>
      <c r="O145" s="75"/>
      <c r="P145" s="15" t="s">
        <v>522</v>
      </c>
      <c r="Q145" s="75"/>
      <c r="R145" s="15" t="s">
        <v>522</v>
      </c>
    </row>
    <row r="146" spans="2:18">
      <c r="B146" s="15">
        <v>2</v>
      </c>
      <c r="C146" s="15" t="s">
        <v>519</v>
      </c>
      <c r="D146" s="15" t="s">
        <v>526</v>
      </c>
      <c r="E146" s="15">
        <v>20</v>
      </c>
      <c r="F146" s="15">
        <v>0</v>
      </c>
      <c r="G146" s="15">
        <v>60</v>
      </c>
      <c r="H146" s="15" t="s">
        <v>534</v>
      </c>
      <c r="I146" s="15" t="s">
        <v>3027</v>
      </c>
      <c r="J146" s="15" t="s">
        <v>3027</v>
      </c>
      <c r="K146" s="15" t="s">
        <v>3027</v>
      </c>
      <c r="L146" s="15" t="s">
        <v>3027</v>
      </c>
      <c r="M146" s="15" t="s">
        <v>3027</v>
      </c>
      <c r="N146" s="15" t="s">
        <v>3027</v>
      </c>
      <c r="O146" s="75"/>
      <c r="P146" s="15" t="s">
        <v>522</v>
      </c>
      <c r="Q146" s="75"/>
      <c r="R146" s="15" t="s">
        <v>522</v>
      </c>
    </row>
    <row r="147" spans="2:18">
      <c r="B147" s="15">
        <v>2</v>
      </c>
      <c r="C147" s="15" t="s">
        <v>172</v>
      </c>
      <c r="D147" s="15" t="s">
        <v>526</v>
      </c>
      <c r="E147" s="15">
        <v>1</v>
      </c>
      <c r="F147" s="15">
        <v>15</v>
      </c>
      <c r="G147" s="15">
        <v>60</v>
      </c>
      <c r="H147" s="15" t="s">
        <v>534</v>
      </c>
      <c r="I147" s="15">
        <v>15</v>
      </c>
      <c r="J147" s="15">
        <v>60</v>
      </c>
      <c r="K147" s="15" t="s">
        <v>534</v>
      </c>
      <c r="L147" s="15" t="s">
        <v>3027</v>
      </c>
      <c r="M147" s="15" t="s">
        <v>3027</v>
      </c>
      <c r="N147" s="15" t="s">
        <v>3027</v>
      </c>
      <c r="O147" s="75"/>
      <c r="P147" s="15" t="s">
        <v>522</v>
      </c>
      <c r="Q147" s="75"/>
      <c r="R147" s="15" t="s">
        <v>522</v>
      </c>
    </row>
    <row r="148" spans="2:18">
      <c r="B148" s="15">
        <v>2</v>
      </c>
      <c r="C148" s="15" t="s">
        <v>173</v>
      </c>
      <c r="D148" s="15" t="s">
        <v>526</v>
      </c>
      <c r="E148" s="15">
        <v>1</v>
      </c>
      <c r="F148" s="15">
        <v>0</v>
      </c>
      <c r="G148" s="15">
        <v>60</v>
      </c>
      <c r="H148" s="15" t="s">
        <v>534</v>
      </c>
      <c r="I148" s="15">
        <v>0</v>
      </c>
      <c r="J148" s="15">
        <v>60</v>
      </c>
      <c r="K148" s="15" t="s">
        <v>534</v>
      </c>
      <c r="L148" s="15">
        <v>0</v>
      </c>
      <c r="M148" s="15">
        <v>60</v>
      </c>
      <c r="N148" s="15" t="s">
        <v>534</v>
      </c>
      <c r="O148" s="75"/>
      <c r="P148" s="15" t="s">
        <v>522</v>
      </c>
      <c r="Q148" s="75"/>
      <c r="R148" s="15" t="s">
        <v>522</v>
      </c>
    </row>
    <row r="149" spans="2:18">
      <c r="B149" s="15">
        <v>2</v>
      </c>
      <c r="C149" s="15" t="s">
        <v>505</v>
      </c>
      <c r="D149" s="15" t="s">
        <v>526</v>
      </c>
      <c r="E149" s="15">
        <v>1</v>
      </c>
      <c r="F149" s="15">
        <v>0</v>
      </c>
      <c r="G149" s="15">
        <v>65</v>
      </c>
      <c r="H149" s="15" t="s">
        <v>534</v>
      </c>
      <c r="I149" s="15">
        <v>0</v>
      </c>
      <c r="J149" s="15">
        <v>65</v>
      </c>
      <c r="K149" s="15" t="s">
        <v>534</v>
      </c>
      <c r="L149" s="15">
        <v>0</v>
      </c>
      <c r="M149" s="15">
        <v>20</v>
      </c>
      <c r="N149" s="15" t="s">
        <v>534</v>
      </c>
      <c r="O149" s="75"/>
      <c r="P149" s="15" t="s">
        <v>522</v>
      </c>
      <c r="Q149" s="75"/>
      <c r="R149" s="15" t="s">
        <v>522</v>
      </c>
    </row>
    <row r="150" spans="2:18">
      <c r="B150" s="15">
        <v>2</v>
      </c>
      <c r="C150" s="15" t="s">
        <v>503</v>
      </c>
      <c r="D150" s="15" t="s">
        <v>526</v>
      </c>
      <c r="E150" s="15">
        <v>6</v>
      </c>
      <c r="F150" s="15">
        <v>0</v>
      </c>
      <c r="G150" s="15">
        <v>70</v>
      </c>
      <c r="H150" s="15" t="s">
        <v>534</v>
      </c>
      <c r="I150" s="15" t="s">
        <v>3027</v>
      </c>
      <c r="J150" s="15" t="s">
        <v>3027</v>
      </c>
      <c r="K150" s="15" t="s">
        <v>3027</v>
      </c>
      <c r="L150" s="15" t="s">
        <v>3027</v>
      </c>
      <c r="M150" s="15" t="s">
        <v>3027</v>
      </c>
      <c r="N150" s="15" t="s">
        <v>3027</v>
      </c>
      <c r="O150" s="75"/>
      <c r="P150" s="15" t="s">
        <v>522</v>
      </c>
      <c r="Q150" s="75"/>
      <c r="R150" s="15" t="s">
        <v>522</v>
      </c>
    </row>
    <row r="151" spans="2:18">
      <c r="B151" s="15">
        <v>2</v>
      </c>
      <c r="C151" s="15" t="s">
        <v>503</v>
      </c>
      <c r="D151" s="15" t="s">
        <v>526</v>
      </c>
      <c r="E151" s="15">
        <v>10</v>
      </c>
      <c r="F151" s="15">
        <v>0</v>
      </c>
      <c r="G151" s="15">
        <v>65</v>
      </c>
      <c r="H151" s="15" t="s">
        <v>534</v>
      </c>
      <c r="I151" s="15" t="s">
        <v>3027</v>
      </c>
      <c r="J151" s="15" t="s">
        <v>3027</v>
      </c>
      <c r="K151" s="15" t="s">
        <v>3027</v>
      </c>
      <c r="L151" s="15" t="s">
        <v>3027</v>
      </c>
      <c r="M151" s="15" t="s">
        <v>3027</v>
      </c>
      <c r="N151" s="15" t="s">
        <v>3027</v>
      </c>
      <c r="O151" s="75"/>
      <c r="P151" s="15" t="s">
        <v>522</v>
      </c>
      <c r="Q151" s="75"/>
      <c r="R151" s="15" t="s">
        <v>522</v>
      </c>
    </row>
    <row r="152" spans="2:18">
      <c r="B152" s="15">
        <v>2</v>
      </c>
      <c r="C152" s="15" t="s">
        <v>503</v>
      </c>
      <c r="D152" s="15" t="s">
        <v>526</v>
      </c>
      <c r="E152" s="15">
        <v>20</v>
      </c>
      <c r="F152" s="15">
        <v>0</v>
      </c>
      <c r="G152" s="15">
        <v>55</v>
      </c>
      <c r="H152" s="15" t="s">
        <v>534</v>
      </c>
      <c r="I152" s="15" t="s">
        <v>3027</v>
      </c>
      <c r="J152" s="15" t="s">
        <v>3027</v>
      </c>
      <c r="K152" s="15" t="s">
        <v>3027</v>
      </c>
      <c r="L152" s="15" t="s">
        <v>3027</v>
      </c>
      <c r="M152" s="15" t="s">
        <v>3027</v>
      </c>
      <c r="N152" s="15" t="s">
        <v>3027</v>
      </c>
      <c r="O152" s="75"/>
      <c r="P152" s="15" t="s">
        <v>522</v>
      </c>
      <c r="Q152" s="75"/>
      <c r="R152" s="15" t="s">
        <v>522</v>
      </c>
    </row>
    <row r="153" spans="2:18">
      <c r="B153" s="15">
        <v>2</v>
      </c>
      <c r="C153" s="15" t="s">
        <v>512</v>
      </c>
      <c r="D153" s="15" t="s">
        <v>526</v>
      </c>
      <c r="E153" s="15">
        <v>1</v>
      </c>
      <c r="F153" s="15">
        <v>0</v>
      </c>
      <c r="G153" s="15">
        <v>65</v>
      </c>
      <c r="H153" s="15" t="s">
        <v>534</v>
      </c>
      <c r="I153" s="15">
        <v>14</v>
      </c>
      <c r="J153" s="15">
        <v>65</v>
      </c>
      <c r="K153" s="15" t="s">
        <v>539</v>
      </c>
      <c r="L153" s="15">
        <v>0</v>
      </c>
      <c r="M153" s="15">
        <v>20</v>
      </c>
      <c r="N153" s="15" t="s">
        <v>534</v>
      </c>
      <c r="O153" s="75"/>
      <c r="P153" s="15" t="s">
        <v>522</v>
      </c>
      <c r="Q153" s="75"/>
      <c r="R153" s="15" t="s">
        <v>522</v>
      </c>
    </row>
    <row r="154" spans="2:18">
      <c r="B154" s="15">
        <v>2</v>
      </c>
      <c r="C154" s="15" t="s">
        <v>174</v>
      </c>
      <c r="D154" s="15" t="s">
        <v>526</v>
      </c>
      <c r="E154" s="15">
        <v>1</v>
      </c>
      <c r="F154" s="15">
        <v>0</v>
      </c>
      <c r="G154" s="15">
        <v>65</v>
      </c>
      <c r="H154" s="15" t="s">
        <v>534</v>
      </c>
      <c r="I154" s="15">
        <v>0</v>
      </c>
      <c r="J154" s="15">
        <v>65</v>
      </c>
      <c r="K154" s="15" t="s">
        <v>534</v>
      </c>
      <c r="L154" s="15">
        <v>0</v>
      </c>
      <c r="M154" s="15">
        <v>20</v>
      </c>
      <c r="N154" s="15" t="s">
        <v>534</v>
      </c>
      <c r="O154" s="75"/>
      <c r="P154" s="15" t="s">
        <v>522</v>
      </c>
      <c r="Q154" s="75"/>
      <c r="R154" s="15" t="s">
        <v>522</v>
      </c>
    </row>
    <row r="155" spans="2:18">
      <c r="B155" s="15">
        <v>2</v>
      </c>
      <c r="C155" s="15" t="s">
        <v>502</v>
      </c>
      <c r="D155" s="15" t="s">
        <v>526</v>
      </c>
      <c r="E155" s="15">
        <v>1</v>
      </c>
      <c r="F155" s="15">
        <v>0</v>
      </c>
      <c r="G155" s="15">
        <v>65</v>
      </c>
      <c r="H155" s="15" t="s">
        <v>534</v>
      </c>
      <c r="I155" s="15">
        <v>14</v>
      </c>
      <c r="J155" s="15">
        <v>65</v>
      </c>
      <c r="K155" s="15" t="s">
        <v>539</v>
      </c>
      <c r="L155" s="15">
        <v>0</v>
      </c>
      <c r="M155" s="15">
        <v>20</v>
      </c>
      <c r="N155" s="15" t="s">
        <v>534</v>
      </c>
      <c r="O155" s="75"/>
      <c r="P155" s="15" t="s">
        <v>522</v>
      </c>
      <c r="Q155" s="75"/>
      <c r="R155" s="15" t="s">
        <v>522</v>
      </c>
    </row>
    <row r="156" spans="2:18">
      <c r="B156" s="15">
        <v>2</v>
      </c>
      <c r="C156" s="15" t="s">
        <v>513</v>
      </c>
      <c r="D156" s="15" t="s">
        <v>526</v>
      </c>
      <c r="E156" s="15">
        <v>1</v>
      </c>
      <c r="F156" s="15">
        <v>0</v>
      </c>
      <c r="G156" s="15">
        <v>70</v>
      </c>
      <c r="H156" s="15" t="s">
        <v>534</v>
      </c>
      <c r="I156" s="15">
        <v>14</v>
      </c>
      <c r="J156" s="15">
        <v>70</v>
      </c>
      <c r="K156" s="15" t="s">
        <v>539</v>
      </c>
      <c r="L156" s="15">
        <v>0</v>
      </c>
      <c r="M156" s="15">
        <v>25</v>
      </c>
      <c r="N156" s="15" t="s">
        <v>534</v>
      </c>
      <c r="O156" s="75"/>
      <c r="P156" s="15" t="s">
        <v>522</v>
      </c>
      <c r="Q156" s="75"/>
      <c r="R156" s="15" t="s">
        <v>522</v>
      </c>
    </row>
    <row r="157" spans="2:18">
      <c r="B157" s="15">
        <v>2</v>
      </c>
      <c r="C157" s="15" t="s">
        <v>527</v>
      </c>
      <c r="D157" s="15" t="s">
        <v>526</v>
      </c>
      <c r="E157" s="15">
        <v>10</v>
      </c>
      <c r="F157" s="15">
        <v>0</v>
      </c>
      <c r="G157" s="15">
        <v>65</v>
      </c>
      <c r="H157" s="15" t="s">
        <v>534</v>
      </c>
      <c r="I157" s="15" t="s">
        <v>3027</v>
      </c>
      <c r="J157" s="15" t="s">
        <v>3027</v>
      </c>
      <c r="K157" s="15" t="s">
        <v>3027</v>
      </c>
      <c r="L157" s="15" t="s">
        <v>3027</v>
      </c>
      <c r="M157" s="15" t="s">
        <v>3027</v>
      </c>
      <c r="N157" s="15" t="s">
        <v>3027</v>
      </c>
      <c r="O157" s="75"/>
      <c r="P157" s="15" t="s">
        <v>522</v>
      </c>
      <c r="Q157" s="75"/>
      <c r="R157" s="15" t="s">
        <v>522</v>
      </c>
    </row>
    <row r="158" spans="2:18">
      <c r="B158" s="15">
        <v>2</v>
      </c>
      <c r="C158" s="15" t="s">
        <v>527</v>
      </c>
      <c r="D158" s="15" t="s">
        <v>526</v>
      </c>
      <c r="E158" s="15">
        <v>20</v>
      </c>
      <c r="F158" s="15">
        <v>0</v>
      </c>
      <c r="G158" s="15">
        <v>55</v>
      </c>
      <c r="H158" s="15" t="s">
        <v>534</v>
      </c>
      <c r="I158" s="15" t="s">
        <v>3027</v>
      </c>
      <c r="J158" s="15" t="s">
        <v>3027</v>
      </c>
      <c r="K158" s="15" t="s">
        <v>3027</v>
      </c>
      <c r="L158" s="15" t="s">
        <v>3027</v>
      </c>
      <c r="M158" s="15" t="s">
        <v>3027</v>
      </c>
      <c r="N158" s="15" t="s">
        <v>3027</v>
      </c>
      <c r="O158" s="75"/>
      <c r="P158" s="15" t="s">
        <v>522</v>
      </c>
      <c r="Q158" s="75"/>
      <c r="R158" s="15" t="s">
        <v>522</v>
      </c>
    </row>
    <row r="159" spans="2:18">
      <c r="B159" s="15">
        <v>2</v>
      </c>
      <c r="C159" s="15" t="s">
        <v>527</v>
      </c>
      <c r="D159" s="15" t="s">
        <v>526</v>
      </c>
      <c r="E159" s="15">
        <v>30</v>
      </c>
      <c r="F159" s="15">
        <v>0</v>
      </c>
      <c r="G159" s="15">
        <v>45</v>
      </c>
      <c r="H159" s="15" t="s">
        <v>534</v>
      </c>
      <c r="I159" s="15" t="s">
        <v>3027</v>
      </c>
      <c r="J159" s="15" t="s">
        <v>3027</v>
      </c>
      <c r="K159" s="15" t="s">
        <v>3027</v>
      </c>
      <c r="L159" s="15" t="s">
        <v>3027</v>
      </c>
      <c r="M159" s="15" t="s">
        <v>3027</v>
      </c>
      <c r="N159" s="15" t="s">
        <v>3027</v>
      </c>
      <c r="O159" s="75"/>
      <c r="P159" s="15" t="s">
        <v>522</v>
      </c>
      <c r="Q159" s="75"/>
      <c r="R159" s="15" t="s">
        <v>522</v>
      </c>
    </row>
    <row r="160" spans="2:18">
      <c r="B160" s="15">
        <v>2</v>
      </c>
      <c r="C160" s="15" t="s">
        <v>506</v>
      </c>
      <c r="D160" s="15" t="s">
        <v>526</v>
      </c>
      <c r="E160" s="15">
        <v>1</v>
      </c>
      <c r="F160" s="15">
        <v>0</v>
      </c>
      <c r="G160" s="15">
        <v>65</v>
      </c>
      <c r="H160" s="15" t="s">
        <v>534</v>
      </c>
      <c r="I160" s="15">
        <v>0</v>
      </c>
      <c r="J160" s="15">
        <v>65</v>
      </c>
      <c r="K160" s="15" t="s">
        <v>534</v>
      </c>
      <c r="L160" s="15">
        <v>0</v>
      </c>
      <c r="M160" s="15">
        <v>20</v>
      </c>
      <c r="N160" s="15" t="s">
        <v>534</v>
      </c>
      <c r="O160" s="75"/>
      <c r="P160" s="15" t="s">
        <v>522</v>
      </c>
      <c r="Q160" s="75"/>
      <c r="R160" s="15" t="s">
        <v>522</v>
      </c>
    </row>
    <row r="161" spans="2:18">
      <c r="B161" s="15">
        <v>2</v>
      </c>
      <c r="C161" s="15" t="s">
        <v>504</v>
      </c>
      <c r="D161" s="15" t="s">
        <v>526</v>
      </c>
      <c r="E161" s="15">
        <v>10</v>
      </c>
      <c r="F161" s="15">
        <v>30</v>
      </c>
      <c r="G161" s="15">
        <v>70</v>
      </c>
      <c r="H161" s="15" t="s">
        <v>534</v>
      </c>
      <c r="I161" s="15" t="s">
        <v>3027</v>
      </c>
      <c r="J161" s="15" t="s">
        <v>3027</v>
      </c>
      <c r="K161" s="15" t="s">
        <v>3027</v>
      </c>
      <c r="L161" s="15" t="s">
        <v>3027</v>
      </c>
      <c r="M161" s="15" t="s">
        <v>3027</v>
      </c>
      <c r="N161" s="15" t="s">
        <v>3027</v>
      </c>
      <c r="O161" s="75"/>
      <c r="P161" s="15" t="s">
        <v>522</v>
      </c>
      <c r="Q161" s="75"/>
      <c r="R161" s="15" t="s">
        <v>522</v>
      </c>
    </row>
    <row r="162" spans="2:18">
      <c r="B162" s="15">
        <v>2</v>
      </c>
      <c r="C162" s="15" t="s">
        <v>504</v>
      </c>
      <c r="D162" s="15" t="s">
        <v>526</v>
      </c>
      <c r="E162" s="15">
        <v>20</v>
      </c>
      <c r="F162" s="15">
        <v>20</v>
      </c>
      <c r="G162" s="15">
        <v>60</v>
      </c>
      <c r="H162" s="15" t="s">
        <v>534</v>
      </c>
      <c r="I162" s="15" t="s">
        <v>3027</v>
      </c>
      <c r="J162" s="15" t="s">
        <v>3027</v>
      </c>
      <c r="K162" s="15" t="s">
        <v>3027</v>
      </c>
      <c r="L162" s="15" t="s">
        <v>3027</v>
      </c>
      <c r="M162" s="15" t="s">
        <v>3027</v>
      </c>
      <c r="N162" s="15" t="s">
        <v>3027</v>
      </c>
      <c r="O162" s="75"/>
      <c r="P162" s="15" t="s">
        <v>522</v>
      </c>
      <c r="Q162" s="75"/>
      <c r="R162" s="15" t="s">
        <v>522</v>
      </c>
    </row>
    <row r="163" spans="2:18">
      <c r="B163" s="15">
        <v>2</v>
      </c>
      <c r="C163" s="15" t="s">
        <v>504</v>
      </c>
      <c r="D163" s="15" t="s">
        <v>526</v>
      </c>
      <c r="E163" s="15">
        <v>30</v>
      </c>
      <c r="F163" s="15">
        <v>15</v>
      </c>
      <c r="G163" s="15">
        <v>50</v>
      </c>
      <c r="H163" s="15" t="s">
        <v>539</v>
      </c>
      <c r="I163" s="15" t="s">
        <v>3027</v>
      </c>
      <c r="J163" s="15" t="s">
        <v>3027</v>
      </c>
      <c r="K163" s="15" t="s">
        <v>3027</v>
      </c>
      <c r="L163" s="15" t="s">
        <v>3027</v>
      </c>
      <c r="M163" s="15" t="s">
        <v>3027</v>
      </c>
      <c r="N163" s="15" t="s">
        <v>3027</v>
      </c>
      <c r="O163" s="75"/>
      <c r="P163" s="15" t="s">
        <v>522</v>
      </c>
      <c r="Q163" s="75"/>
      <c r="R163" s="15" t="s">
        <v>522</v>
      </c>
    </row>
    <row r="164" spans="2:18">
      <c r="B164" s="15">
        <v>2</v>
      </c>
      <c r="C164" s="15" t="s">
        <v>514</v>
      </c>
      <c r="D164" s="15" t="s">
        <v>526</v>
      </c>
      <c r="E164" s="15">
        <v>5</v>
      </c>
      <c r="F164" s="15">
        <v>15</v>
      </c>
      <c r="G164" s="15">
        <v>80</v>
      </c>
      <c r="H164" s="15" t="s">
        <v>539</v>
      </c>
      <c r="I164" s="15" t="s">
        <v>3027</v>
      </c>
      <c r="J164" s="15" t="s">
        <v>3027</v>
      </c>
      <c r="K164" s="15" t="s">
        <v>3027</v>
      </c>
      <c r="L164" s="15" t="s">
        <v>3027</v>
      </c>
      <c r="M164" s="15" t="s">
        <v>3027</v>
      </c>
      <c r="N164" s="15" t="s">
        <v>3027</v>
      </c>
      <c r="O164" s="75"/>
      <c r="P164" s="15" t="s">
        <v>522</v>
      </c>
      <c r="Q164" s="75"/>
      <c r="R164" s="15" t="s">
        <v>522</v>
      </c>
    </row>
    <row r="165" spans="2:18">
      <c r="B165" s="15">
        <v>2</v>
      </c>
      <c r="C165" s="15" t="s">
        <v>514</v>
      </c>
      <c r="D165" s="15" t="s">
        <v>526</v>
      </c>
      <c r="E165" s="15">
        <v>6</v>
      </c>
      <c r="F165" s="15">
        <v>15</v>
      </c>
      <c r="G165" s="15">
        <v>79</v>
      </c>
      <c r="H165" s="15" t="s">
        <v>539</v>
      </c>
      <c r="I165" s="15" t="s">
        <v>3027</v>
      </c>
      <c r="J165" s="15" t="s">
        <v>3027</v>
      </c>
      <c r="K165" s="15" t="s">
        <v>3027</v>
      </c>
      <c r="L165" s="15" t="s">
        <v>3027</v>
      </c>
      <c r="M165" s="15" t="s">
        <v>3027</v>
      </c>
      <c r="N165" s="15" t="s">
        <v>3027</v>
      </c>
      <c r="O165" s="75"/>
      <c r="P165" s="15" t="s">
        <v>522</v>
      </c>
      <c r="Q165" s="75"/>
      <c r="R165" s="15" t="s">
        <v>522</v>
      </c>
    </row>
    <row r="166" spans="2:18">
      <c r="B166" s="15">
        <v>2</v>
      </c>
      <c r="C166" s="15" t="s">
        <v>514</v>
      </c>
      <c r="D166" s="15" t="s">
        <v>526</v>
      </c>
      <c r="E166" s="15">
        <v>7</v>
      </c>
      <c r="F166" s="15">
        <v>15</v>
      </c>
      <c r="G166" s="15">
        <v>78</v>
      </c>
      <c r="H166" s="15" t="s">
        <v>539</v>
      </c>
      <c r="I166" s="15" t="s">
        <v>3027</v>
      </c>
      <c r="J166" s="15" t="s">
        <v>3027</v>
      </c>
      <c r="K166" s="15" t="s">
        <v>3027</v>
      </c>
      <c r="L166" s="15" t="s">
        <v>3027</v>
      </c>
      <c r="M166" s="15" t="s">
        <v>3027</v>
      </c>
      <c r="N166" s="15" t="s">
        <v>3027</v>
      </c>
      <c r="O166" s="75"/>
      <c r="P166" s="15" t="s">
        <v>522</v>
      </c>
      <c r="Q166" s="75"/>
      <c r="R166" s="15" t="s">
        <v>522</v>
      </c>
    </row>
    <row r="167" spans="2:18">
      <c r="B167" s="15">
        <v>2</v>
      </c>
      <c r="C167" s="15" t="s">
        <v>514</v>
      </c>
      <c r="D167" s="15" t="s">
        <v>526</v>
      </c>
      <c r="E167" s="15">
        <v>8</v>
      </c>
      <c r="F167" s="15">
        <v>15</v>
      </c>
      <c r="G167" s="15">
        <v>77</v>
      </c>
      <c r="H167" s="15" t="s">
        <v>539</v>
      </c>
      <c r="I167" s="15" t="s">
        <v>3027</v>
      </c>
      <c r="J167" s="15" t="s">
        <v>3027</v>
      </c>
      <c r="K167" s="15" t="s">
        <v>3027</v>
      </c>
      <c r="L167" s="15" t="s">
        <v>3027</v>
      </c>
      <c r="M167" s="15" t="s">
        <v>3027</v>
      </c>
      <c r="N167" s="15" t="s">
        <v>3027</v>
      </c>
      <c r="O167" s="75"/>
      <c r="P167" s="15" t="s">
        <v>522</v>
      </c>
      <c r="Q167" s="75"/>
      <c r="R167" s="15" t="s">
        <v>522</v>
      </c>
    </row>
    <row r="168" spans="2:18">
      <c r="B168" s="15">
        <v>2</v>
      </c>
      <c r="C168" s="15" t="s">
        <v>514</v>
      </c>
      <c r="D168" s="15" t="s">
        <v>526</v>
      </c>
      <c r="E168" s="15">
        <v>9</v>
      </c>
      <c r="F168" s="15">
        <v>15</v>
      </c>
      <c r="G168" s="15">
        <v>76</v>
      </c>
      <c r="H168" s="15" t="s">
        <v>539</v>
      </c>
      <c r="I168" s="15" t="s">
        <v>3027</v>
      </c>
      <c r="J168" s="15" t="s">
        <v>3027</v>
      </c>
      <c r="K168" s="15" t="s">
        <v>3027</v>
      </c>
      <c r="L168" s="15" t="s">
        <v>3027</v>
      </c>
      <c r="M168" s="15" t="s">
        <v>3027</v>
      </c>
      <c r="N168" s="15" t="s">
        <v>3027</v>
      </c>
      <c r="O168" s="75"/>
      <c r="P168" s="15" t="s">
        <v>522</v>
      </c>
      <c r="Q168" s="75"/>
      <c r="R168" s="15" t="s">
        <v>522</v>
      </c>
    </row>
    <row r="169" spans="2:18">
      <c r="B169" s="15">
        <v>2</v>
      </c>
      <c r="C169" s="15" t="s">
        <v>514</v>
      </c>
      <c r="D169" s="15" t="s">
        <v>526</v>
      </c>
      <c r="E169" s="15">
        <v>10</v>
      </c>
      <c r="F169" s="15">
        <v>15</v>
      </c>
      <c r="G169" s="15">
        <v>75</v>
      </c>
      <c r="H169" s="15" t="s">
        <v>539</v>
      </c>
      <c r="I169" s="15" t="s">
        <v>3027</v>
      </c>
      <c r="J169" s="15" t="s">
        <v>3027</v>
      </c>
      <c r="K169" s="15" t="s">
        <v>3027</v>
      </c>
      <c r="L169" s="15" t="s">
        <v>3027</v>
      </c>
      <c r="M169" s="15" t="s">
        <v>3027</v>
      </c>
      <c r="N169" s="15" t="s">
        <v>3027</v>
      </c>
      <c r="O169" s="75"/>
      <c r="P169" s="15" t="s">
        <v>522</v>
      </c>
      <c r="Q169" s="75"/>
      <c r="R169" s="15" t="s">
        <v>522</v>
      </c>
    </row>
    <row r="170" spans="2:18">
      <c r="B170" s="15">
        <v>2</v>
      </c>
      <c r="C170" s="15" t="s">
        <v>514</v>
      </c>
      <c r="D170" s="15" t="s">
        <v>526</v>
      </c>
      <c r="E170" s="15">
        <v>11</v>
      </c>
      <c r="F170" s="15">
        <v>15</v>
      </c>
      <c r="G170" s="15">
        <v>74</v>
      </c>
      <c r="H170" s="15" t="s">
        <v>539</v>
      </c>
      <c r="I170" s="15" t="s">
        <v>3027</v>
      </c>
      <c r="J170" s="15" t="s">
        <v>3027</v>
      </c>
      <c r="K170" s="15" t="s">
        <v>3027</v>
      </c>
      <c r="L170" s="15" t="s">
        <v>3027</v>
      </c>
      <c r="M170" s="15" t="s">
        <v>3027</v>
      </c>
      <c r="N170" s="15" t="s">
        <v>3027</v>
      </c>
      <c r="O170" s="75"/>
      <c r="P170" s="15" t="s">
        <v>522</v>
      </c>
      <c r="Q170" s="75"/>
      <c r="R170" s="15" t="s">
        <v>522</v>
      </c>
    </row>
    <row r="171" spans="2:18">
      <c r="B171" s="15">
        <v>2</v>
      </c>
      <c r="C171" s="15" t="s">
        <v>514</v>
      </c>
      <c r="D171" s="15" t="s">
        <v>526</v>
      </c>
      <c r="E171" s="15">
        <v>12</v>
      </c>
      <c r="F171" s="15">
        <v>15</v>
      </c>
      <c r="G171" s="15">
        <v>73</v>
      </c>
      <c r="H171" s="15" t="s">
        <v>539</v>
      </c>
      <c r="I171" s="15" t="s">
        <v>3027</v>
      </c>
      <c r="J171" s="15" t="s">
        <v>3027</v>
      </c>
      <c r="K171" s="15" t="s">
        <v>3027</v>
      </c>
      <c r="L171" s="15" t="s">
        <v>3027</v>
      </c>
      <c r="M171" s="15" t="s">
        <v>3027</v>
      </c>
      <c r="N171" s="15" t="s">
        <v>3027</v>
      </c>
      <c r="O171" s="75"/>
      <c r="P171" s="15" t="s">
        <v>522</v>
      </c>
      <c r="Q171" s="75"/>
      <c r="R171" s="15" t="s">
        <v>522</v>
      </c>
    </row>
    <row r="172" spans="2:18">
      <c r="B172" s="15">
        <v>2</v>
      </c>
      <c r="C172" s="15" t="s">
        <v>514</v>
      </c>
      <c r="D172" s="15" t="s">
        <v>526</v>
      </c>
      <c r="E172" s="15">
        <v>13</v>
      </c>
      <c r="F172" s="15">
        <v>15</v>
      </c>
      <c r="G172" s="15">
        <v>72</v>
      </c>
      <c r="H172" s="15" t="s">
        <v>539</v>
      </c>
      <c r="I172" s="15" t="s">
        <v>3027</v>
      </c>
      <c r="J172" s="15" t="s">
        <v>3027</v>
      </c>
      <c r="K172" s="15" t="s">
        <v>3027</v>
      </c>
      <c r="L172" s="15" t="s">
        <v>3027</v>
      </c>
      <c r="M172" s="15" t="s">
        <v>3027</v>
      </c>
      <c r="N172" s="15" t="s">
        <v>3027</v>
      </c>
      <c r="O172" s="75"/>
      <c r="P172" s="15" t="s">
        <v>522</v>
      </c>
      <c r="Q172" s="75"/>
      <c r="R172" s="15" t="s">
        <v>522</v>
      </c>
    </row>
    <row r="173" spans="2:18">
      <c r="B173" s="15">
        <v>2</v>
      </c>
      <c r="C173" s="15" t="s">
        <v>514</v>
      </c>
      <c r="D173" s="15" t="s">
        <v>526</v>
      </c>
      <c r="E173" s="15">
        <v>14</v>
      </c>
      <c r="F173" s="15">
        <v>15</v>
      </c>
      <c r="G173" s="15">
        <v>71</v>
      </c>
      <c r="H173" s="15" t="s">
        <v>539</v>
      </c>
      <c r="I173" s="15" t="s">
        <v>3027</v>
      </c>
      <c r="J173" s="15" t="s">
        <v>3027</v>
      </c>
      <c r="K173" s="15" t="s">
        <v>3027</v>
      </c>
      <c r="L173" s="15" t="s">
        <v>3027</v>
      </c>
      <c r="M173" s="15" t="s">
        <v>3027</v>
      </c>
      <c r="N173" s="15" t="s">
        <v>3027</v>
      </c>
      <c r="O173" s="75"/>
      <c r="P173" s="15" t="s">
        <v>522</v>
      </c>
      <c r="Q173" s="75"/>
      <c r="R173" s="15" t="s">
        <v>522</v>
      </c>
    </row>
    <row r="174" spans="2:18">
      <c r="B174" s="15">
        <v>2</v>
      </c>
      <c r="C174" s="15" t="s">
        <v>514</v>
      </c>
      <c r="D174" s="15" t="s">
        <v>526</v>
      </c>
      <c r="E174" s="15">
        <v>15</v>
      </c>
      <c r="F174" s="15">
        <v>15</v>
      </c>
      <c r="G174" s="15">
        <v>70</v>
      </c>
      <c r="H174" s="15" t="s">
        <v>539</v>
      </c>
      <c r="I174" s="15" t="s">
        <v>3027</v>
      </c>
      <c r="J174" s="15" t="s">
        <v>3027</v>
      </c>
      <c r="K174" s="15" t="s">
        <v>3027</v>
      </c>
      <c r="L174" s="15" t="s">
        <v>3027</v>
      </c>
      <c r="M174" s="15" t="s">
        <v>3027</v>
      </c>
      <c r="N174" s="15" t="s">
        <v>3027</v>
      </c>
      <c r="O174" s="75"/>
      <c r="P174" s="15" t="s">
        <v>522</v>
      </c>
      <c r="Q174" s="75"/>
      <c r="R174" s="15" t="s">
        <v>522</v>
      </c>
    </row>
    <row r="175" spans="2:18">
      <c r="B175" s="15">
        <v>2</v>
      </c>
      <c r="C175" s="15" t="s">
        <v>514</v>
      </c>
      <c r="D175" s="15" t="s">
        <v>526</v>
      </c>
      <c r="E175" s="15">
        <v>16</v>
      </c>
      <c r="F175" s="15">
        <v>15</v>
      </c>
      <c r="G175" s="15">
        <v>69</v>
      </c>
      <c r="H175" s="15" t="s">
        <v>539</v>
      </c>
      <c r="I175" s="15" t="s">
        <v>3027</v>
      </c>
      <c r="J175" s="15" t="s">
        <v>3027</v>
      </c>
      <c r="K175" s="15" t="s">
        <v>3027</v>
      </c>
      <c r="L175" s="15" t="s">
        <v>3027</v>
      </c>
      <c r="M175" s="15" t="s">
        <v>3027</v>
      </c>
      <c r="N175" s="15" t="s">
        <v>3027</v>
      </c>
      <c r="O175" s="75"/>
      <c r="P175" s="15" t="s">
        <v>522</v>
      </c>
      <c r="Q175" s="75"/>
      <c r="R175" s="15" t="s">
        <v>522</v>
      </c>
    </row>
    <row r="176" spans="2:18">
      <c r="B176" s="15">
        <v>2</v>
      </c>
      <c r="C176" s="15" t="s">
        <v>514</v>
      </c>
      <c r="D176" s="15" t="s">
        <v>526</v>
      </c>
      <c r="E176" s="15">
        <v>17</v>
      </c>
      <c r="F176" s="15">
        <v>15</v>
      </c>
      <c r="G176" s="15">
        <v>68</v>
      </c>
      <c r="H176" s="15" t="s">
        <v>539</v>
      </c>
      <c r="I176" s="15" t="s">
        <v>3027</v>
      </c>
      <c r="J176" s="15" t="s">
        <v>3027</v>
      </c>
      <c r="K176" s="15" t="s">
        <v>3027</v>
      </c>
      <c r="L176" s="15" t="s">
        <v>3027</v>
      </c>
      <c r="M176" s="15" t="s">
        <v>3027</v>
      </c>
      <c r="N176" s="15" t="s">
        <v>3027</v>
      </c>
      <c r="O176" s="75"/>
      <c r="P176" s="15" t="s">
        <v>522</v>
      </c>
      <c r="Q176" s="75"/>
      <c r="R176" s="15" t="s">
        <v>522</v>
      </c>
    </row>
    <row r="177" spans="2:18">
      <c r="B177" s="15">
        <v>2</v>
      </c>
      <c r="C177" s="15" t="s">
        <v>514</v>
      </c>
      <c r="D177" s="15" t="s">
        <v>526</v>
      </c>
      <c r="E177" s="15">
        <v>18</v>
      </c>
      <c r="F177" s="15">
        <v>15</v>
      </c>
      <c r="G177" s="15">
        <v>67</v>
      </c>
      <c r="H177" s="15" t="s">
        <v>539</v>
      </c>
      <c r="I177" s="15" t="s">
        <v>3027</v>
      </c>
      <c r="J177" s="15" t="s">
        <v>3027</v>
      </c>
      <c r="K177" s="15" t="s">
        <v>3027</v>
      </c>
      <c r="L177" s="15" t="s">
        <v>3027</v>
      </c>
      <c r="M177" s="15" t="s">
        <v>3027</v>
      </c>
      <c r="N177" s="15" t="s">
        <v>3027</v>
      </c>
      <c r="O177" s="75"/>
      <c r="P177" s="15" t="s">
        <v>522</v>
      </c>
      <c r="Q177" s="75"/>
      <c r="R177" s="15" t="s">
        <v>522</v>
      </c>
    </row>
    <row r="178" spans="2:18">
      <c r="B178" s="15">
        <v>2</v>
      </c>
      <c r="C178" s="15" t="s">
        <v>514</v>
      </c>
      <c r="D178" s="15" t="s">
        <v>526</v>
      </c>
      <c r="E178" s="15">
        <v>19</v>
      </c>
      <c r="F178" s="15">
        <v>15</v>
      </c>
      <c r="G178" s="15">
        <v>66</v>
      </c>
      <c r="H178" s="15" t="s">
        <v>539</v>
      </c>
      <c r="I178" s="15" t="s">
        <v>3027</v>
      </c>
      <c r="J178" s="15" t="s">
        <v>3027</v>
      </c>
      <c r="K178" s="15" t="s">
        <v>3027</v>
      </c>
      <c r="L178" s="15" t="s">
        <v>3027</v>
      </c>
      <c r="M178" s="15" t="s">
        <v>3027</v>
      </c>
      <c r="N178" s="15" t="s">
        <v>3027</v>
      </c>
      <c r="O178" s="75"/>
      <c r="P178" s="15" t="s">
        <v>522</v>
      </c>
      <c r="Q178" s="75"/>
      <c r="R178" s="15" t="s">
        <v>522</v>
      </c>
    </row>
    <row r="179" spans="2:18">
      <c r="B179" s="15">
        <v>2</v>
      </c>
      <c r="C179" s="15" t="s">
        <v>514</v>
      </c>
      <c r="D179" s="15" t="s">
        <v>526</v>
      </c>
      <c r="E179" s="15">
        <v>20</v>
      </c>
      <c r="F179" s="15">
        <v>15</v>
      </c>
      <c r="G179" s="15">
        <v>65</v>
      </c>
      <c r="H179" s="15" t="s">
        <v>539</v>
      </c>
      <c r="I179" s="15" t="s">
        <v>3027</v>
      </c>
      <c r="J179" s="15" t="s">
        <v>3027</v>
      </c>
      <c r="K179" s="15" t="s">
        <v>3027</v>
      </c>
      <c r="L179" s="15" t="s">
        <v>3027</v>
      </c>
      <c r="M179" s="15" t="s">
        <v>3027</v>
      </c>
      <c r="N179" s="15" t="s">
        <v>3027</v>
      </c>
      <c r="O179" s="75"/>
      <c r="P179" s="15" t="s">
        <v>522</v>
      </c>
      <c r="Q179" s="75"/>
      <c r="R179" s="15" t="s">
        <v>522</v>
      </c>
    </row>
    <row r="180" spans="2:18">
      <c r="B180" s="15">
        <v>2</v>
      </c>
      <c r="C180" s="15" t="s">
        <v>514</v>
      </c>
      <c r="D180" s="15" t="s">
        <v>526</v>
      </c>
      <c r="E180" s="15">
        <v>21</v>
      </c>
      <c r="F180" s="15">
        <v>15</v>
      </c>
      <c r="G180" s="15">
        <v>64</v>
      </c>
      <c r="H180" s="15" t="s">
        <v>539</v>
      </c>
      <c r="I180" s="15" t="s">
        <v>3027</v>
      </c>
      <c r="J180" s="15" t="s">
        <v>3027</v>
      </c>
      <c r="K180" s="15" t="s">
        <v>3027</v>
      </c>
      <c r="L180" s="15" t="s">
        <v>3027</v>
      </c>
      <c r="M180" s="15" t="s">
        <v>3027</v>
      </c>
      <c r="N180" s="15" t="s">
        <v>3027</v>
      </c>
      <c r="O180" s="75"/>
      <c r="P180" s="15" t="s">
        <v>522</v>
      </c>
      <c r="Q180" s="75"/>
      <c r="R180" s="15" t="s">
        <v>522</v>
      </c>
    </row>
    <row r="181" spans="2:18">
      <c r="B181" s="15">
        <v>2</v>
      </c>
      <c r="C181" s="15" t="s">
        <v>514</v>
      </c>
      <c r="D181" s="15" t="s">
        <v>526</v>
      </c>
      <c r="E181" s="15">
        <v>22</v>
      </c>
      <c r="F181" s="15">
        <v>15</v>
      </c>
      <c r="G181" s="15">
        <v>63</v>
      </c>
      <c r="H181" s="15" t="s">
        <v>539</v>
      </c>
      <c r="I181" s="15" t="s">
        <v>3027</v>
      </c>
      <c r="J181" s="15" t="s">
        <v>3027</v>
      </c>
      <c r="K181" s="15" t="s">
        <v>3027</v>
      </c>
      <c r="L181" s="15" t="s">
        <v>3027</v>
      </c>
      <c r="M181" s="15" t="s">
        <v>3027</v>
      </c>
      <c r="N181" s="15" t="s">
        <v>3027</v>
      </c>
      <c r="O181" s="75"/>
      <c r="P181" s="15" t="s">
        <v>522</v>
      </c>
      <c r="Q181" s="75"/>
      <c r="R181" s="15" t="s">
        <v>522</v>
      </c>
    </row>
    <row r="182" spans="2:18">
      <c r="B182" s="15">
        <v>2</v>
      </c>
      <c r="C182" s="15" t="s">
        <v>514</v>
      </c>
      <c r="D182" s="15" t="s">
        <v>526</v>
      </c>
      <c r="E182" s="15">
        <v>23</v>
      </c>
      <c r="F182" s="15">
        <v>15</v>
      </c>
      <c r="G182" s="15">
        <v>62</v>
      </c>
      <c r="H182" s="15" t="s">
        <v>539</v>
      </c>
      <c r="I182" s="15" t="s">
        <v>3027</v>
      </c>
      <c r="J182" s="15" t="s">
        <v>3027</v>
      </c>
      <c r="K182" s="15" t="s">
        <v>3027</v>
      </c>
      <c r="L182" s="15" t="s">
        <v>3027</v>
      </c>
      <c r="M182" s="15" t="s">
        <v>3027</v>
      </c>
      <c r="N182" s="15" t="s">
        <v>3027</v>
      </c>
      <c r="O182" s="75"/>
      <c r="P182" s="15" t="s">
        <v>522</v>
      </c>
      <c r="Q182" s="75"/>
      <c r="R182" s="15" t="s">
        <v>522</v>
      </c>
    </row>
    <row r="183" spans="2:18">
      <c r="B183" s="15">
        <v>2</v>
      </c>
      <c r="C183" s="15" t="s">
        <v>514</v>
      </c>
      <c r="D183" s="15" t="s">
        <v>526</v>
      </c>
      <c r="E183" s="15">
        <v>24</v>
      </c>
      <c r="F183" s="15">
        <v>15</v>
      </c>
      <c r="G183" s="15">
        <v>61</v>
      </c>
      <c r="H183" s="15" t="s">
        <v>539</v>
      </c>
      <c r="I183" s="15" t="s">
        <v>3027</v>
      </c>
      <c r="J183" s="15" t="s">
        <v>3027</v>
      </c>
      <c r="K183" s="15" t="s">
        <v>3027</v>
      </c>
      <c r="L183" s="15" t="s">
        <v>3027</v>
      </c>
      <c r="M183" s="15" t="s">
        <v>3027</v>
      </c>
      <c r="N183" s="15" t="s">
        <v>3027</v>
      </c>
      <c r="O183" s="75"/>
      <c r="P183" s="15" t="s">
        <v>522</v>
      </c>
      <c r="Q183" s="75"/>
      <c r="R183" s="15" t="s">
        <v>522</v>
      </c>
    </row>
    <row r="184" spans="2:18">
      <c r="B184" s="15">
        <v>2</v>
      </c>
      <c r="C184" s="15" t="s">
        <v>514</v>
      </c>
      <c r="D184" s="15" t="s">
        <v>526</v>
      </c>
      <c r="E184" s="15">
        <v>25</v>
      </c>
      <c r="F184" s="15">
        <v>15</v>
      </c>
      <c r="G184" s="15">
        <v>60</v>
      </c>
      <c r="H184" s="15" t="s">
        <v>539</v>
      </c>
      <c r="I184" s="15" t="s">
        <v>3027</v>
      </c>
      <c r="J184" s="15" t="s">
        <v>3027</v>
      </c>
      <c r="K184" s="15" t="s">
        <v>3027</v>
      </c>
      <c r="L184" s="15" t="s">
        <v>3027</v>
      </c>
      <c r="M184" s="15" t="s">
        <v>3027</v>
      </c>
      <c r="N184" s="15" t="s">
        <v>3027</v>
      </c>
      <c r="O184" s="75"/>
      <c r="P184" s="15" t="s">
        <v>522</v>
      </c>
      <c r="Q184" s="75"/>
      <c r="R184" s="15" t="s">
        <v>522</v>
      </c>
    </row>
    <row r="185" spans="2:18">
      <c r="B185" s="15">
        <v>2</v>
      </c>
      <c r="C185" s="15" t="s">
        <v>514</v>
      </c>
      <c r="D185" s="15" t="s">
        <v>526</v>
      </c>
      <c r="E185" s="15">
        <v>26</v>
      </c>
      <c r="F185" s="15">
        <v>15</v>
      </c>
      <c r="G185" s="15">
        <v>59</v>
      </c>
      <c r="H185" s="15" t="s">
        <v>539</v>
      </c>
      <c r="I185" s="15" t="s">
        <v>3027</v>
      </c>
      <c r="J185" s="15" t="s">
        <v>3027</v>
      </c>
      <c r="K185" s="15" t="s">
        <v>3027</v>
      </c>
      <c r="L185" s="15" t="s">
        <v>3027</v>
      </c>
      <c r="M185" s="15" t="s">
        <v>3027</v>
      </c>
      <c r="N185" s="15" t="s">
        <v>3027</v>
      </c>
      <c r="O185" s="75"/>
      <c r="P185" s="15" t="s">
        <v>522</v>
      </c>
      <c r="Q185" s="75"/>
      <c r="R185" s="15" t="s">
        <v>522</v>
      </c>
    </row>
    <row r="186" spans="2:18">
      <c r="B186" s="15">
        <v>2</v>
      </c>
      <c r="C186" s="15" t="s">
        <v>514</v>
      </c>
      <c r="D186" s="15" t="s">
        <v>526</v>
      </c>
      <c r="E186" s="15">
        <v>27</v>
      </c>
      <c r="F186" s="15">
        <v>15</v>
      </c>
      <c r="G186" s="15">
        <v>58</v>
      </c>
      <c r="H186" s="15" t="s">
        <v>539</v>
      </c>
      <c r="I186" s="15" t="s">
        <v>3027</v>
      </c>
      <c r="J186" s="15" t="s">
        <v>3027</v>
      </c>
      <c r="K186" s="15" t="s">
        <v>3027</v>
      </c>
      <c r="L186" s="15" t="s">
        <v>3027</v>
      </c>
      <c r="M186" s="15" t="s">
        <v>3027</v>
      </c>
      <c r="N186" s="15" t="s">
        <v>3027</v>
      </c>
      <c r="O186" s="75"/>
      <c r="P186" s="15" t="s">
        <v>522</v>
      </c>
      <c r="Q186" s="75"/>
      <c r="R186" s="15" t="s">
        <v>522</v>
      </c>
    </row>
    <row r="187" spans="2:18">
      <c r="B187" s="15">
        <v>2</v>
      </c>
      <c r="C187" s="15" t="s">
        <v>514</v>
      </c>
      <c r="D187" s="15" t="s">
        <v>526</v>
      </c>
      <c r="E187" s="15">
        <v>28</v>
      </c>
      <c r="F187" s="15">
        <v>15</v>
      </c>
      <c r="G187" s="15">
        <v>57</v>
      </c>
      <c r="H187" s="15" t="s">
        <v>539</v>
      </c>
      <c r="I187" s="15" t="s">
        <v>3027</v>
      </c>
      <c r="J187" s="15" t="s">
        <v>3027</v>
      </c>
      <c r="K187" s="15" t="s">
        <v>3027</v>
      </c>
      <c r="L187" s="15" t="s">
        <v>3027</v>
      </c>
      <c r="M187" s="15" t="s">
        <v>3027</v>
      </c>
      <c r="N187" s="15" t="s">
        <v>3027</v>
      </c>
      <c r="O187" s="75"/>
      <c r="P187" s="15" t="s">
        <v>522</v>
      </c>
      <c r="Q187" s="75"/>
      <c r="R187" s="15" t="s">
        <v>522</v>
      </c>
    </row>
    <row r="188" spans="2:18">
      <c r="B188" s="15">
        <v>2</v>
      </c>
      <c r="C188" s="15" t="s">
        <v>514</v>
      </c>
      <c r="D188" s="15" t="s">
        <v>526</v>
      </c>
      <c r="E188" s="15">
        <v>29</v>
      </c>
      <c r="F188" s="15">
        <v>15</v>
      </c>
      <c r="G188" s="15">
        <v>56</v>
      </c>
      <c r="H188" s="15" t="s">
        <v>539</v>
      </c>
      <c r="I188" s="15" t="s">
        <v>3027</v>
      </c>
      <c r="J188" s="15" t="s">
        <v>3027</v>
      </c>
      <c r="K188" s="15" t="s">
        <v>3027</v>
      </c>
      <c r="L188" s="15" t="s">
        <v>3027</v>
      </c>
      <c r="M188" s="15" t="s">
        <v>3027</v>
      </c>
      <c r="N188" s="15" t="s">
        <v>3027</v>
      </c>
      <c r="O188" s="75"/>
      <c r="P188" s="15" t="s">
        <v>522</v>
      </c>
      <c r="Q188" s="75"/>
      <c r="R188" s="15" t="s">
        <v>522</v>
      </c>
    </row>
    <row r="189" spans="2:18">
      <c r="B189" s="15">
        <v>2</v>
      </c>
      <c r="C189" s="15" t="s">
        <v>514</v>
      </c>
      <c r="D189" s="15" t="s">
        <v>526</v>
      </c>
      <c r="E189" s="15">
        <v>30</v>
      </c>
      <c r="F189" s="15">
        <v>15</v>
      </c>
      <c r="G189" s="15">
        <v>55</v>
      </c>
      <c r="H189" s="15" t="s">
        <v>539</v>
      </c>
      <c r="I189" s="15" t="s">
        <v>3027</v>
      </c>
      <c r="J189" s="15" t="s">
        <v>3027</v>
      </c>
      <c r="K189" s="15" t="s">
        <v>3027</v>
      </c>
      <c r="L189" s="15" t="s">
        <v>3027</v>
      </c>
      <c r="M189" s="15" t="s">
        <v>3027</v>
      </c>
      <c r="N189" s="15" t="s">
        <v>3027</v>
      </c>
      <c r="O189" s="75"/>
      <c r="P189" s="15" t="s">
        <v>522</v>
      </c>
      <c r="Q189" s="75"/>
      <c r="R189" s="15" t="s">
        <v>522</v>
      </c>
    </row>
    <row r="190" spans="2:18">
      <c r="B190" s="15">
        <v>2</v>
      </c>
      <c r="C190" s="15" t="s">
        <v>515</v>
      </c>
      <c r="D190" s="15" t="s">
        <v>526</v>
      </c>
      <c r="E190" s="15">
        <v>5</v>
      </c>
      <c r="F190" s="15">
        <v>15</v>
      </c>
      <c r="G190" s="15">
        <v>80</v>
      </c>
      <c r="H190" s="15" t="s">
        <v>539</v>
      </c>
      <c r="I190" s="15" t="s">
        <v>3027</v>
      </c>
      <c r="J190" s="15" t="s">
        <v>3027</v>
      </c>
      <c r="K190" s="15" t="s">
        <v>3027</v>
      </c>
      <c r="L190" s="15" t="s">
        <v>3027</v>
      </c>
      <c r="M190" s="15" t="s">
        <v>3027</v>
      </c>
      <c r="N190" s="15" t="s">
        <v>3027</v>
      </c>
      <c r="O190" s="75"/>
      <c r="P190" s="15" t="s">
        <v>522</v>
      </c>
      <c r="Q190" s="75"/>
      <c r="R190" s="15" t="s">
        <v>522</v>
      </c>
    </row>
    <row r="191" spans="2:18">
      <c r="B191" s="15">
        <v>2</v>
      </c>
      <c r="C191" s="15" t="s">
        <v>515</v>
      </c>
      <c r="D191" s="15" t="s">
        <v>526</v>
      </c>
      <c r="E191" s="15">
        <v>6</v>
      </c>
      <c r="F191" s="15">
        <v>15</v>
      </c>
      <c r="G191" s="15">
        <v>79</v>
      </c>
      <c r="H191" s="15" t="s">
        <v>539</v>
      </c>
      <c r="I191" s="15" t="s">
        <v>3027</v>
      </c>
      <c r="J191" s="15" t="s">
        <v>3027</v>
      </c>
      <c r="K191" s="15" t="s">
        <v>3027</v>
      </c>
      <c r="L191" s="15" t="s">
        <v>3027</v>
      </c>
      <c r="M191" s="15" t="s">
        <v>3027</v>
      </c>
      <c r="N191" s="15" t="s">
        <v>3027</v>
      </c>
      <c r="O191" s="75"/>
      <c r="P191" s="15" t="s">
        <v>522</v>
      </c>
      <c r="Q191" s="75"/>
      <c r="R191" s="15" t="s">
        <v>522</v>
      </c>
    </row>
    <row r="192" spans="2:18">
      <c r="B192" s="15">
        <v>2</v>
      </c>
      <c r="C192" s="15" t="s">
        <v>515</v>
      </c>
      <c r="D192" s="15" t="s">
        <v>526</v>
      </c>
      <c r="E192" s="15">
        <v>7</v>
      </c>
      <c r="F192" s="15">
        <v>15</v>
      </c>
      <c r="G192" s="15">
        <v>78</v>
      </c>
      <c r="H192" s="15" t="s">
        <v>539</v>
      </c>
      <c r="I192" s="15" t="s">
        <v>3027</v>
      </c>
      <c r="J192" s="15" t="s">
        <v>3027</v>
      </c>
      <c r="K192" s="15" t="s">
        <v>3027</v>
      </c>
      <c r="L192" s="15" t="s">
        <v>3027</v>
      </c>
      <c r="M192" s="15" t="s">
        <v>3027</v>
      </c>
      <c r="N192" s="15" t="s">
        <v>3027</v>
      </c>
      <c r="O192" s="75"/>
      <c r="P192" s="15" t="s">
        <v>522</v>
      </c>
      <c r="Q192" s="75"/>
      <c r="R192" s="15" t="s">
        <v>522</v>
      </c>
    </row>
    <row r="193" spans="2:18">
      <c r="B193" s="15">
        <v>2</v>
      </c>
      <c r="C193" s="15" t="s">
        <v>515</v>
      </c>
      <c r="D193" s="15" t="s">
        <v>526</v>
      </c>
      <c r="E193" s="15">
        <v>8</v>
      </c>
      <c r="F193" s="15">
        <v>15</v>
      </c>
      <c r="G193" s="15">
        <v>77</v>
      </c>
      <c r="H193" s="15" t="s">
        <v>539</v>
      </c>
      <c r="I193" s="15" t="s">
        <v>3027</v>
      </c>
      <c r="J193" s="15" t="s">
        <v>3027</v>
      </c>
      <c r="K193" s="15" t="s">
        <v>3027</v>
      </c>
      <c r="L193" s="15" t="s">
        <v>3027</v>
      </c>
      <c r="M193" s="15" t="s">
        <v>3027</v>
      </c>
      <c r="N193" s="15" t="s">
        <v>3027</v>
      </c>
      <c r="O193" s="75"/>
      <c r="P193" s="15" t="s">
        <v>522</v>
      </c>
      <c r="Q193" s="75"/>
      <c r="R193" s="15" t="s">
        <v>522</v>
      </c>
    </row>
    <row r="194" spans="2:18">
      <c r="B194" s="15">
        <v>2</v>
      </c>
      <c r="C194" s="15" t="s">
        <v>515</v>
      </c>
      <c r="D194" s="15" t="s">
        <v>526</v>
      </c>
      <c r="E194" s="15">
        <v>9</v>
      </c>
      <c r="F194" s="15">
        <v>15</v>
      </c>
      <c r="G194" s="15">
        <v>76</v>
      </c>
      <c r="H194" s="15" t="s">
        <v>539</v>
      </c>
      <c r="I194" s="15" t="s">
        <v>3027</v>
      </c>
      <c r="J194" s="15" t="s">
        <v>3027</v>
      </c>
      <c r="K194" s="15" t="s">
        <v>3027</v>
      </c>
      <c r="L194" s="15" t="s">
        <v>3027</v>
      </c>
      <c r="M194" s="15" t="s">
        <v>3027</v>
      </c>
      <c r="N194" s="15" t="s">
        <v>3027</v>
      </c>
      <c r="O194" s="75"/>
      <c r="P194" s="15" t="s">
        <v>522</v>
      </c>
      <c r="Q194" s="75"/>
      <c r="R194" s="15" t="s">
        <v>522</v>
      </c>
    </row>
    <row r="195" spans="2:18">
      <c r="B195" s="15">
        <v>2</v>
      </c>
      <c r="C195" s="15" t="s">
        <v>515</v>
      </c>
      <c r="D195" s="15" t="s">
        <v>526</v>
      </c>
      <c r="E195" s="15">
        <v>10</v>
      </c>
      <c r="F195" s="15">
        <v>15</v>
      </c>
      <c r="G195" s="15">
        <v>75</v>
      </c>
      <c r="H195" s="15" t="s">
        <v>539</v>
      </c>
      <c r="I195" s="15" t="s">
        <v>3027</v>
      </c>
      <c r="J195" s="15" t="s">
        <v>3027</v>
      </c>
      <c r="K195" s="15" t="s">
        <v>3027</v>
      </c>
      <c r="L195" s="15" t="s">
        <v>3027</v>
      </c>
      <c r="M195" s="15" t="s">
        <v>3027</v>
      </c>
      <c r="N195" s="15" t="s">
        <v>3027</v>
      </c>
      <c r="O195" s="75"/>
      <c r="P195" s="15" t="s">
        <v>522</v>
      </c>
      <c r="Q195" s="75"/>
      <c r="R195" s="15" t="s">
        <v>522</v>
      </c>
    </row>
    <row r="196" spans="2:18">
      <c r="B196" s="15">
        <v>2</v>
      </c>
      <c r="C196" s="15" t="s">
        <v>515</v>
      </c>
      <c r="D196" s="15" t="s">
        <v>526</v>
      </c>
      <c r="E196" s="15">
        <v>11</v>
      </c>
      <c r="F196" s="15">
        <v>15</v>
      </c>
      <c r="G196" s="15">
        <v>74</v>
      </c>
      <c r="H196" s="15" t="s">
        <v>539</v>
      </c>
      <c r="I196" s="15" t="s">
        <v>3027</v>
      </c>
      <c r="J196" s="15" t="s">
        <v>3027</v>
      </c>
      <c r="K196" s="15" t="s">
        <v>3027</v>
      </c>
      <c r="L196" s="15" t="s">
        <v>3027</v>
      </c>
      <c r="M196" s="15" t="s">
        <v>3027</v>
      </c>
      <c r="N196" s="15" t="s">
        <v>3027</v>
      </c>
      <c r="O196" s="75"/>
      <c r="P196" s="15" t="s">
        <v>522</v>
      </c>
      <c r="Q196" s="75"/>
      <c r="R196" s="15" t="s">
        <v>522</v>
      </c>
    </row>
    <row r="197" spans="2:18">
      <c r="B197" s="15">
        <v>2</v>
      </c>
      <c r="C197" s="15" t="s">
        <v>515</v>
      </c>
      <c r="D197" s="15" t="s">
        <v>526</v>
      </c>
      <c r="E197" s="15">
        <v>12</v>
      </c>
      <c r="F197" s="15">
        <v>15</v>
      </c>
      <c r="G197" s="15">
        <v>73</v>
      </c>
      <c r="H197" s="15" t="s">
        <v>539</v>
      </c>
      <c r="I197" s="15" t="s">
        <v>3027</v>
      </c>
      <c r="J197" s="15" t="s">
        <v>3027</v>
      </c>
      <c r="K197" s="15" t="s">
        <v>3027</v>
      </c>
      <c r="L197" s="15" t="s">
        <v>3027</v>
      </c>
      <c r="M197" s="15" t="s">
        <v>3027</v>
      </c>
      <c r="N197" s="15" t="s">
        <v>3027</v>
      </c>
      <c r="O197" s="75"/>
      <c r="P197" s="15" t="s">
        <v>522</v>
      </c>
      <c r="Q197" s="75"/>
      <c r="R197" s="15" t="s">
        <v>522</v>
      </c>
    </row>
    <row r="198" spans="2:18">
      <c r="B198" s="15">
        <v>2</v>
      </c>
      <c r="C198" s="15" t="s">
        <v>515</v>
      </c>
      <c r="D198" s="15" t="s">
        <v>526</v>
      </c>
      <c r="E198" s="15">
        <v>13</v>
      </c>
      <c r="F198" s="15">
        <v>15</v>
      </c>
      <c r="G198" s="15">
        <v>72</v>
      </c>
      <c r="H198" s="15" t="s">
        <v>539</v>
      </c>
      <c r="I198" s="15" t="s">
        <v>3027</v>
      </c>
      <c r="J198" s="15" t="s">
        <v>3027</v>
      </c>
      <c r="K198" s="15" t="s">
        <v>3027</v>
      </c>
      <c r="L198" s="15" t="s">
        <v>3027</v>
      </c>
      <c r="M198" s="15" t="s">
        <v>3027</v>
      </c>
      <c r="N198" s="15" t="s">
        <v>3027</v>
      </c>
      <c r="O198" s="75"/>
      <c r="P198" s="15" t="s">
        <v>522</v>
      </c>
      <c r="Q198" s="75"/>
      <c r="R198" s="15" t="s">
        <v>522</v>
      </c>
    </row>
    <row r="199" spans="2:18">
      <c r="B199" s="15">
        <v>2</v>
      </c>
      <c r="C199" s="15" t="s">
        <v>515</v>
      </c>
      <c r="D199" s="15" t="s">
        <v>526</v>
      </c>
      <c r="E199" s="15">
        <v>14</v>
      </c>
      <c r="F199" s="15">
        <v>15</v>
      </c>
      <c r="G199" s="15">
        <v>71</v>
      </c>
      <c r="H199" s="15" t="s">
        <v>539</v>
      </c>
      <c r="I199" s="15" t="s">
        <v>3027</v>
      </c>
      <c r="J199" s="15" t="s">
        <v>3027</v>
      </c>
      <c r="K199" s="15" t="s">
        <v>3027</v>
      </c>
      <c r="L199" s="15" t="s">
        <v>3027</v>
      </c>
      <c r="M199" s="15" t="s">
        <v>3027</v>
      </c>
      <c r="N199" s="15" t="s">
        <v>3027</v>
      </c>
      <c r="O199" s="75"/>
      <c r="P199" s="15" t="s">
        <v>522</v>
      </c>
      <c r="Q199" s="75"/>
      <c r="R199" s="15" t="s">
        <v>522</v>
      </c>
    </row>
    <row r="200" spans="2:18">
      <c r="B200" s="15">
        <v>2</v>
      </c>
      <c r="C200" s="15" t="s">
        <v>515</v>
      </c>
      <c r="D200" s="15" t="s">
        <v>526</v>
      </c>
      <c r="E200" s="15">
        <v>15</v>
      </c>
      <c r="F200" s="15">
        <v>15</v>
      </c>
      <c r="G200" s="15">
        <v>70</v>
      </c>
      <c r="H200" s="15" t="s">
        <v>539</v>
      </c>
      <c r="I200" s="15" t="s">
        <v>3027</v>
      </c>
      <c r="J200" s="15" t="s">
        <v>3027</v>
      </c>
      <c r="K200" s="15" t="s">
        <v>3027</v>
      </c>
      <c r="L200" s="15" t="s">
        <v>3027</v>
      </c>
      <c r="M200" s="15" t="s">
        <v>3027</v>
      </c>
      <c r="N200" s="15" t="s">
        <v>3027</v>
      </c>
      <c r="O200" s="75"/>
      <c r="P200" s="15" t="s">
        <v>522</v>
      </c>
      <c r="Q200" s="75"/>
      <c r="R200" s="15" t="s">
        <v>522</v>
      </c>
    </row>
    <row r="201" spans="2:18">
      <c r="B201" s="15">
        <v>2</v>
      </c>
      <c r="C201" s="15" t="s">
        <v>515</v>
      </c>
      <c r="D201" s="15" t="s">
        <v>526</v>
      </c>
      <c r="E201" s="15">
        <v>16</v>
      </c>
      <c r="F201" s="15">
        <v>15</v>
      </c>
      <c r="G201" s="15">
        <v>69</v>
      </c>
      <c r="H201" s="15" t="s">
        <v>539</v>
      </c>
      <c r="I201" s="15" t="s">
        <v>3027</v>
      </c>
      <c r="J201" s="15" t="s">
        <v>3027</v>
      </c>
      <c r="K201" s="15" t="s">
        <v>3027</v>
      </c>
      <c r="L201" s="15" t="s">
        <v>3027</v>
      </c>
      <c r="M201" s="15" t="s">
        <v>3027</v>
      </c>
      <c r="N201" s="15" t="s">
        <v>3027</v>
      </c>
      <c r="O201" s="75"/>
      <c r="P201" s="15" t="s">
        <v>522</v>
      </c>
      <c r="Q201" s="75"/>
      <c r="R201" s="15" t="s">
        <v>522</v>
      </c>
    </row>
    <row r="202" spans="2:18">
      <c r="B202" s="15">
        <v>2</v>
      </c>
      <c r="C202" s="15" t="s">
        <v>515</v>
      </c>
      <c r="D202" s="15" t="s">
        <v>526</v>
      </c>
      <c r="E202" s="15">
        <v>17</v>
      </c>
      <c r="F202" s="15">
        <v>15</v>
      </c>
      <c r="G202" s="15">
        <v>68</v>
      </c>
      <c r="H202" s="15" t="s">
        <v>539</v>
      </c>
      <c r="I202" s="15" t="s">
        <v>3027</v>
      </c>
      <c r="J202" s="15" t="s">
        <v>3027</v>
      </c>
      <c r="K202" s="15" t="s">
        <v>3027</v>
      </c>
      <c r="L202" s="15" t="s">
        <v>3027</v>
      </c>
      <c r="M202" s="15" t="s">
        <v>3027</v>
      </c>
      <c r="N202" s="15" t="s">
        <v>3027</v>
      </c>
      <c r="O202" s="75"/>
      <c r="P202" s="15" t="s">
        <v>522</v>
      </c>
      <c r="Q202" s="75"/>
      <c r="R202" s="15" t="s">
        <v>522</v>
      </c>
    </row>
    <row r="203" spans="2:18">
      <c r="B203" s="15">
        <v>2</v>
      </c>
      <c r="C203" s="15" t="s">
        <v>515</v>
      </c>
      <c r="D203" s="15" t="s">
        <v>526</v>
      </c>
      <c r="E203" s="15">
        <v>18</v>
      </c>
      <c r="F203" s="15">
        <v>15</v>
      </c>
      <c r="G203" s="15">
        <v>67</v>
      </c>
      <c r="H203" s="15" t="s">
        <v>539</v>
      </c>
      <c r="I203" s="15" t="s">
        <v>3027</v>
      </c>
      <c r="J203" s="15" t="s">
        <v>3027</v>
      </c>
      <c r="K203" s="15" t="s">
        <v>3027</v>
      </c>
      <c r="L203" s="15" t="s">
        <v>3027</v>
      </c>
      <c r="M203" s="15" t="s">
        <v>3027</v>
      </c>
      <c r="N203" s="15" t="s">
        <v>3027</v>
      </c>
      <c r="O203" s="75"/>
      <c r="P203" s="15" t="s">
        <v>522</v>
      </c>
      <c r="Q203" s="75"/>
      <c r="R203" s="15" t="s">
        <v>522</v>
      </c>
    </row>
    <row r="204" spans="2:18">
      <c r="B204" s="15">
        <v>2</v>
      </c>
      <c r="C204" s="15" t="s">
        <v>515</v>
      </c>
      <c r="D204" s="15" t="s">
        <v>526</v>
      </c>
      <c r="E204" s="15">
        <v>19</v>
      </c>
      <c r="F204" s="15">
        <v>15</v>
      </c>
      <c r="G204" s="15">
        <v>66</v>
      </c>
      <c r="H204" s="15" t="s">
        <v>539</v>
      </c>
      <c r="I204" s="15" t="s">
        <v>3027</v>
      </c>
      <c r="J204" s="15" t="s">
        <v>3027</v>
      </c>
      <c r="K204" s="15" t="s">
        <v>3027</v>
      </c>
      <c r="L204" s="15" t="s">
        <v>3027</v>
      </c>
      <c r="M204" s="15" t="s">
        <v>3027</v>
      </c>
      <c r="N204" s="15" t="s">
        <v>3027</v>
      </c>
      <c r="O204" s="75"/>
      <c r="P204" s="15" t="s">
        <v>522</v>
      </c>
      <c r="Q204" s="75"/>
      <c r="R204" s="15" t="s">
        <v>522</v>
      </c>
    </row>
    <row r="205" spans="2:18">
      <c r="B205" s="15">
        <v>2</v>
      </c>
      <c r="C205" s="15" t="s">
        <v>515</v>
      </c>
      <c r="D205" s="15" t="s">
        <v>526</v>
      </c>
      <c r="E205" s="15">
        <v>20</v>
      </c>
      <c r="F205" s="15">
        <v>15</v>
      </c>
      <c r="G205" s="15">
        <v>65</v>
      </c>
      <c r="H205" s="15" t="s">
        <v>539</v>
      </c>
      <c r="I205" s="15" t="s">
        <v>3027</v>
      </c>
      <c r="J205" s="15" t="s">
        <v>3027</v>
      </c>
      <c r="K205" s="15" t="s">
        <v>3027</v>
      </c>
      <c r="L205" s="15" t="s">
        <v>3027</v>
      </c>
      <c r="M205" s="15" t="s">
        <v>3027</v>
      </c>
      <c r="N205" s="15" t="s">
        <v>3027</v>
      </c>
      <c r="O205" s="75"/>
      <c r="P205" s="15" t="s">
        <v>522</v>
      </c>
      <c r="Q205" s="75"/>
      <c r="R205" s="15" t="s">
        <v>522</v>
      </c>
    </row>
    <row r="206" spans="2:18">
      <c r="B206" s="15">
        <v>2</v>
      </c>
      <c r="C206" s="15" t="s">
        <v>515</v>
      </c>
      <c r="D206" s="15" t="s">
        <v>526</v>
      </c>
      <c r="E206" s="15">
        <v>21</v>
      </c>
      <c r="F206" s="15">
        <v>15</v>
      </c>
      <c r="G206" s="15">
        <v>64</v>
      </c>
      <c r="H206" s="15" t="s">
        <v>539</v>
      </c>
      <c r="I206" s="15" t="s">
        <v>3027</v>
      </c>
      <c r="J206" s="15" t="s">
        <v>3027</v>
      </c>
      <c r="K206" s="15" t="s">
        <v>3027</v>
      </c>
      <c r="L206" s="15" t="s">
        <v>3027</v>
      </c>
      <c r="M206" s="15" t="s">
        <v>3027</v>
      </c>
      <c r="N206" s="15" t="s">
        <v>3027</v>
      </c>
      <c r="O206" s="75"/>
      <c r="P206" s="15" t="s">
        <v>522</v>
      </c>
      <c r="Q206" s="75"/>
      <c r="R206" s="15" t="s">
        <v>522</v>
      </c>
    </row>
    <row r="207" spans="2:18">
      <c r="B207" s="15">
        <v>2</v>
      </c>
      <c r="C207" s="15" t="s">
        <v>515</v>
      </c>
      <c r="D207" s="15" t="s">
        <v>526</v>
      </c>
      <c r="E207" s="15">
        <v>22</v>
      </c>
      <c r="F207" s="15">
        <v>15</v>
      </c>
      <c r="G207" s="15">
        <v>63</v>
      </c>
      <c r="H207" s="15" t="s">
        <v>539</v>
      </c>
      <c r="I207" s="15" t="s">
        <v>3027</v>
      </c>
      <c r="J207" s="15" t="s">
        <v>3027</v>
      </c>
      <c r="K207" s="15" t="s">
        <v>3027</v>
      </c>
      <c r="L207" s="15" t="s">
        <v>3027</v>
      </c>
      <c r="M207" s="15" t="s">
        <v>3027</v>
      </c>
      <c r="N207" s="15" t="s">
        <v>3027</v>
      </c>
      <c r="O207" s="75"/>
      <c r="P207" s="15" t="s">
        <v>522</v>
      </c>
      <c r="Q207" s="75"/>
      <c r="R207" s="15" t="s">
        <v>522</v>
      </c>
    </row>
    <row r="208" spans="2:18">
      <c r="B208" s="15">
        <v>2</v>
      </c>
      <c r="C208" s="15" t="s">
        <v>515</v>
      </c>
      <c r="D208" s="15" t="s">
        <v>526</v>
      </c>
      <c r="E208" s="15">
        <v>23</v>
      </c>
      <c r="F208" s="15">
        <v>15</v>
      </c>
      <c r="G208" s="15">
        <v>62</v>
      </c>
      <c r="H208" s="15" t="s">
        <v>539</v>
      </c>
      <c r="I208" s="15" t="s">
        <v>3027</v>
      </c>
      <c r="J208" s="15" t="s">
        <v>3027</v>
      </c>
      <c r="K208" s="15" t="s">
        <v>3027</v>
      </c>
      <c r="L208" s="15" t="s">
        <v>3027</v>
      </c>
      <c r="M208" s="15" t="s">
        <v>3027</v>
      </c>
      <c r="N208" s="15" t="s">
        <v>3027</v>
      </c>
      <c r="O208" s="75"/>
      <c r="P208" s="15" t="s">
        <v>522</v>
      </c>
      <c r="Q208" s="75"/>
      <c r="R208" s="15" t="s">
        <v>522</v>
      </c>
    </row>
    <row r="209" spans="2:18">
      <c r="B209" s="15">
        <v>2</v>
      </c>
      <c r="C209" s="15" t="s">
        <v>515</v>
      </c>
      <c r="D209" s="15" t="s">
        <v>526</v>
      </c>
      <c r="E209" s="15">
        <v>24</v>
      </c>
      <c r="F209" s="15">
        <v>15</v>
      </c>
      <c r="G209" s="15">
        <v>61</v>
      </c>
      <c r="H209" s="15" t="s">
        <v>539</v>
      </c>
      <c r="I209" s="15" t="s">
        <v>3027</v>
      </c>
      <c r="J209" s="15" t="s">
        <v>3027</v>
      </c>
      <c r="K209" s="15" t="s">
        <v>3027</v>
      </c>
      <c r="L209" s="15" t="s">
        <v>3027</v>
      </c>
      <c r="M209" s="15" t="s">
        <v>3027</v>
      </c>
      <c r="N209" s="15" t="s">
        <v>3027</v>
      </c>
      <c r="O209" s="75"/>
      <c r="P209" s="15" t="s">
        <v>522</v>
      </c>
      <c r="Q209" s="75"/>
      <c r="R209" s="15" t="s">
        <v>522</v>
      </c>
    </row>
    <row r="210" spans="2:18">
      <c r="B210" s="15">
        <v>2</v>
      </c>
      <c r="C210" s="15" t="s">
        <v>515</v>
      </c>
      <c r="D210" s="15" t="s">
        <v>526</v>
      </c>
      <c r="E210" s="15">
        <v>25</v>
      </c>
      <c r="F210" s="15">
        <v>15</v>
      </c>
      <c r="G210" s="15">
        <v>60</v>
      </c>
      <c r="H210" s="15" t="s">
        <v>539</v>
      </c>
      <c r="I210" s="15" t="s">
        <v>3027</v>
      </c>
      <c r="J210" s="15" t="s">
        <v>3027</v>
      </c>
      <c r="K210" s="15" t="s">
        <v>3027</v>
      </c>
      <c r="L210" s="15" t="s">
        <v>3027</v>
      </c>
      <c r="M210" s="15" t="s">
        <v>3027</v>
      </c>
      <c r="N210" s="15" t="s">
        <v>3027</v>
      </c>
      <c r="O210" s="75"/>
      <c r="P210" s="15" t="s">
        <v>522</v>
      </c>
      <c r="Q210" s="75"/>
      <c r="R210" s="15" t="s">
        <v>522</v>
      </c>
    </row>
    <row r="211" spans="2:18">
      <c r="B211" s="15">
        <v>2</v>
      </c>
      <c r="C211" s="15" t="s">
        <v>515</v>
      </c>
      <c r="D211" s="15" t="s">
        <v>526</v>
      </c>
      <c r="E211" s="15">
        <v>26</v>
      </c>
      <c r="F211" s="15">
        <v>15</v>
      </c>
      <c r="G211" s="15">
        <v>59</v>
      </c>
      <c r="H211" s="15" t="s">
        <v>539</v>
      </c>
      <c r="I211" s="15" t="s">
        <v>3027</v>
      </c>
      <c r="J211" s="15" t="s">
        <v>3027</v>
      </c>
      <c r="K211" s="15" t="s">
        <v>3027</v>
      </c>
      <c r="L211" s="15" t="s">
        <v>3027</v>
      </c>
      <c r="M211" s="15" t="s">
        <v>3027</v>
      </c>
      <c r="N211" s="15" t="s">
        <v>3027</v>
      </c>
      <c r="O211" s="75"/>
      <c r="P211" s="15" t="s">
        <v>522</v>
      </c>
      <c r="Q211" s="75"/>
      <c r="R211" s="15" t="s">
        <v>522</v>
      </c>
    </row>
    <row r="212" spans="2:18">
      <c r="B212" s="15">
        <v>2</v>
      </c>
      <c r="C212" s="15" t="s">
        <v>515</v>
      </c>
      <c r="D212" s="15" t="s">
        <v>526</v>
      </c>
      <c r="E212" s="15">
        <v>27</v>
      </c>
      <c r="F212" s="15">
        <v>15</v>
      </c>
      <c r="G212" s="15">
        <v>58</v>
      </c>
      <c r="H212" s="15" t="s">
        <v>539</v>
      </c>
      <c r="I212" s="15" t="s">
        <v>3027</v>
      </c>
      <c r="J212" s="15" t="s">
        <v>3027</v>
      </c>
      <c r="K212" s="15" t="s">
        <v>3027</v>
      </c>
      <c r="L212" s="15" t="s">
        <v>3027</v>
      </c>
      <c r="M212" s="15" t="s">
        <v>3027</v>
      </c>
      <c r="N212" s="15" t="s">
        <v>3027</v>
      </c>
      <c r="O212" s="75"/>
      <c r="P212" s="15" t="s">
        <v>522</v>
      </c>
      <c r="Q212" s="75"/>
      <c r="R212" s="15" t="s">
        <v>522</v>
      </c>
    </row>
    <row r="213" spans="2:18">
      <c r="B213" s="15">
        <v>2</v>
      </c>
      <c r="C213" s="15" t="s">
        <v>515</v>
      </c>
      <c r="D213" s="15" t="s">
        <v>526</v>
      </c>
      <c r="E213" s="15">
        <v>28</v>
      </c>
      <c r="F213" s="15">
        <v>15</v>
      </c>
      <c r="G213" s="15">
        <v>57</v>
      </c>
      <c r="H213" s="15" t="s">
        <v>539</v>
      </c>
      <c r="I213" s="15" t="s">
        <v>3027</v>
      </c>
      <c r="J213" s="15" t="s">
        <v>3027</v>
      </c>
      <c r="K213" s="15" t="s">
        <v>3027</v>
      </c>
      <c r="L213" s="15" t="s">
        <v>3027</v>
      </c>
      <c r="M213" s="15" t="s">
        <v>3027</v>
      </c>
      <c r="N213" s="15" t="s">
        <v>3027</v>
      </c>
      <c r="O213" s="75"/>
      <c r="P213" s="15" t="s">
        <v>522</v>
      </c>
      <c r="Q213" s="75"/>
      <c r="R213" s="15" t="s">
        <v>522</v>
      </c>
    </row>
    <row r="214" spans="2:18">
      <c r="B214" s="15">
        <v>2</v>
      </c>
      <c r="C214" s="15" t="s">
        <v>515</v>
      </c>
      <c r="D214" s="15" t="s">
        <v>526</v>
      </c>
      <c r="E214" s="15">
        <v>29</v>
      </c>
      <c r="F214" s="15">
        <v>15</v>
      </c>
      <c r="G214" s="15">
        <v>56</v>
      </c>
      <c r="H214" s="15" t="s">
        <v>539</v>
      </c>
      <c r="I214" s="15" t="s">
        <v>3027</v>
      </c>
      <c r="J214" s="15" t="s">
        <v>3027</v>
      </c>
      <c r="K214" s="15" t="s">
        <v>3027</v>
      </c>
      <c r="L214" s="15" t="s">
        <v>3027</v>
      </c>
      <c r="M214" s="15" t="s">
        <v>3027</v>
      </c>
      <c r="N214" s="15" t="s">
        <v>3027</v>
      </c>
      <c r="O214" s="75"/>
      <c r="P214" s="15" t="s">
        <v>522</v>
      </c>
      <c r="Q214" s="75"/>
      <c r="R214" s="15" t="s">
        <v>522</v>
      </c>
    </row>
    <row r="215" spans="2:18">
      <c r="B215" s="15">
        <v>2</v>
      </c>
      <c r="C215" s="15" t="s">
        <v>515</v>
      </c>
      <c r="D215" s="15" t="s">
        <v>526</v>
      </c>
      <c r="E215" s="15">
        <v>30</v>
      </c>
      <c r="F215" s="15">
        <v>15</v>
      </c>
      <c r="G215" s="15">
        <v>55</v>
      </c>
      <c r="H215" s="15" t="s">
        <v>539</v>
      </c>
      <c r="I215" s="15" t="s">
        <v>3027</v>
      </c>
      <c r="J215" s="15" t="s">
        <v>3027</v>
      </c>
      <c r="K215" s="15" t="s">
        <v>3027</v>
      </c>
      <c r="L215" s="15" t="s">
        <v>3027</v>
      </c>
      <c r="M215" s="15" t="s">
        <v>3027</v>
      </c>
      <c r="N215" s="15" t="s">
        <v>3027</v>
      </c>
      <c r="O215" s="75"/>
      <c r="P215" s="15" t="s">
        <v>522</v>
      </c>
      <c r="Q215" s="75"/>
      <c r="R215" s="15" t="s">
        <v>522</v>
      </c>
    </row>
    <row r="216" spans="2:18">
      <c r="B216" s="15">
        <v>2</v>
      </c>
      <c r="C216" s="15" t="s">
        <v>516</v>
      </c>
      <c r="D216" s="15" t="s">
        <v>526</v>
      </c>
      <c r="E216" s="15">
        <v>5</v>
      </c>
      <c r="F216" s="15">
        <v>15</v>
      </c>
      <c r="G216" s="15">
        <v>80</v>
      </c>
      <c r="H216" s="15" t="s">
        <v>539</v>
      </c>
      <c r="I216" s="15" t="s">
        <v>3027</v>
      </c>
      <c r="J216" s="15" t="s">
        <v>3027</v>
      </c>
      <c r="K216" s="15" t="s">
        <v>3027</v>
      </c>
      <c r="L216" s="15" t="s">
        <v>3027</v>
      </c>
      <c r="M216" s="15" t="s">
        <v>3027</v>
      </c>
      <c r="N216" s="15" t="s">
        <v>3027</v>
      </c>
      <c r="O216" s="75"/>
      <c r="P216" s="15" t="s">
        <v>522</v>
      </c>
      <c r="Q216" s="75"/>
      <c r="R216" s="15" t="s">
        <v>522</v>
      </c>
    </row>
    <row r="217" spans="2:18">
      <c r="B217" s="15">
        <v>2</v>
      </c>
      <c r="C217" s="15" t="s">
        <v>516</v>
      </c>
      <c r="D217" s="15" t="s">
        <v>526</v>
      </c>
      <c r="E217" s="15">
        <v>6</v>
      </c>
      <c r="F217" s="15">
        <v>15</v>
      </c>
      <c r="G217" s="15">
        <v>79</v>
      </c>
      <c r="H217" s="15" t="s">
        <v>539</v>
      </c>
      <c r="I217" s="15" t="s">
        <v>3027</v>
      </c>
      <c r="J217" s="15" t="s">
        <v>3027</v>
      </c>
      <c r="K217" s="15" t="s">
        <v>3027</v>
      </c>
      <c r="L217" s="15" t="s">
        <v>3027</v>
      </c>
      <c r="M217" s="15" t="s">
        <v>3027</v>
      </c>
      <c r="N217" s="15" t="s">
        <v>3027</v>
      </c>
      <c r="O217" s="75"/>
      <c r="P217" s="15" t="s">
        <v>522</v>
      </c>
      <c r="Q217" s="75"/>
      <c r="R217" s="15" t="s">
        <v>522</v>
      </c>
    </row>
    <row r="218" spans="2:18">
      <c r="B218" s="15">
        <v>2</v>
      </c>
      <c r="C218" s="15" t="s">
        <v>516</v>
      </c>
      <c r="D218" s="15" t="s">
        <v>526</v>
      </c>
      <c r="E218" s="15">
        <v>7</v>
      </c>
      <c r="F218" s="15">
        <v>15</v>
      </c>
      <c r="G218" s="15">
        <v>78</v>
      </c>
      <c r="H218" s="15" t="s">
        <v>539</v>
      </c>
      <c r="I218" s="15" t="s">
        <v>3027</v>
      </c>
      <c r="J218" s="15" t="s">
        <v>3027</v>
      </c>
      <c r="K218" s="15" t="s">
        <v>3027</v>
      </c>
      <c r="L218" s="15" t="s">
        <v>3027</v>
      </c>
      <c r="M218" s="15" t="s">
        <v>3027</v>
      </c>
      <c r="N218" s="15" t="s">
        <v>3027</v>
      </c>
      <c r="O218" s="75"/>
      <c r="P218" s="15" t="s">
        <v>522</v>
      </c>
      <c r="Q218" s="75"/>
      <c r="R218" s="15" t="s">
        <v>522</v>
      </c>
    </row>
    <row r="219" spans="2:18">
      <c r="B219" s="15">
        <v>2</v>
      </c>
      <c r="C219" s="15" t="s">
        <v>516</v>
      </c>
      <c r="D219" s="15" t="s">
        <v>526</v>
      </c>
      <c r="E219" s="15">
        <v>8</v>
      </c>
      <c r="F219" s="15">
        <v>15</v>
      </c>
      <c r="G219" s="15">
        <v>77</v>
      </c>
      <c r="H219" s="15" t="s">
        <v>539</v>
      </c>
      <c r="I219" s="15" t="s">
        <v>3027</v>
      </c>
      <c r="J219" s="15" t="s">
        <v>3027</v>
      </c>
      <c r="K219" s="15" t="s">
        <v>3027</v>
      </c>
      <c r="L219" s="15" t="s">
        <v>3027</v>
      </c>
      <c r="M219" s="15" t="s">
        <v>3027</v>
      </c>
      <c r="N219" s="15" t="s">
        <v>3027</v>
      </c>
      <c r="O219" s="75"/>
      <c r="P219" s="15" t="s">
        <v>522</v>
      </c>
      <c r="Q219" s="75"/>
      <c r="R219" s="15" t="s">
        <v>522</v>
      </c>
    </row>
    <row r="220" spans="2:18">
      <c r="B220" s="15">
        <v>2</v>
      </c>
      <c r="C220" s="15" t="s">
        <v>516</v>
      </c>
      <c r="D220" s="15" t="s">
        <v>526</v>
      </c>
      <c r="E220" s="15">
        <v>9</v>
      </c>
      <c r="F220" s="15">
        <v>15</v>
      </c>
      <c r="G220" s="15">
        <v>76</v>
      </c>
      <c r="H220" s="15" t="s">
        <v>539</v>
      </c>
      <c r="I220" s="15" t="s">
        <v>3027</v>
      </c>
      <c r="J220" s="15" t="s">
        <v>3027</v>
      </c>
      <c r="K220" s="15" t="s">
        <v>3027</v>
      </c>
      <c r="L220" s="15" t="s">
        <v>3027</v>
      </c>
      <c r="M220" s="15" t="s">
        <v>3027</v>
      </c>
      <c r="N220" s="15" t="s">
        <v>3027</v>
      </c>
      <c r="O220" s="75"/>
      <c r="P220" s="15" t="s">
        <v>522</v>
      </c>
      <c r="Q220" s="75"/>
      <c r="R220" s="15" t="s">
        <v>522</v>
      </c>
    </row>
    <row r="221" spans="2:18">
      <c r="B221" s="15">
        <v>2</v>
      </c>
      <c r="C221" s="15" t="s">
        <v>516</v>
      </c>
      <c r="D221" s="15" t="s">
        <v>526</v>
      </c>
      <c r="E221" s="15">
        <v>10</v>
      </c>
      <c r="F221" s="15">
        <v>15</v>
      </c>
      <c r="G221" s="15">
        <v>75</v>
      </c>
      <c r="H221" s="15" t="s">
        <v>539</v>
      </c>
      <c r="I221" s="15" t="s">
        <v>3027</v>
      </c>
      <c r="J221" s="15" t="s">
        <v>3027</v>
      </c>
      <c r="K221" s="15" t="s">
        <v>3027</v>
      </c>
      <c r="L221" s="15" t="s">
        <v>3027</v>
      </c>
      <c r="M221" s="15" t="s">
        <v>3027</v>
      </c>
      <c r="N221" s="15" t="s">
        <v>3027</v>
      </c>
      <c r="O221" s="75"/>
      <c r="P221" s="15" t="s">
        <v>522</v>
      </c>
      <c r="Q221" s="75"/>
      <c r="R221" s="15" t="s">
        <v>522</v>
      </c>
    </row>
    <row r="222" spans="2:18">
      <c r="B222" s="15">
        <v>2</v>
      </c>
      <c r="C222" s="15" t="s">
        <v>516</v>
      </c>
      <c r="D222" s="15" t="s">
        <v>526</v>
      </c>
      <c r="E222" s="15">
        <v>11</v>
      </c>
      <c r="F222" s="15">
        <v>15</v>
      </c>
      <c r="G222" s="15">
        <v>74</v>
      </c>
      <c r="H222" s="15" t="s">
        <v>539</v>
      </c>
      <c r="I222" s="15" t="s">
        <v>3027</v>
      </c>
      <c r="J222" s="15" t="s">
        <v>3027</v>
      </c>
      <c r="K222" s="15" t="s">
        <v>3027</v>
      </c>
      <c r="L222" s="15" t="s">
        <v>3027</v>
      </c>
      <c r="M222" s="15" t="s">
        <v>3027</v>
      </c>
      <c r="N222" s="15" t="s">
        <v>3027</v>
      </c>
      <c r="O222" s="75"/>
      <c r="P222" s="15" t="s">
        <v>522</v>
      </c>
      <c r="Q222" s="75"/>
      <c r="R222" s="15" t="s">
        <v>522</v>
      </c>
    </row>
    <row r="223" spans="2:18">
      <c r="B223" s="15">
        <v>2</v>
      </c>
      <c r="C223" s="15" t="s">
        <v>516</v>
      </c>
      <c r="D223" s="15" t="s">
        <v>526</v>
      </c>
      <c r="E223" s="15">
        <v>12</v>
      </c>
      <c r="F223" s="15">
        <v>15</v>
      </c>
      <c r="G223" s="15">
        <v>73</v>
      </c>
      <c r="H223" s="15" t="s">
        <v>539</v>
      </c>
      <c r="I223" s="15" t="s">
        <v>3027</v>
      </c>
      <c r="J223" s="15" t="s">
        <v>3027</v>
      </c>
      <c r="K223" s="15" t="s">
        <v>3027</v>
      </c>
      <c r="L223" s="15" t="s">
        <v>3027</v>
      </c>
      <c r="M223" s="15" t="s">
        <v>3027</v>
      </c>
      <c r="N223" s="15" t="s">
        <v>3027</v>
      </c>
      <c r="O223" s="75"/>
      <c r="P223" s="15" t="s">
        <v>522</v>
      </c>
      <c r="Q223" s="75"/>
      <c r="R223" s="15" t="s">
        <v>522</v>
      </c>
    </row>
    <row r="224" spans="2:18">
      <c r="B224" s="15">
        <v>2</v>
      </c>
      <c r="C224" s="15" t="s">
        <v>516</v>
      </c>
      <c r="D224" s="15" t="s">
        <v>526</v>
      </c>
      <c r="E224" s="15">
        <v>13</v>
      </c>
      <c r="F224" s="15">
        <v>15</v>
      </c>
      <c r="G224" s="15">
        <v>72</v>
      </c>
      <c r="H224" s="15" t="s">
        <v>539</v>
      </c>
      <c r="I224" s="15" t="s">
        <v>3027</v>
      </c>
      <c r="J224" s="15" t="s">
        <v>3027</v>
      </c>
      <c r="K224" s="15" t="s">
        <v>3027</v>
      </c>
      <c r="L224" s="15" t="s">
        <v>3027</v>
      </c>
      <c r="M224" s="15" t="s">
        <v>3027</v>
      </c>
      <c r="N224" s="15" t="s">
        <v>3027</v>
      </c>
      <c r="O224" s="75"/>
      <c r="P224" s="15" t="s">
        <v>522</v>
      </c>
      <c r="Q224" s="75"/>
      <c r="R224" s="15" t="s">
        <v>522</v>
      </c>
    </row>
    <row r="225" spans="2:18">
      <c r="B225" s="15">
        <v>2</v>
      </c>
      <c r="C225" s="15" t="s">
        <v>516</v>
      </c>
      <c r="D225" s="15" t="s">
        <v>526</v>
      </c>
      <c r="E225" s="15">
        <v>14</v>
      </c>
      <c r="F225" s="15">
        <v>15</v>
      </c>
      <c r="G225" s="15">
        <v>71</v>
      </c>
      <c r="H225" s="15" t="s">
        <v>539</v>
      </c>
      <c r="I225" s="15" t="s">
        <v>3027</v>
      </c>
      <c r="J225" s="15" t="s">
        <v>3027</v>
      </c>
      <c r="K225" s="15" t="s">
        <v>3027</v>
      </c>
      <c r="L225" s="15" t="s">
        <v>3027</v>
      </c>
      <c r="M225" s="15" t="s">
        <v>3027</v>
      </c>
      <c r="N225" s="15" t="s">
        <v>3027</v>
      </c>
      <c r="O225" s="75"/>
      <c r="P225" s="15" t="s">
        <v>522</v>
      </c>
      <c r="Q225" s="75"/>
      <c r="R225" s="15" t="s">
        <v>522</v>
      </c>
    </row>
    <row r="226" spans="2:18">
      <c r="B226" s="15">
        <v>2</v>
      </c>
      <c r="C226" s="15" t="s">
        <v>516</v>
      </c>
      <c r="D226" s="15" t="s">
        <v>526</v>
      </c>
      <c r="E226" s="15">
        <v>15</v>
      </c>
      <c r="F226" s="15">
        <v>15</v>
      </c>
      <c r="G226" s="15">
        <v>70</v>
      </c>
      <c r="H226" s="15" t="s">
        <v>539</v>
      </c>
      <c r="I226" s="15" t="s">
        <v>3027</v>
      </c>
      <c r="J226" s="15" t="s">
        <v>3027</v>
      </c>
      <c r="K226" s="15" t="s">
        <v>3027</v>
      </c>
      <c r="L226" s="15" t="s">
        <v>3027</v>
      </c>
      <c r="M226" s="15" t="s">
        <v>3027</v>
      </c>
      <c r="N226" s="15" t="s">
        <v>3027</v>
      </c>
      <c r="O226" s="75"/>
      <c r="P226" s="15" t="s">
        <v>522</v>
      </c>
      <c r="Q226" s="75"/>
      <c r="R226" s="15" t="s">
        <v>522</v>
      </c>
    </row>
    <row r="227" spans="2:18">
      <c r="B227" s="15">
        <v>2</v>
      </c>
      <c r="C227" s="15" t="s">
        <v>516</v>
      </c>
      <c r="D227" s="15" t="s">
        <v>526</v>
      </c>
      <c r="E227" s="15">
        <v>16</v>
      </c>
      <c r="F227" s="15">
        <v>15</v>
      </c>
      <c r="G227" s="15">
        <v>69</v>
      </c>
      <c r="H227" s="15" t="s">
        <v>539</v>
      </c>
      <c r="I227" s="15" t="s">
        <v>3027</v>
      </c>
      <c r="J227" s="15" t="s">
        <v>3027</v>
      </c>
      <c r="K227" s="15" t="s">
        <v>3027</v>
      </c>
      <c r="L227" s="15" t="s">
        <v>3027</v>
      </c>
      <c r="M227" s="15" t="s">
        <v>3027</v>
      </c>
      <c r="N227" s="15" t="s">
        <v>3027</v>
      </c>
      <c r="O227" s="75"/>
      <c r="P227" s="15" t="s">
        <v>522</v>
      </c>
      <c r="Q227" s="75"/>
      <c r="R227" s="15" t="s">
        <v>522</v>
      </c>
    </row>
    <row r="228" spans="2:18">
      <c r="B228" s="15">
        <v>2</v>
      </c>
      <c r="C228" s="15" t="s">
        <v>516</v>
      </c>
      <c r="D228" s="15" t="s">
        <v>526</v>
      </c>
      <c r="E228" s="15">
        <v>17</v>
      </c>
      <c r="F228" s="15">
        <v>15</v>
      </c>
      <c r="G228" s="15">
        <v>68</v>
      </c>
      <c r="H228" s="15" t="s">
        <v>539</v>
      </c>
      <c r="I228" s="15" t="s">
        <v>3027</v>
      </c>
      <c r="J228" s="15" t="s">
        <v>3027</v>
      </c>
      <c r="K228" s="15" t="s">
        <v>3027</v>
      </c>
      <c r="L228" s="15" t="s">
        <v>3027</v>
      </c>
      <c r="M228" s="15" t="s">
        <v>3027</v>
      </c>
      <c r="N228" s="15" t="s">
        <v>3027</v>
      </c>
      <c r="O228" s="75"/>
      <c r="P228" s="15" t="s">
        <v>522</v>
      </c>
      <c r="Q228" s="75"/>
      <c r="R228" s="15" t="s">
        <v>522</v>
      </c>
    </row>
    <row r="229" spans="2:18">
      <c r="B229" s="15">
        <v>2</v>
      </c>
      <c r="C229" s="15" t="s">
        <v>516</v>
      </c>
      <c r="D229" s="15" t="s">
        <v>526</v>
      </c>
      <c r="E229" s="15">
        <v>18</v>
      </c>
      <c r="F229" s="15">
        <v>15</v>
      </c>
      <c r="G229" s="15">
        <v>67</v>
      </c>
      <c r="H229" s="15" t="s">
        <v>539</v>
      </c>
      <c r="I229" s="15" t="s">
        <v>3027</v>
      </c>
      <c r="J229" s="15" t="s">
        <v>3027</v>
      </c>
      <c r="K229" s="15" t="s">
        <v>3027</v>
      </c>
      <c r="L229" s="15" t="s">
        <v>3027</v>
      </c>
      <c r="M229" s="15" t="s">
        <v>3027</v>
      </c>
      <c r="N229" s="15" t="s">
        <v>3027</v>
      </c>
      <c r="O229" s="75"/>
      <c r="P229" s="15" t="s">
        <v>522</v>
      </c>
      <c r="Q229" s="75"/>
      <c r="R229" s="15" t="s">
        <v>522</v>
      </c>
    </row>
    <row r="230" spans="2:18">
      <c r="B230" s="15">
        <v>2</v>
      </c>
      <c r="C230" s="15" t="s">
        <v>516</v>
      </c>
      <c r="D230" s="15" t="s">
        <v>526</v>
      </c>
      <c r="E230" s="15">
        <v>19</v>
      </c>
      <c r="F230" s="15">
        <v>15</v>
      </c>
      <c r="G230" s="15">
        <v>66</v>
      </c>
      <c r="H230" s="15" t="s">
        <v>539</v>
      </c>
      <c r="I230" s="15" t="s">
        <v>3027</v>
      </c>
      <c r="J230" s="15" t="s">
        <v>3027</v>
      </c>
      <c r="K230" s="15" t="s">
        <v>3027</v>
      </c>
      <c r="L230" s="15" t="s">
        <v>3027</v>
      </c>
      <c r="M230" s="15" t="s">
        <v>3027</v>
      </c>
      <c r="N230" s="15" t="s">
        <v>3027</v>
      </c>
      <c r="O230" s="75"/>
      <c r="P230" s="15" t="s">
        <v>522</v>
      </c>
      <c r="Q230" s="75"/>
      <c r="R230" s="15" t="s">
        <v>522</v>
      </c>
    </row>
    <row r="231" spans="2:18">
      <c r="B231" s="15">
        <v>2</v>
      </c>
      <c r="C231" s="15" t="s">
        <v>516</v>
      </c>
      <c r="D231" s="15" t="s">
        <v>526</v>
      </c>
      <c r="E231" s="15">
        <v>20</v>
      </c>
      <c r="F231" s="15">
        <v>15</v>
      </c>
      <c r="G231" s="15">
        <v>65</v>
      </c>
      <c r="H231" s="15" t="s">
        <v>539</v>
      </c>
      <c r="I231" s="15" t="s">
        <v>3027</v>
      </c>
      <c r="J231" s="15" t="s">
        <v>3027</v>
      </c>
      <c r="K231" s="15" t="s">
        <v>3027</v>
      </c>
      <c r="L231" s="15" t="s">
        <v>3027</v>
      </c>
      <c r="M231" s="15" t="s">
        <v>3027</v>
      </c>
      <c r="N231" s="15" t="s">
        <v>3027</v>
      </c>
      <c r="O231" s="75"/>
      <c r="P231" s="15" t="s">
        <v>522</v>
      </c>
      <c r="Q231" s="75"/>
      <c r="R231" s="15" t="s">
        <v>522</v>
      </c>
    </row>
    <row r="232" spans="2:18">
      <c r="B232" s="15">
        <v>2</v>
      </c>
      <c r="C232" s="15" t="s">
        <v>517</v>
      </c>
      <c r="D232" s="15" t="s">
        <v>526</v>
      </c>
      <c r="E232" s="15">
        <v>5</v>
      </c>
      <c r="F232" s="15">
        <v>15</v>
      </c>
      <c r="G232" s="15">
        <v>80</v>
      </c>
      <c r="H232" s="15" t="s">
        <v>539</v>
      </c>
      <c r="I232" s="15" t="s">
        <v>3027</v>
      </c>
      <c r="J232" s="15" t="s">
        <v>3027</v>
      </c>
      <c r="K232" s="15" t="s">
        <v>3027</v>
      </c>
      <c r="L232" s="15" t="s">
        <v>3027</v>
      </c>
      <c r="M232" s="15" t="s">
        <v>3027</v>
      </c>
      <c r="N232" s="15" t="s">
        <v>3027</v>
      </c>
      <c r="O232" s="75"/>
      <c r="P232" s="15" t="s">
        <v>522</v>
      </c>
      <c r="Q232" s="75"/>
      <c r="R232" s="15" t="s">
        <v>522</v>
      </c>
    </row>
    <row r="233" spans="2:18">
      <c r="B233" s="15">
        <v>2</v>
      </c>
      <c r="C233" s="15" t="s">
        <v>517</v>
      </c>
      <c r="D233" s="15" t="s">
        <v>526</v>
      </c>
      <c r="E233" s="15">
        <v>6</v>
      </c>
      <c r="F233" s="15">
        <v>15</v>
      </c>
      <c r="G233" s="15">
        <v>79</v>
      </c>
      <c r="H233" s="15" t="s">
        <v>539</v>
      </c>
      <c r="I233" s="15" t="s">
        <v>3027</v>
      </c>
      <c r="J233" s="15" t="s">
        <v>3027</v>
      </c>
      <c r="K233" s="15" t="s">
        <v>3027</v>
      </c>
      <c r="L233" s="15" t="s">
        <v>3027</v>
      </c>
      <c r="M233" s="15" t="s">
        <v>3027</v>
      </c>
      <c r="N233" s="15" t="s">
        <v>3027</v>
      </c>
      <c r="O233" s="75"/>
      <c r="P233" s="15" t="s">
        <v>522</v>
      </c>
      <c r="Q233" s="75"/>
      <c r="R233" s="15" t="s">
        <v>522</v>
      </c>
    </row>
    <row r="234" spans="2:18">
      <c r="B234" s="15">
        <v>2</v>
      </c>
      <c r="C234" s="15" t="s">
        <v>517</v>
      </c>
      <c r="D234" s="15" t="s">
        <v>526</v>
      </c>
      <c r="E234" s="15">
        <v>7</v>
      </c>
      <c r="F234" s="15">
        <v>15</v>
      </c>
      <c r="G234" s="15">
        <v>78</v>
      </c>
      <c r="H234" s="15" t="s">
        <v>539</v>
      </c>
      <c r="I234" s="15" t="s">
        <v>3027</v>
      </c>
      <c r="J234" s="15" t="s">
        <v>3027</v>
      </c>
      <c r="K234" s="15" t="s">
        <v>3027</v>
      </c>
      <c r="L234" s="15" t="s">
        <v>3027</v>
      </c>
      <c r="M234" s="15" t="s">
        <v>3027</v>
      </c>
      <c r="N234" s="15" t="s">
        <v>3027</v>
      </c>
      <c r="O234" s="75"/>
      <c r="P234" s="15" t="s">
        <v>522</v>
      </c>
      <c r="Q234" s="75"/>
      <c r="R234" s="15" t="s">
        <v>522</v>
      </c>
    </row>
    <row r="235" spans="2:18">
      <c r="B235" s="15">
        <v>2</v>
      </c>
      <c r="C235" s="15" t="s">
        <v>517</v>
      </c>
      <c r="D235" s="15" t="s">
        <v>526</v>
      </c>
      <c r="E235" s="15">
        <v>8</v>
      </c>
      <c r="F235" s="15">
        <v>15</v>
      </c>
      <c r="G235" s="15">
        <v>77</v>
      </c>
      <c r="H235" s="15" t="s">
        <v>539</v>
      </c>
      <c r="I235" s="15" t="s">
        <v>3027</v>
      </c>
      <c r="J235" s="15" t="s">
        <v>3027</v>
      </c>
      <c r="K235" s="15" t="s">
        <v>3027</v>
      </c>
      <c r="L235" s="15" t="s">
        <v>3027</v>
      </c>
      <c r="M235" s="15" t="s">
        <v>3027</v>
      </c>
      <c r="N235" s="15" t="s">
        <v>3027</v>
      </c>
      <c r="O235" s="75"/>
      <c r="P235" s="15" t="s">
        <v>522</v>
      </c>
      <c r="Q235" s="75"/>
      <c r="R235" s="15" t="s">
        <v>522</v>
      </c>
    </row>
    <row r="236" spans="2:18">
      <c r="B236" s="15">
        <v>2</v>
      </c>
      <c r="C236" s="15" t="s">
        <v>517</v>
      </c>
      <c r="D236" s="15" t="s">
        <v>526</v>
      </c>
      <c r="E236" s="15">
        <v>9</v>
      </c>
      <c r="F236" s="15">
        <v>15</v>
      </c>
      <c r="G236" s="15">
        <v>76</v>
      </c>
      <c r="H236" s="15" t="s">
        <v>539</v>
      </c>
      <c r="I236" s="15" t="s">
        <v>3027</v>
      </c>
      <c r="J236" s="15" t="s">
        <v>3027</v>
      </c>
      <c r="K236" s="15" t="s">
        <v>3027</v>
      </c>
      <c r="L236" s="15" t="s">
        <v>3027</v>
      </c>
      <c r="M236" s="15" t="s">
        <v>3027</v>
      </c>
      <c r="N236" s="15" t="s">
        <v>3027</v>
      </c>
      <c r="O236" s="75"/>
      <c r="P236" s="15" t="s">
        <v>522</v>
      </c>
      <c r="Q236" s="75"/>
      <c r="R236" s="15" t="s">
        <v>522</v>
      </c>
    </row>
    <row r="237" spans="2:18">
      <c r="B237" s="15">
        <v>2</v>
      </c>
      <c r="C237" s="15" t="s">
        <v>517</v>
      </c>
      <c r="D237" s="15" t="s">
        <v>526</v>
      </c>
      <c r="E237" s="15">
        <v>10</v>
      </c>
      <c r="F237" s="15">
        <v>15</v>
      </c>
      <c r="G237" s="15">
        <v>75</v>
      </c>
      <c r="H237" s="15" t="s">
        <v>539</v>
      </c>
      <c r="I237" s="15" t="s">
        <v>3027</v>
      </c>
      <c r="J237" s="15" t="s">
        <v>3027</v>
      </c>
      <c r="K237" s="15" t="s">
        <v>3027</v>
      </c>
      <c r="L237" s="15" t="s">
        <v>3027</v>
      </c>
      <c r="M237" s="15" t="s">
        <v>3027</v>
      </c>
      <c r="N237" s="15" t="s">
        <v>3027</v>
      </c>
      <c r="O237" s="75"/>
      <c r="P237" s="15" t="s">
        <v>522</v>
      </c>
      <c r="Q237" s="75"/>
      <c r="R237" s="15" t="s">
        <v>522</v>
      </c>
    </row>
    <row r="238" spans="2:18">
      <c r="B238" s="15">
        <v>2</v>
      </c>
      <c r="C238" s="15" t="s">
        <v>517</v>
      </c>
      <c r="D238" s="15" t="s">
        <v>526</v>
      </c>
      <c r="E238" s="15">
        <v>11</v>
      </c>
      <c r="F238" s="15">
        <v>15</v>
      </c>
      <c r="G238" s="15">
        <v>74</v>
      </c>
      <c r="H238" s="15" t="s">
        <v>539</v>
      </c>
      <c r="I238" s="15" t="s">
        <v>3027</v>
      </c>
      <c r="J238" s="15" t="s">
        <v>3027</v>
      </c>
      <c r="K238" s="15" t="s">
        <v>3027</v>
      </c>
      <c r="L238" s="15" t="s">
        <v>3027</v>
      </c>
      <c r="M238" s="15" t="s">
        <v>3027</v>
      </c>
      <c r="N238" s="15" t="s">
        <v>3027</v>
      </c>
      <c r="O238" s="75"/>
      <c r="P238" s="15" t="s">
        <v>522</v>
      </c>
      <c r="Q238" s="75"/>
      <c r="R238" s="15" t="s">
        <v>522</v>
      </c>
    </row>
    <row r="239" spans="2:18">
      <c r="B239" s="15">
        <v>2</v>
      </c>
      <c r="C239" s="15" t="s">
        <v>517</v>
      </c>
      <c r="D239" s="15" t="s">
        <v>526</v>
      </c>
      <c r="E239" s="15">
        <v>12</v>
      </c>
      <c r="F239" s="15">
        <v>15</v>
      </c>
      <c r="G239" s="15">
        <v>73</v>
      </c>
      <c r="H239" s="15" t="s">
        <v>539</v>
      </c>
      <c r="I239" s="15" t="s">
        <v>3027</v>
      </c>
      <c r="J239" s="15" t="s">
        <v>3027</v>
      </c>
      <c r="K239" s="15" t="s">
        <v>3027</v>
      </c>
      <c r="L239" s="15" t="s">
        <v>3027</v>
      </c>
      <c r="M239" s="15" t="s">
        <v>3027</v>
      </c>
      <c r="N239" s="15" t="s">
        <v>3027</v>
      </c>
      <c r="O239" s="75"/>
      <c r="P239" s="15" t="s">
        <v>522</v>
      </c>
      <c r="Q239" s="75"/>
      <c r="R239" s="15" t="s">
        <v>522</v>
      </c>
    </row>
    <row r="240" spans="2:18">
      <c r="B240" s="15">
        <v>2</v>
      </c>
      <c r="C240" s="15" t="s">
        <v>517</v>
      </c>
      <c r="D240" s="15" t="s">
        <v>526</v>
      </c>
      <c r="E240" s="15">
        <v>13</v>
      </c>
      <c r="F240" s="15">
        <v>15</v>
      </c>
      <c r="G240" s="15">
        <v>72</v>
      </c>
      <c r="H240" s="15" t="s">
        <v>539</v>
      </c>
      <c r="I240" s="15" t="s">
        <v>3027</v>
      </c>
      <c r="J240" s="15" t="s">
        <v>3027</v>
      </c>
      <c r="K240" s="15" t="s">
        <v>3027</v>
      </c>
      <c r="L240" s="15" t="s">
        <v>3027</v>
      </c>
      <c r="M240" s="15" t="s">
        <v>3027</v>
      </c>
      <c r="N240" s="15" t="s">
        <v>3027</v>
      </c>
      <c r="O240" s="75"/>
      <c r="P240" s="15" t="s">
        <v>522</v>
      </c>
      <c r="Q240" s="75"/>
      <c r="R240" s="15" t="s">
        <v>522</v>
      </c>
    </row>
    <row r="241" spans="2:18">
      <c r="B241" s="15">
        <v>2</v>
      </c>
      <c r="C241" s="15" t="s">
        <v>517</v>
      </c>
      <c r="D241" s="15" t="s">
        <v>526</v>
      </c>
      <c r="E241" s="15">
        <v>14</v>
      </c>
      <c r="F241" s="15">
        <v>15</v>
      </c>
      <c r="G241" s="15">
        <v>71</v>
      </c>
      <c r="H241" s="15" t="s">
        <v>539</v>
      </c>
      <c r="I241" s="15" t="s">
        <v>3027</v>
      </c>
      <c r="J241" s="15" t="s">
        <v>3027</v>
      </c>
      <c r="K241" s="15" t="s">
        <v>3027</v>
      </c>
      <c r="L241" s="15" t="s">
        <v>3027</v>
      </c>
      <c r="M241" s="15" t="s">
        <v>3027</v>
      </c>
      <c r="N241" s="15" t="s">
        <v>3027</v>
      </c>
      <c r="O241" s="75"/>
      <c r="P241" s="15" t="s">
        <v>522</v>
      </c>
      <c r="Q241" s="75"/>
      <c r="R241" s="15" t="s">
        <v>522</v>
      </c>
    </row>
    <row r="242" spans="2:18">
      <c r="B242" s="15">
        <v>2</v>
      </c>
      <c r="C242" s="15" t="s">
        <v>517</v>
      </c>
      <c r="D242" s="15" t="s">
        <v>526</v>
      </c>
      <c r="E242" s="15">
        <v>15</v>
      </c>
      <c r="F242" s="15">
        <v>15</v>
      </c>
      <c r="G242" s="15">
        <v>70</v>
      </c>
      <c r="H242" s="15" t="s">
        <v>539</v>
      </c>
      <c r="I242" s="15" t="s">
        <v>3027</v>
      </c>
      <c r="J242" s="15" t="s">
        <v>3027</v>
      </c>
      <c r="K242" s="15" t="s">
        <v>3027</v>
      </c>
      <c r="L242" s="15" t="s">
        <v>3027</v>
      </c>
      <c r="M242" s="15" t="s">
        <v>3027</v>
      </c>
      <c r="N242" s="15" t="s">
        <v>3027</v>
      </c>
      <c r="O242" s="75"/>
      <c r="P242" s="15" t="s">
        <v>522</v>
      </c>
      <c r="Q242" s="75"/>
      <c r="R242" s="15" t="s">
        <v>522</v>
      </c>
    </row>
    <row r="243" spans="2:18">
      <c r="B243" s="15">
        <v>2</v>
      </c>
      <c r="C243" s="15" t="s">
        <v>517</v>
      </c>
      <c r="D243" s="15" t="s">
        <v>526</v>
      </c>
      <c r="E243" s="15">
        <v>16</v>
      </c>
      <c r="F243" s="15">
        <v>15</v>
      </c>
      <c r="G243" s="15">
        <v>69</v>
      </c>
      <c r="H243" s="15" t="s">
        <v>539</v>
      </c>
      <c r="I243" s="15" t="s">
        <v>3027</v>
      </c>
      <c r="J243" s="15" t="s">
        <v>3027</v>
      </c>
      <c r="K243" s="15" t="s">
        <v>3027</v>
      </c>
      <c r="L243" s="15" t="s">
        <v>3027</v>
      </c>
      <c r="M243" s="15" t="s">
        <v>3027</v>
      </c>
      <c r="N243" s="15" t="s">
        <v>3027</v>
      </c>
      <c r="O243" s="75"/>
      <c r="P243" s="15" t="s">
        <v>522</v>
      </c>
      <c r="Q243" s="75"/>
      <c r="R243" s="15" t="s">
        <v>522</v>
      </c>
    </row>
    <row r="244" spans="2:18">
      <c r="B244" s="15">
        <v>2</v>
      </c>
      <c r="C244" s="15" t="s">
        <v>517</v>
      </c>
      <c r="D244" s="15" t="s">
        <v>526</v>
      </c>
      <c r="E244" s="15">
        <v>17</v>
      </c>
      <c r="F244" s="15">
        <v>15</v>
      </c>
      <c r="G244" s="15">
        <v>68</v>
      </c>
      <c r="H244" s="15" t="s">
        <v>539</v>
      </c>
      <c r="I244" s="15" t="s">
        <v>3027</v>
      </c>
      <c r="J244" s="15" t="s">
        <v>3027</v>
      </c>
      <c r="K244" s="15" t="s">
        <v>3027</v>
      </c>
      <c r="L244" s="15" t="s">
        <v>3027</v>
      </c>
      <c r="M244" s="15" t="s">
        <v>3027</v>
      </c>
      <c r="N244" s="15" t="s">
        <v>3027</v>
      </c>
      <c r="O244" s="75"/>
      <c r="P244" s="15" t="s">
        <v>522</v>
      </c>
      <c r="Q244" s="75"/>
      <c r="R244" s="15" t="s">
        <v>522</v>
      </c>
    </row>
    <row r="245" spans="2:18">
      <c r="B245" s="15">
        <v>2</v>
      </c>
      <c r="C245" s="15" t="s">
        <v>517</v>
      </c>
      <c r="D245" s="15" t="s">
        <v>526</v>
      </c>
      <c r="E245" s="15">
        <v>18</v>
      </c>
      <c r="F245" s="15">
        <v>15</v>
      </c>
      <c r="G245" s="15">
        <v>67</v>
      </c>
      <c r="H245" s="15" t="s">
        <v>539</v>
      </c>
      <c r="I245" s="15" t="s">
        <v>3027</v>
      </c>
      <c r="J245" s="15" t="s">
        <v>3027</v>
      </c>
      <c r="K245" s="15" t="s">
        <v>3027</v>
      </c>
      <c r="L245" s="15" t="s">
        <v>3027</v>
      </c>
      <c r="M245" s="15" t="s">
        <v>3027</v>
      </c>
      <c r="N245" s="15" t="s">
        <v>3027</v>
      </c>
      <c r="O245" s="75"/>
      <c r="P245" s="15" t="s">
        <v>522</v>
      </c>
      <c r="Q245" s="75"/>
      <c r="R245" s="15" t="s">
        <v>522</v>
      </c>
    </row>
    <row r="246" spans="2:18">
      <c r="B246" s="15">
        <v>2</v>
      </c>
      <c r="C246" s="15" t="s">
        <v>517</v>
      </c>
      <c r="D246" s="15" t="s">
        <v>526</v>
      </c>
      <c r="E246" s="15">
        <v>19</v>
      </c>
      <c r="F246" s="15">
        <v>15</v>
      </c>
      <c r="G246" s="15">
        <v>66</v>
      </c>
      <c r="H246" s="15" t="s">
        <v>539</v>
      </c>
      <c r="I246" s="15" t="s">
        <v>3027</v>
      </c>
      <c r="J246" s="15" t="s">
        <v>3027</v>
      </c>
      <c r="K246" s="15" t="s">
        <v>3027</v>
      </c>
      <c r="L246" s="15" t="s">
        <v>3027</v>
      </c>
      <c r="M246" s="15" t="s">
        <v>3027</v>
      </c>
      <c r="N246" s="15" t="s">
        <v>3027</v>
      </c>
      <c r="O246" s="75"/>
      <c r="P246" s="15" t="s">
        <v>522</v>
      </c>
      <c r="Q246" s="75"/>
      <c r="R246" s="15" t="s">
        <v>522</v>
      </c>
    </row>
    <row r="247" spans="2:18">
      <c r="B247" s="15">
        <v>2</v>
      </c>
      <c r="C247" s="15" t="s">
        <v>517</v>
      </c>
      <c r="D247" s="15" t="s">
        <v>526</v>
      </c>
      <c r="E247" s="15">
        <v>20</v>
      </c>
      <c r="F247" s="15">
        <v>15</v>
      </c>
      <c r="G247" s="15">
        <v>65</v>
      </c>
      <c r="H247" s="15" t="s">
        <v>539</v>
      </c>
      <c r="I247" s="15" t="s">
        <v>3027</v>
      </c>
      <c r="J247" s="15" t="s">
        <v>3027</v>
      </c>
      <c r="K247" s="15" t="s">
        <v>3027</v>
      </c>
      <c r="L247" s="15" t="s">
        <v>3027</v>
      </c>
      <c r="M247" s="15" t="s">
        <v>3027</v>
      </c>
      <c r="N247" s="15" t="s">
        <v>3027</v>
      </c>
      <c r="O247" s="75"/>
      <c r="P247" s="15" t="s">
        <v>522</v>
      </c>
      <c r="Q247" s="75"/>
      <c r="R247" s="15" t="s">
        <v>522</v>
      </c>
    </row>
    <row r="248" spans="2:18">
      <c r="B248" s="15">
        <v>3</v>
      </c>
      <c r="C248" s="15" t="s">
        <v>176</v>
      </c>
      <c r="D248" s="15" t="s">
        <v>526</v>
      </c>
      <c r="E248" s="15">
        <v>10</v>
      </c>
      <c r="F248" s="15">
        <v>0</v>
      </c>
      <c r="G248" s="15">
        <v>65</v>
      </c>
      <c r="H248" s="15" t="s">
        <v>534</v>
      </c>
      <c r="I248" s="15" t="s">
        <v>3027</v>
      </c>
      <c r="J248" s="15" t="s">
        <v>3027</v>
      </c>
      <c r="K248" s="15" t="s">
        <v>3027</v>
      </c>
      <c r="L248" s="15" t="s">
        <v>3027</v>
      </c>
      <c r="M248" s="15" t="s">
        <v>3027</v>
      </c>
      <c r="N248" s="15" t="s">
        <v>3027</v>
      </c>
      <c r="O248" s="75"/>
      <c r="P248" s="15" t="s">
        <v>522</v>
      </c>
      <c r="Q248" s="75"/>
      <c r="R248" s="15" t="s">
        <v>522</v>
      </c>
    </row>
    <row r="249" spans="2:18">
      <c r="B249" s="15">
        <v>3</v>
      </c>
      <c r="C249" s="15" t="s">
        <v>176</v>
      </c>
      <c r="D249" s="15" t="s">
        <v>526</v>
      </c>
      <c r="E249" s="15">
        <v>15</v>
      </c>
      <c r="F249" s="15">
        <v>0</v>
      </c>
      <c r="G249" s="15">
        <v>60</v>
      </c>
      <c r="H249" s="15" t="s">
        <v>534</v>
      </c>
      <c r="I249" s="15" t="s">
        <v>3027</v>
      </c>
      <c r="J249" s="15" t="s">
        <v>3027</v>
      </c>
      <c r="K249" s="15" t="s">
        <v>3027</v>
      </c>
      <c r="L249" s="15" t="s">
        <v>3027</v>
      </c>
      <c r="M249" s="15" t="s">
        <v>3027</v>
      </c>
      <c r="N249" s="15" t="s">
        <v>3027</v>
      </c>
      <c r="O249" s="75"/>
      <c r="P249" s="15" t="s">
        <v>522</v>
      </c>
      <c r="Q249" s="75"/>
      <c r="R249" s="15" t="s">
        <v>522</v>
      </c>
    </row>
    <row r="250" spans="2:18">
      <c r="B250" s="15">
        <v>3</v>
      </c>
      <c r="C250" s="15" t="s">
        <v>176</v>
      </c>
      <c r="D250" s="15" t="s">
        <v>526</v>
      </c>
      <c r="E250" s="15">
        <v>20</v>
      </c>
      <c r="F250" s="15">
        <v>0</v>
      </c>
      <c r="G250" s="15">
        <v>55</v>
      </c>
      <c r="H250" s="15" t="s">
        <v>534</v>
      </c>
      <c r="I250" s="15" t="s">
        <v>3027</v>
      </c>
      <c r="J250" s="15" t="s">
        <v>3027</v>
      </c>
      <c r="K250" s="15" t="s">
        <v>3027</v>
      </c>
      <c r="L250" s="15" t="s">
        <v>3027</v>
      </c>
      <c r="M250" s="15" t="s">
        <v>3027</v>
      </c>
      <c r="N250" s="15" t="s">
        <v>3027</v>
      </c>
      <c r="O250" s="75"/>
      <c r="P250" s="15" t="s">
        <v>522</v>
      </c>
      <c r="Q250" s="75"/>
      <c r="R250" s="15" t="s">
        <v>522</v>
      </c>
    </row>
    <row r="251" spans="2:18">
      <c r="B251" s="15">
        <v>3</v>
      </c>
      <c r="C251" s="15" t="s">
        <v>177</v>
      </c>
      <c r="D251" s="15" t="s">
        <v>526</v>
      </c>
      <c r="E251" s="15">
        <v>10</v>
      </c>
      <c r="F251" s="15">
        <v>0</v>
      </c>
      <c r="G251" s="15">
        <v>65</v>
      </c>
      <c r="H251" s="15" t="s">
        <v>534</v>
      </c>
      <c r="I251" s="15">
        <v>0</v>
      </c>
      <c r="J251" s="15">
        <v>65</v>
      </c>
      <c r="K251" s="15" t="s">
        <v>534</v>
      </c>
      <c r="L251" s="15">
        <v>0</v>
      </c>
      <c r="M251" s="15">
        <v>65</v>
      </c>
      <c r="N251" s="15" t="s">
        <v>534</v>
      </c>
      <c r="O251" s="75"/>
      <c r="P251" s="15" t="s">
        <v>522</v>
      </c>
      <c r="Q251" s="75"/>
      <c r="R251" s="15" t="s">
        <v>522</v>
      </c>
    </row>
    <row r="252" spans="2:18">
      <c r="B252" s="15">
        <v>3</v>
      </c>
      <c r="C252" s="15" t="s">
        <v>177</v>
      </c>
      <c r="D252" s="15" t="s">
        <v>526</v>
      </c>
      <c r="E252" s="15">
        <v>15</v>
      </c>
      <c r="F252" s="15">
        <v>0</v>
      </c>
      <c r="G252" s="15">
        <v>65</v>
      </c>
      <c r="H252" s="15" t="s">
        <v>534</v>
      </c>
      <c r="I252" s="15">
        <v>0</v>
      </c>
      <c r="J252" s="15">
        <v>65</v>
      </c>
      <c r="K252" s="15" t="s">
        <v>534</v>
      </c>
      <c r="L252" s="15">
        <v>0</v>
      </c>
      <c r="M252" s="15">
        <v>65</v>
      </c>
      <c r="N252" s="15" t="s">
        <v>534</v>
      </c>
      <c r="O252" s="75"/>
      <c r="P252" s="15" t="s">
        <v>522</v>
      </c>
      <c r="Q252" s="75"/>
      <c r="R252" s="15" t="s">
        <v>522</v>
      </c>
    </row>
    <row r="253" spans="2:18">
      <c r="B253" s="15">
        <v>3</v>
      </c>
      <c r="C253" s="15" t="s">
        <v>177</v>
      </c>
      <c r="D253" s="15" t="s">
        <v>526</v>
      </c>
      <c r="E253" s="15">
        <v>20</v>
      </c>
      <c r="F253" s="15">
        <v>0</v>
      </c>
      <c r="G253" s="15">
        <v>60</v>
      </c>
      <c r="H253" s="15" t="s">
        <v>534</v>
      </c>
      <c r="I253" s="15">
        <v>0</v>
      </c>
      <c r="J253" s="15">
        <v>60</v>
      </c>
      <c r="K253" s="15" t="s">
        <v>534</v>
      </c>
      <c r="L253" s="15">
        <v>0</v>
      </c>
      <c r="M253" s="15">
        <v>60</v>
      </c>
      <c r="N253" s="15" t="s">
        <v>534</v>
      </c>
      <c r="O253" s="75"/>
      <c r="P253" s="15" t="s">
        <v>522</v>
      </c>
      <c r="Q253" s="75"/>
      <c r="R253" s="15" t="s">
        <v>522</v>
      </c>
    </row>
    <row r="254" spans="2:18">
      <c r="B254" s="15">
        <v>3</v>
      </c>
      <c r="C254" s="15" t="s">
        <v>510</v>
      </c>
      <c r="D254" s="15" t="s">
        <v>526</v>
      </c>
      <c r="E254" s="15">
        <v>10</v>
      </c>
      <c r="F254" s="15">
        <v>0</v>
      </c>
      <c r="G254" s="15">
        <v>55</v>
      </c>
      <c r="H254" s="15" t="s">
        <v>534</v>
      </c>
      <c r="I254" s="15" t="s">
        <v>3027</v>
      </c>
      <c r="J254" s="15" t="s">
        <v>3027</v>
      </c>
      <c r="K254" s="15" t="s">
        <v>3027</v>
      </c>
      <c r="L254" s="15" t="s">
        <v>3027</v>
      </c>
      <c r="M254" s="15" t="s">
        <v>3027</v>
      </c>
      <c r="N254" s="15" t="s">
        <v>3027</v>
      </c>
      <c r="O254" s="75"/>
      <c r="P254" s="15" t="s">
        <v>522</v>
      </c>
      <c r="Q254" s="75"/>
      <c r="R254" s="15" t="s">
        <v>522</v>
      </c>
    </row>
    <row r="255" spans="2:18">
      <c r="B255" s="15">
        <v>3</v>
      </c>
      <c r="C255" s="15" t="s">
        <v>510</v>
      </c>
      <c r="D255" s="15" t="s">
        <v>526</v>
      </c>
      <c r="E255" s="15">
        <v>20</v>
      </c>
      <c r="F255" s="15">
        <v>0</v>
      </c>
      <c r="G255" s="15">
        <v>50</v>
      </c>
      <c r="H255" s="15" t="s">
        <v>534</v>
      </c>
      <c r="I255" s="15" t="s">
        <v>3027</v>
      </c>
      <c r="J255" s="15" t="s">
        <v>3027</v>
      </c>
      <c r="K255" s="15" t="s">
        <v>3027</v>
      </c>
      <c r="L255" s="15" t="s">
        <v>3027</v>
      </c>
      <c r="M255" s="15" t="s">
        <v>3027</v>
      </c>
      <c r="N255" s="15" t="s">
        <v>3027</v>
      </c>
      <c r="O255" s="75"/>
      <c r="P255" s="15" t="s">
        <v>522</v>
      </c>
      <c r="Q255" s="75"/>
      <c r="R255" s="15" t="s">
        <v>522</v>
      </c>
    </row>
    <row r="256" spans="2:18">
      <c r="B256" s="15">
        <v>3</v>
      </c>
      <c r="C256" s="15" t="s">
        <v>507</v>
      </c>
      <c r="D256" s="15" t="s">
        <v>526</v>
      </c>
      <c r="E256" s="15">
        <v>1</v>
      </c>
      <c r="F256" s="15">
        <v>0</v>
      </c>
      <c r="G256" s="15">
        <v>70</v>
      </c>
      <c r="H256" s="15" t="s">
        <v>534</v>
      </c>
      <c r="I256" s="15">
        <v>14</v>
      </c>
      <c r="J256" s="15">
        <v>70</v>
      </c>
      <c r="K256" s="15" t="s">
        <v>539</v>
      </c>
      <c r="L256" s="15">
        <v>0</v>
      </c>
      <c r="M256" s="15">
        <v>23</v>
      </c>
      <c r="N256" s="15" t="s">
        <v>534</v>
      </c>
      <c r="O256" s="75"/>
      <c r="P256" s="15" t="s">
        <v>522</v>
      </c>
      <c r="Q256" s="75"/>
      <c r="R256" s="15" t="s">
        <v>522</v>
      </c>
    </row>
    <row r="257" spans="2:18">
      <c r="B257" s="15">
        <v>3</v>
      </c>
      <c r="C257" s="15" t="s">
        <v>508</v>
      </c>
      <c r="D257" s="15" t="s">
        <v>526</v>
      </c>
      <c r="E257" s="15">
        <v>1</v>
      </c>
      <c r="F257" s="15">
        <v>0</v>
      </c>
      <c r="G257" s="15">
        <v>65</v>
      </c>
      <c r="H257" s="15" t="s">
        <v>534</v>
      </c>
      <c r="I257" s="15">
        <v>0</v>
      </c>
      <c r="J257" s="15">
        <v>65</v>
      </c>
      <c r="K257" s="15" t="s">
        <v>534</v>
      </c>
      <c r="L257" s="15">
        <v>0</v>
      </c>
      <c r="M257" s="15">
        <v>20</v>
      </c>
      <c r="N257" s="15" t="s">
        <v>534</v>
      </c>
      <c r="O257" s="75"/>
      <c r="P257" s="15" t="s">
        <v>522</v>
      </c>
      <c r="Q257" s="75"/>
      <c r="R257" s="15" t="s">
        <v>522</v>
      </c>
    </row>
    <row r="258" spans="2:18">
      <c r="B258" s="15">
        <v>3</v>
      </c>
      <c r="C258" s="15" t="s">
        <v>511</v>
      </c>
      <c r="D258" s="15" t="s">
        <v>526</v>
      </c>
      <c r="E258" s="15">
        <v>10</v>
      </c>
      <c r="F258" s="15">
        <v>0</v>
      </c>
      <c r="G258" s="15">
        <v>70</v>
      </c>
      <c r="H258" s="15" t="s">
        <v>534</v>
      </c>
      <c r="I258" s="15" t="s">
        <v>3027</v>
      </c>
      <c r="J258" s="15" t="s">
        <v>3027</v>
      </c>
      <c r="K258" s="15" t="s">
        <v>3027</v>
      </c>
      <c r="L258" s="15" t="s">
        <v>3027</v>
      </c>
      <c r="M258" s="15" t="s">
        <v>3027</v>
      </c>
      <c r="N258" s="15" t="s">
        <v>3027</v>
      </c>
      <c r="O258" s="75"/>
      <c r="P258" s="15" t="s">
        <v>522</v>
      </c>
      <c r="Q258" s="75"/>
      <c r="R258" s="15" t="s">
        <v>522</v>
      </c>
    </row>
    <row r="259" spans="2:18">
      <c r="B259" s="15">
        <v>3</v>
      </c>
      <c r="C259" s="15" t="s">
        <v>511</v>
      </c>
      <c r="D259" s="15" t="s">
        <v>526</v>
      </c>
      <c r="E259" s="15">
        <v>20</v>
      </c>
      <c r="F259" s="15">
        <v>0</v>
      </c>
      <c r="G259" s="15">
        <v>60</v>
      </c>
      <c r="H259" s="15" t="s">
        <v>534</v>
      </c>
      <c r="I259" s="15" t="s">
        <v>3027</v>
      </c>
      <c r="J259" s="15" t="s">
        <v>3027</v>
      </c>
      <c r="K259" s="15" t="s">
        <v>3027</v>
      </c>
      <c r="L259" s="15" t="s">
        <v>3027</v>
      </c>
      <c r="M259" s="15" t="s">
        <v>3027</v>
      </c>
      <c r="N259" s="15" t="s">
        <v>3027</v>
      </c>
      <c r="O259" s="75"/>
      <c r="P259" s="15" t="s">
        <v>522</v>
      </c>
      <c r="Q259" s="75"/>
      <c r="R259" s="15" t="s">
        <v>522</v>
      </c>
    </row>
    <row r="260" spans="2:18">
      <c r="B260" s="15">
        <v>3</v>
      </c>
      <c r="C260" s="15" t="s">
        <v>511</v>
      </c>
      <c r="D260" s="15" t="s">
        <v>526</v>
      </c>
      <c r="E260" s="15">
        <v>30</v>
      </c>
      <c r="F260" s="15">
        <v>0</v>
      </c>
      <c r="G260" s="15">
        <v>50</v>
      </c>
      <c r="H260" s="15" t="s">
        <v>534</v>
      </c>
      <c r="I260" s="15" t="s">
        <v>3027</v>
      </c>
      <c r="J260" s="15" t="s">
        <v>3027</v>
      </c>
      <c r="K260" s="15" t="s">
        <v>3027</v>
      </c>
      <c r="L260" s="15" t="s">
        <v>3027</v>
      </c>
      <c r="M260" s="15" t="s">
        <v>3027</v>
      </c>
      <c r="N260" s="15" t="s">
        <v>3027</v>
      </c>
      <c r="O260" s="75"/>
      <c r="P260" s="15" t="s">
        <v>522</v>
      </c>
      <c r="Q260" s="75"/>
      <c r="R260" s="15" t="s">
        <v>522</v>
      </c>
    </row>
    <row r="261" spans="2:18">
      <c r="B261" s="15">
        <v>3</v>
      </c>
      <c r="C261" s="15" t="s">
        <v>509</v>
      </c>
      <c r="D261" s="15" t="s">
        <v>526</v>
      </c>
      <c r="E261" s="15">
        <v>1</v>
      </c>
      <c r="F261" s="15">
        <v>0</v>
      </c>
      <c r="G261" s="15">
        <v>65</v>
      </c>
      <c r="H261" s="15" t="s">
        <v>534</v>
      </c>
      <c r="I261" s="15">
        <v>0</v>
      </c>
      <c r="J261" s="15">
        <v>65</v>
      </c>
      <c r="K261" s="15" t="s">
        <v>534</v>
      </c>
      <c r="L261" s="15">
        <v>0</v>
      </c>
      <c r="M261" s="15">
        <v>20</v>
      </c>
      <c r="N261" s="15" t="s">
        <v>534</v>
      </c>
      <c r="O261" s="75"/>
      <c r="P261" s="15" t="s">
        <v>522</v>
      </c>
      <c r="Q261" s="75"/>
      <c r="R261" s="15" t="s">
        <v>522</v>
      </c>
    </row>
    <row r="262" spans="2:18">
      <c r="B262" s="15">
        <v>3</v>
      </c>
      <c r="C262" s="15" t="s">
        <v>518</v>
      </c>
      <c r="D262" s="15" t="s">
        <v>526</v>
      </c>
      <c r="E262" s="15">
        <v>10</v>
      </c>
      <c r="F262" s="15">
        <v>0</v>
      </c>
      <c r="G262" s="15">
        <v>70</v>
      </c>
      <c r="H262" s="15" t="s">
        <v>534</v>
      </c>
      <c r="I262" s="15" t="s">
        <v>3027</v>
      </c>
      <c r="J262" s="15" t="s">
        <v>3027</v>
      </c>
      <c r="K262" s="15" t="s">
        <v>3027</v>
      </c>
      <c r="L262" s="15" t="s">
        <v>3027</v>
      </c>
      <c r="M262" s="15" t="s">
        <v>3027</v>
      </c>
      <c r="N262" s="15" t="s">
        <v>3027</v>
      </c>
      <c r="O262" s="75"/>
      <c r="P262" s="15" t="s">
        <v>522</v>
      </c>
      <c r="Q262" s="75"/>
      <c r="R262" s="15" t="s">
        <v>522</v>
      </c>
    </row>
    <row r="263" spans="2:18">
      <c r="B263" s="15">
        <v>3</v>
      </c>
      <c r="C263" s="15" t="s">
        <v>518</v>
      </c>
      <c r="D263" s="15" t="s">
        <v>526</v>
      </c>
      <c r="E263" s="15">
        <v>15</v>
      </c>
      <c r="F263" s="15">
        <v>0</v>
      </c>
      <c r="G263" s="15">
        <v>65</v>
      </c>
      <c r="H263" s="15" t="s">
        <v>534</v>
      </c>
      <c r="I263" s="15" t="s">
        <v>3027</v>
      </c>
      <c r="J263" s="15" t="s">
        <v>3027</v>
      </c>
      <c r="K263" s="15" t="s">
        <v>3027</v>
      </c>
      <c r="L263" s="15" t="s">
        <v>3027</v>
      </c>
      <c r="M263" s="15" t="s">
        <v>3027</v>
      </c>
      <c r="N263" s="15" t="s">
        <v>3027</v>
      </c>
      <c r="O263" s="75"/>
      <c r="P263" s="15" t="s">
        <v>522</v>
      </c>
      <c r="Q263" s="75"/>
      <c r="R263" s="15" t="s">
        <v>522</v>
      </c>
    </row>
    <row r="264" spans="2:18">
      <c r="B264" s="15">
        <v>3</v>
      </c>
      <c r="C264" s="15" t="s">
        <v>518</v>
      </c>
      <c r="D264" s="15" t="s">
        <v>526</v>
      </c>
      <c r="E264" s="15">
        <v>20</v>
      </c>
      <c r="F264" s="15">
        <v>0</v>
      </c>
      <c r="G264" s="15">
        <v>60</v>
      </c>
      <c r="H264" s="15" t="s">
        <v>534</v>
      </c>
      <c r="I264" s="15" t="s">
        <v>3027</v>
      </c>
      <c r="J264" s="15" t="s">
        <v>3027</v>
      </c>
      <c r="K264" s="15" t="s">
        <v>3027</v>
      </c>
      <c r="L264" s="15" t="s">
        <v>3027</v>
      </c>
      <c r="M264" s="15" t="s">
        <v>3027</v>
      </c>
      <c r="N264" s="15" t="s">
        <v>3027</v>
      </c>
      <c r="O264" s="75"/>
      <c r="P264" s="15" t="s">
        <v>522</v>
      </c>
      <c r="Q264" s="75"/>
      <c r="R264" s="15" t="s">
        <v>522</v>
      </c>
    </row>
    <row r="265" spans="2:18">
      <c r="B265" s="15">
        <v>3</v>
      </c>
      <c r="C265" s="15" t="s">
        <v>519</v>
      </c>
      <c r="D265" s="15" t="s">
        <v>526</v>
      </c>
      <c r="E265" s="15">
        <v>6</v>
      </c>
      <c r="F265" s="15">
        <v>0</v>
      </c>
      <c r="G265" s="15">
        <v>74</v>
      </c>
      <c r="H265" s="15" t="s">
        <v>534</v>
      </c>
      <c r="I265" s="15" t="s">
        <v>3027</v>
      </c>
      <c r="J265" s="15" t="s">
        <v>3027</v>
      </c>
      <c r="K265" s="15" t="s">
        <v>3027</v>
      </c>
      <c r="L265" s="15" t="s">
        <v>3027</v>
      </c>
      <c r="M265" s="15" t="s">
        <v>3027</v>
      </c>
      <c r="N265" s="15" t="s">
        <v>3027</v>
      </c>
      <c r="O265" s="75"/>
      <c r="P265" s="15" t="s">
        <v>522</v>
      </c>
      <c r="Q265" s="75"/>
      <c r="R265" s="15" t="s">
        <v>522</v>
      </c>
    </row>
    <row r="266" spans="2:18">
      <c r="B266" s="15">
        <v>3</v>
      </c>
      <c r="C266" s="15" t="s">
        <v>519</v>
      </c>
      <c r="D266" s="15" t="s">
        <v>526</v>
      </c>
      <c r="E266" s="15">
        <v>8</v>
      </c>
      <c r="F266" s="15">
        <v>0</v>
      </c>
      <c r="G266" s="15">
        <v>72</v>
      </c>
      <c r="H266" s="15" t="s">
        <v>534</v>
      </c>
      <c r="I266" s="15" t="s">
        <v>3027</v>
      </c>
      <c r="J266" s="15" t="s">
        <v>3027</v>
      </c>
      <c r="K266" s="15" t="s">
        <v>3027</v>
      </c>
      <c r="L266" s="15" t="s">
        <v>3027</v>
      </c>
      <c r="M266" s="15" t="s">
        <v>3027</v>
      </c>
      <c r="N266" s="15" t="s">
        <v>3027</v>
      </c>
      <c r="O266" s="75"/>
      <c r="P266" s="15" t="s">
        <v>522</v>
      </c>
      <c r="Q266" s="75"/>
      <c r="R266" s="15" t="s">
        <v>522</v>
      </c>
    </row>
    <row r="267" spans="2:18">
      <c r="B267" s="15">
        <v>3</v>
      </c>
      <c r="C267" s="15" t="s">
        <v>519</v>
      </c>
      <c r="D267" s="15" t="s">
        <v>526</v>
      </c>
      <c r="E267" s="15">
        <v>10</v>
      </c>
      <c r="F267" s="15">
        <v>0</v>
      </c>
      <c r="G267" s="15">
        <v>70</v>
      </c>
      <c r="H267" s="15" t="s">
        <v>534</v>
      </c>
      <c r="I267" s="15" t="s">
        <v>3027</v>
      </c>
      <c r="J267" s="15" t="s">
        <v>3027</v>
      </c>
      <c r="K267" s="15" t="s">
        <v>3027</v>
      </c>
      <c r="L267" s="15" t="s">
        <v>3027</v>
      </c>
      <c r="M267" s="15" t="s">
        <v>3027</v>
      </c>
      <c r="N267" s="15" t="s">
        <v>3027</v>
      </c>
      <c r="O267" s="75"/>
      <c r="P267" s="15" t="s">
        <v>522</v>
      </c>
      <c r="Q267" s="75"/>
      <c r="R267" s="15" t="s">
        <v>522</v>
      </c>
    </row>
    <row r="268" spans="2:18">
      <c r="B268" s="15">
        <v>3</v>
      </c>
      <c r="C268" s="15" t="s">
        <v>519</v>
      </c>
      <c r="D268" s="15" t="s">
        <v>526</v>
      </c>
      <c r="E268" s="15">
        <v>12</v>
      </c>
      <c r="F268" s="15">
        <v>0</v>
      </c>
      <c r="G268" s="15">
        <v>68</v>
      </c>
      <c r="H268" s="15" t="s">
        <v>534</v>
      </c>
      <c r="I268" s="15" t="s">
        <v>3027</v>
      </c>
      <c r="J268" s="15" t="s">
        <v>3027</v>
      </c>
      <c r="K268" s="15" t="s">
        <v>3027</v>
      </c>
      <c r="L268" s="15" t="s">
        <v>3027</v>
      </c>
      <c r="M268" s="15" t="s">
        <v>3027</v>
      </c>
      <c r="N268" s="15" t="s">
        <v>3027</v>
      </c>
      <c r="O268" s="75"/>
      <c r="P268" s="15" t="s">
        <v>522</v>
      </c>
      <c r="Q268" s="75"/>
      <c r="R268" s="15" t="s">
        <v>522</v>
      </c>
    </row>
    <row r="269" spans="2:18">
      <c r="B269" s="15">
        <v>3</v>
      </c>
      <c r="C269" s="15" t="s">
        <v>519</v>
      </c>
      <c r="D269" s="15" t="s">
        <v>526</v>
      </c>
      <c r="E269" s="15">
        <v>20</v>
      </c>
      <c r="F269" s="15">
        <v>0</v>
      </c>
      <c r="G269" s="15">
        <v>60</v>
      </c>
      <c r="H269" s="15" t="s">
        <v>534</v>
      </c>
      <c r="I269" s="15" t="s">
        <v>3027</v>
      </c>
      <c r="J269" s="15" t="s">
        <v>3027</v>
      </c>
      <c r="K269" s="15" t="s">
        <v>3027</v>
      </c>
      <c r="L269" s="15" t="s">
        <v>3027</v>
      </c>
      <c r="M269" s="15" t="s">
        <v>3027</v>
      </c>
      <c r="N269" s="15" t="s">
        <v>3027</v>
      </c>
      <c r="O269" s="75"/>
      <c r="P269" s="15" t="s">
        <v>522</v>
      </c>
      <c r="Q269" s="75"/>
      <c r="R269" s="15" t="s">
        <v>522</v>
      </c>
    </row>
    <row r="270" spans="2:18">
      <c r="B270" s="15">
        <v>3</v>
      </c>
      <c r="C270" s="15" t="s">
        <v>172</v>
      </c>
      <c r="D270" s="15" t="s">
        <v>526</v>
      </c>
      <c r="E270" s="15">
        <v>1</v>
      </c>
      <c r="F270" s="15">
        <v>15</v>
      </c>
      <c r="G270" s="15">
        <v>60</v>
      </c>
      <c r="H270" s="15" t="s">
        <v>534</v>
      </c>
      <c r="I270" s="15">
        <v>15</v>
      </c>
      <c r="J270" s="15">
        <v>60</v>
      </c>
      <c r="K270" s="15" t="s">
        <v>534</v>
      </c>
      <c r="L270" s="15" t="s">
        <v>3027</v>
      </c>
      <c r="M270" s="15" t="s">
        <v>3027</v>
      </c>
      <c r="N270" s="15" t="s">
        <v>3027</v>
      </c>
      <c r="O270" s="75"/>
      <c r="P270" s="15" t="s">
        <v>522</v>
      </c>
      <c r="Q270" s="75"/>
      <c r="R270" s="15" t="s">
        <v>522</v>
      </c>
    </row>
    <row r="271" spans="2:18">
      <c r="B271" s="15">
        <v>3</v>
      </c>
      <c r="C271" s="15" t="s">
        <v>173</v>
      </c>
      <c r="D271" s="15" t="s">
        <v>526</v>
      </c>
      <c r="E271" s="15">
        <v>1</v>
      </c>
      <c r="F271" s="15">
        <v>0</v>
      </c>
      <c r="G271" s="15">
        <v>60</v>
      </c>
      <c r="H271" s="15" t="s">
        <v>534</v>
      </c>
      <c r="I271" s="15">
        <v>0</v>
      </c>
      <c r="J271" s="15">
        <v>60</v>
      </c>
      <c r="K271" s="15" t="s">
        <v>534</v>
      </c>
      <c r="L271" s="15">
        <v>0</v>
      </c>
      <c r="M271" s="15">
        <v>60</v>
      </c>
      <c r="N271" s="15" t="s">
        <v>534</v>
      </c>
      <c r="O271" s="75"/>
      <c r="P271" s="15" t="s">
        <v>522</v>
      </c>
      <c r="Q271" s="75"/>
      <c r="R271" s="15" t="s">
        <v>522</v>
      </c>
    </row>
    <row r="272" spans="2:18">
      <c r="B272" s="15">
        <v>3</v>
      </c>
      <c r="C272" s="15" t="s">
        <v>505</v>
      </c>
      <c r="D272" s="15" t="s">
        <v>526</v>
      </c>
      <c r="E272" s="15">
        <v>1</v>
      </c>
      <c r="F272" s="15">
        <v>0</v>
      </c>
      <c r="G272" s="15">
        <v>65</v>
      </c>
      <c r="H272" s="15" t="s">
        <v>534</v>
      </c>
      <c r="I272" s="15">
        <v>0</v>
      </c>
      <c r="J272" s="15">
        <v>65</v>
      </c>
      <c r="K272" s="15" t="s">
        <v>534</v>
      </c>
      <c r="L272" s="15">
        <v>0</v>
      </c>
      <c r="M272" s="15">
        <v>20</v>
      </c>
      <c r="N272" s="15" t="s">
        <v>534</v>
      </c>
      <c r="O272" s="75"/>
      <c r="P272" s="15" t="s">
        <v>522</v>
      </c>
      <c r="Q272" s="75"/>
      <c r="R272" s="15" t="s">
        <v>522</v>
      </c>
    </row>
    <row r="273" spans="2:18">
      <c r="B273" s="15">
        <v>3</v>
      </c>
      <c r="C273" s="15" t="s">
        <v>503</v>
      </c>
      <c r="D273" s="15" t="s">
        <v>526</v>
      </c>
      <c r="E273" s="15">
        <v>6</v>
      </c>
      <c r="F273" s="15">
        <v>0</v>
      </c>
      <c r="G273" s="15">
        <v>70</v>
      </c>
      <c r="H273" s="15" t="s">
        <v>534</v>
      </c>
      <c r="I273" s="15" t="s">
        <v>3027</v>
      </c>
      <c r="J273" s="15" t="s">
        <v>3027</v>
      </c>
      <c r="K273" s="15" t="s">
        <v>3027</v>
      </c>
      <c r="L273" s="15" t="s">
        <v>3027</v>
      </c>
      <c r="M273" s="15" t="s">
        <v>3027</v>
      </c>
      <c r="N273" s="15" t="s">
        <v>3027</v>
      </c>
      <c r="O273" s="75"/>
      <c r="P273" s="15" t="s">
        <v>522</v>
      </c>
      <c r="Q273" s="75"/>
      <c r="R273" s="15" t="s">
        <v>522</v>
      </c>
    </row>
    <row r="274" spans="2:18">
      <c r="B274" s="15">
        <v>3</v>
      </c>
      <c r="C274" s="15" t="s">
        <v>503</v>
      </c>
      <c r="D274" s="15" t="s">
        <v>526</v>
      </c>
      <c r="E274" s="15">
        <v>10</v>
      </c>
      <c r="F274" s="15">
        <v>0</v>
      </c>
      <c r="G274" s="15">
        <v>65</v>
      </c>
      <c r="H274" s="15" t="s">
        <v>534</v>
      </c>
      <c r="I274" s="15" t="s">
        <v>3027</v>
      </c>
      <c r="J274" s="15" t="s">
        <v>3027</v>
      </c>
      <c r="K274" s="15" t="s">
        <v>3027</v>
      </c>
      <c r="L274" s="15" t="s">
        <v>3027</v>
      </c>
      <c r="M274" s="15" t="s">
        <v>3027</v>
      </c>
      <c r="N274" s="15" t="s">
        <v>3027</v>
      </c>
      <c r="O274" s="75"/>
      <c r="P274" s="15" t="s">
        <v>522</v>
      </c>
      <c r="Q274" s="75"/>
      <c r="R274" s="15" t="s">
        <v>522</v>
      </c>
    </row>
    <row r="275" spans="2:18">
      <c r="B275" s="15">
        <v>3</v>
      </c>
      <c r="C275" s="15" t="s">
        <v>503</v>
      </c>
      <c r="D275" s="15" t="s">
        <v>526</v>
      </c>
      <c r="E275" s="15">
        <v>20</v>
      </c>
      <c r="F275" s="15">
        <v>0</v>
      </c>
      <c r="G275" s="15">
        <v>55</v>
      </c>
      <c r="H275" s="15" t="s">
        <v>534</v>
      </c>
      <c r="I275" s="15" t="s">
        <v>3027</v>
      </c>
      <c r="J275" s="15" t="s">
        <v>3027</v>
      </c>
      <c r="K275" s="15" t="s">
        <v>3027</v>
      </c>
      <c r="L275" s="15" t="s">
        <v>3027</v>
      </c>
      <c r="M275" s="15" t="s">
        <v>3027</v>
      </c>
      <c r="N275" s="15" t="s">
        <v>3027</v>
      </c>
      <c r="O275" s="75"/>
      <c r="P275" s="15" t="s">
        <v>522</v>
      </c>
      <c r="Q275" s="75"/>
      <c r="R275" s="15" t="s">
        <v>522</v>
      </c>
    </row>
    <row r="276" spans="2:18">
      <c r="B276" s="15">
        <v>3</v>
      </c>
      <c r="C276" s="15" t="s">
        <v>512</v>
      </c>
      <c r="D276" s="15" t="s">
        <v>526</v>
      </c>
      <c r="E276" s="15">
        <v>1</v>
      </c>
      <c r="F276" s="15">
        <v>0</v>
      </c>
      <c r="G276" s="15">
        <v>65</v>
      </c>
      <c r="H276" s="15" t="s">
        <v>534</v>
      </c>
      <c r="I276" s="15">
        <v>14</v>
      </c>
      <c r="J276" s="15">
        <v>65</v>
      </c>
      <c r="K276" s="15" t="s">
        <v>539</v>
      </c>
      <c r="L276" s="15">
        <v>0</v>
      </c>
      <c r="M276" s="15">
        <v>20</v>
      </c>
      <c r="N276" s="15" t="s">
        <v>534</v>
      </c>
      <c r="O276" s="75"/>
      <c r="P276" s="15" t="s">
        <v>522</v>
      </c>
      <c r="Q276" s="75"/>
      <c r="R276" s="15" t="s">
        <v>522</v>
      </c>
    </row>
    <row r="277" spans="2:18">
      <c r="B277" s="15">
        <v>3</v>
      </c>
      <c r="C277" s="15" t="s">
        <v>174</v>
      </c>
      <c r="D277" s="15" t="s">
        <v>526</v>
      </c>
      <c r="E277" s="15">
        <v>1</v>
      </c>
      <c r="F277" s="15">
        <v>0</v>
      </c>
      <c r="G277" s="15">
        <v>65</v>
      </c>
      <c r="H277" s="15" t="s">
        <v>534</v>
      </c>
      <c r="I277" s="15">
        <v>0</v>
      </c>
      <c r="J277" s="15">
        <v>65</v>
      </c>
      <c r="K277" s="15" t="s">
        <v>534</v>
      </c>
      <c r="L277" s="15">
        <v>0</v>
      </c>
      <c r="M277" s="15">
        <v>20</v>
      </c>
      <c r="N277" s="15" t="s">
        <v>534</v>
      </c>
      <c r="O277" s="75"/>
      <c r="P277" s="15" t="s">
        <v>522</v>
      </c>
      <c r="Q277" s="75"/>
      <c r="R277" s="15" t="s">
        <v>522</v>
      </c>
    </row>
    <row r="278" spans="2:18">
      <c r="B278" s="15">
        <v>3</v>
      </c>
      <c r="C278" s="15" t="s">
        <v>502</v>
      </c>
      <c r="D278" s="15" t="s">
        <v>526</v>
      </c>
      <c r="E278" s="15">
        <v>1</v>
      </c>
      <c r="F278" s="15">
        <v>0</v>
      </c>
      <c r="G278" s="15">
        <v>65</v>
      </c>
      <c r="H278" s="15" t="s">
        <v>534</v>
      </c>
      <c r="I278" s="15">
        <v>14</v>
      </c>
      <c r="J278" s="15">
        <v>65</v>
      </c>
      <c r="K278" s="15" t="s">
        <v>539</v>
      </c>
      <c r="L278" s="15">
        <v>0</v>
      </c>
      <c r="M278" s="15">
        <v>20</v>
      </c>
      <c r="N278" s="15" t="s">
        <v>534</v>
      </c>
      <c r="O278" s="75"/>
      <c r="P278" s="15" t="s">
        <v>522</v>
      </c>
      <c r="Q278" s="75"/>
      <c r="R278" s="15" t="s">
        <v>522</v>
      </c>
    </row>
    <row r="279" spans="2:18">
      <c r="B279" s="15">
        <v>3</v>
      </c>
      <c r="C279" s="15" t="s">
        <v>513</v>
      </c>
      <c r="D279" s="15" t="s">
        <v>526</v>
      </c>
      <c r="E279" s="15">
        <v>1</v>
      </c>
      <c r="F279" s="15">
        <v>0</v>
      </c>
      <c r="G279" s="15">
        <v>70</v>
      </c>
      <c r="H279" s="15" t="s">
        <v>534</v>
      </c>
      <c r="I279" s="15">
        <v>14</v>
      </c>
      <c r="J279" s="15">
        <v>70</v>
      </c>
      <c r="K279" s="15" t="s">
        <v>539</v>
      </c>
      <c r="L279" s="15">
        <v>0</v>
      </c>
      <c r="M279" s="15">
        <v>25</v>
      </c>
      <c r="N279" s="15" t="s">
        <v>534</v>
      </c>
      <c r="O279" s="75"/>
      <c r="P279" s="15" t="s">
        <v>522</v>
      </c>
      <c r="Q279" s="75"/>
      <c r="R279" s="15" t="s">
        <v>522</v>
      </c>
    </row>
    <row r="280" spans="2:18">
      <c r="B280" s="15">
        <v>3</v>
      </c>
      <c r="C280" s="15" t="s">
        <v>527</v>
      </c>
      <c r="D280" s="15" t="s">
        <v>526</v>
      </c>
      <c r="E280" s="15">
        <v>10</v>
      </c>
      <c r="F280" s="15">
        <v>0</v>
      </c>
      <c r="G280" s="15">
        <v>65</v>
      </c>
      <c r="H280" s="15" t="s">
        <v>534</v>
      </c>
      <c r="I280" s="15" t="s">
        <v>3027</v>
      </c>
      <c r="J280" s="15" t="s">
        <v>3027</v>
      </c>
      <c r="K280" s="15" t="s">
        <v>3027</v>
      </c>
      <c r="L280" s="15" t="s">
        <v>3027</v>
      </c>
      <c r="M280" s="15" t="s">
        <v>3027</v>
      </c>
      <c r="N280" s="15" t="s">
        <v>3027</v>
      </c>
      <c r="O280" s="75"/>
      <c r="P280" s="15" t="s">
        <v>522</v>
      </c>
      <c r="Q280" s="75"/>
      <c r="R280" s="15" t="s">
        <v>522</v>
      </c>
    </row>
    <row r="281" spans="2:18">
      <c r="B281" s="15">
        <v>3</v>
      </c>
      <c r="C281" s="15" t="s">
        <v>527</v>
      </c>
      <c r="D281" s="15" t="s">
        <v>526</v>
      </c>
      <c r="E281" s="15">
        <v>20</v>
      </c>
      <c r="F281" s="15">
        <v>0</v>
      </c>
      <c r="G281" s="15">
        <v>55</v>
      </c>
      <c r="H281" s="15" t="s">
        <v>534</v>
      </c>
      <c r="I281" s="15" t="s">
        <v>3027</v>
      </c>
      <c r="J281" s="15" t="s">
        <v>3027</v>
      </c>
      <c r="K281" s="15" t="s">
        <v>3027</v>
      </c>
      <c r="L281" s="15" t="s">
        <v>3027</v>
      </c>
      <c r="M281" s="15" t="s">
        <v>3027</v>
      </c>
      <c r="N281" s="15" t="s">
        <v>3027</v>
      </c>
      <c r="O281" s="75"/>
      <c r="P281" s="15" t="s">
        <v>522</v>
      </c>
      <c r="Q281" s="75"/>
      <c r="R281" s="15" t="s">
        <v>522</v>
      </c>
    </row>
    <row r="282" spans="2:18">
      <c r="B282" s="15">
        <v>3</v>
      </c>
      <c r="C282" s="15" t="s">
        <v>527</v>
      </c>
      <c r="D282" s="15" t="s">
        <v>526</v>
      </c>
      <c r="E282" s="15">
        <v>30</v>
      </c>
      <c r="F282" s="15">
        <v>0</v>
      </c>
      <c r="G282" s="15">
        <v>45</v>
      </c>
      <c r="H282" s="15" t="s">
        <v>534</v>
      </c>
      <c r="I282" s="15" t="s">
        <v>3027</v>
      </c>
      <c r="J282" s="15" t="s">
        <v>3027</v>
      </c>
      <c r="K282" s="15" t="s">
        <v>3027</v>
      </c>
      <c r="L282" s="15" t="s">
        <v>3027</v>
      </c>
      <c r="M282" s="15" t="s">
        <v>3027</v>
      </c>
      <c r="N282" s="15" t="s">
        <v>3027</v>
      </c>
      <c r="O282" s="75"/>
      <c r="P282" s="15" t="s">
        <v>522</v>
      </c>
      <c r="Q282" s="75"/>
      <c r="R282" s="15" t="s">
        <v>522</v>
      </c>
    </row>
    <row r="283" spans="2:18">
      <c r="B283" s="15">
        <v>3</v>
      </c>
      <c r="C283" s="15" t="s">
        <v>506</v>
      </c>
      <c r="D283" s="15" t="s">
        <v>526</v>
      </c>
      <c r="E283" s="15">
        <v>1</v>
      </c>
      <c r="F283" s="15">
        <v>0</v>
      </c>
      <c r="G283" s="15">
        <v>65</v>
      </c>
      <c r="H283" s="15" t="s">
        <v>534</v>
      </c>
      <c r="I283" s="15">
        <v>0</v>
      </c>
      <c r="J283" s="15">
        <v>65</v>
      </c>
      <c r="K283" s="15" t="s">
        <v>534</v>
      </c>
      <c r="L283" s="15">
        <v>0</v>
      </c>
      <c r="M283" s="15">
        <v>20</v>
      </c>
      <c r="N283" s="15" t="s">
        <v>534</v>
      </c>
      <c r="O283" s="75"/>
      <c r="P283" s="15" t="s">
        <v>522</v>
      </c>
      <c r="Q283" s="75"/>
      <c r="R283" s="15" t="s">
        <v>522</v>
      </c>
    </row>
    <row r="284" spans="2:18">
      <c r="B284" s="15">
        <v>3</v>
      </c>
      <c r="C284" s="15" t="s">
        <v>504</v>
      </c>
      <c r="D284" s="15" t="s">
        <v>526</v>
      </c>
      <c r="E284" s="15">
        <v>10</v>
      </c>
      <c r="F284" s="15">
        <v>30</v>
      </c>
      <c r="G284" s="15">
        <v>70</v>
      </c>
      <c r="H284" s="15" t="s">
        <v>534</v>
      </c>
      <c r="I284" s="15" t="s">
        <v>3027</v>
      </c>
      <c r="J284" s="15" t="s">
        <v>3027</v>
      </c>
      <c r="K284" s="15" t="s">
        <v>3027</v>
      </c>
      <c r="L284" s="15" t="s">
        <v>3027</v>
      </c>
      <c r="M284" s="15" t="s">
        <v>3027</v>
      </c>
      <c r="N284" s="15" t="s">
        <v>3027</v>
      </c>
      <c r="O284" s="75"/>
      <c r="P284" s="15" t="s">
        <v>522</v>
      </c>
      <c r="Q284" s="75"/>
      <c r="R284" s="15" t="s">
        <v>522</v>
      </c>
    </row>
    <row r="285" spans="2:18">
      <c r="B285" s="15">
        <v>3</v>
      </c>
      <c r="C285" s="15" t="s">
        <v>504</v>
      </c>
      <c r="D285" s="15" t="s">
        <v>526</v>
      </c>
      <c r="E285" s="15">
        <v>20</v>
      </c>
      <c r="F285" s="15">
        <v>20</v>
      </c>
      <c r="G285" s="15">
        <v>60</v>
      </c>
      <c r="H285" s="15" t="s">
        <v>534</v>
      </c>
      <c r="I285" s="15" t="s">
        <v>3027</v>
      </c>
      <c r="J285" s="15" t="s">
        <v>3027</v>
      </c>
      <c r="K285" s="15" t="s">
        <v>3027</v>
      </c>
      <c r="L285" s="15" t="s">
        <v>3027</v>
      </c>
      <c r="M285" s="15" t="s">
        <v>3027</v>
      </c>
      <c r="N285" s="15" t="s">
        <v>3027</v>
      </c>
      <c r="O285" s="75"/>
      <c r="P285" s="15" t="s">
        <v>522</v>
      </c>
      <c r="Q285" s="75"/>
      <c r="R285" s="15" t="s">
        <v>522</v>
      </c>
    </row>
    <row r="286" spans="2:18">
      <c r="B286" s="15">
        <v>3</v>
      </c>
      <c r="C286" s="15" t="s">
        <v>504</v>
      </c>
      <c r="D286" s="15" t="s">
        <v>526</v>
      </c>
      <c r="E286" s="15">
        <v>30</v>
      </c>
      <c r="F286" s="15">
        <v>15</v>
      </c>
      <c r="G286" s="15">
        <v>50</v>
      </c>
      <c r="H286" s="15" t="s">
        <v>539</v>
      </c>
      <c r="I286" s="15" t="s">
        <v>3027</v>
      </c>
      <c r="J286" s="15" t="s">
        <v>3027</v>
      </c>
      <c r="K286" s="15" t="s">
        <v>3027</v>
      </c>
      <c r="L286" s="15" t="s">
        <v>3027</v>
      </c>
      <c r="M286" s="15" t="s">
        <v>3027</v>
      </c>
      <c r="N286" s="15" t="s">
        <v>3027</v>
      </c>
      <c r="O286" s="75"/>
      <c r="P286" s="15" t="s">
        <v>522</v>
      </c>
      <c r="Q286" s="75"/>
      <c r="R286" s="15" t="s">
        <v>522</v>
      </c>
    </row>
    <row r="287" spans="2:18">
      <c r="B287" s="15">
        <v>3</v>
      </c>
      <c r="C287" s="15" t="s">
        <v>514</v>
      </c>
      <c r="D287" s="15" t="s">
        <v>526</v>
      </c>
      <c r="E287" s="15">
        <v>5</v>
      </c>
      <c r="F287" s="15">
        <v>15</v>
      </c>
      <c r="G287" s="15">
        <v>80</v>
      </c>
      <c r="H287" s="15" t="s">
        <v>539</v>
      </c>
      <c r="I287" s="15" t="s">
        <v>3027</v>
      </c>
      <c r="J287" s="15" t="s">
        <v>3027</v>
      </c>
      <c r="K287" s="15" t="s">
        <v>3027</v>
      </c>
      <c r="L287" s="15" t="s">
        <v>3027</v>
      </c>
      <c r="M287" s="15" t="s">
        <v>3027</v>
      </c>
      <c r="N287" s="15" t="s">
        <v>3027</v>
      </c>
      <c r="O287" s="75"/>
      <c r="P287" s="15" t="s">
        <v>522</v>
      </c>
      <c r="Q287" s="75"/>
      <c r="R287" s="15" t="s">
        <v>522</v>
      </c>
    </row>
    <row r="288" spans="2:18">
      <c r="B288" s="15">
        <v>3</v>
      </c>
      <c r="C288" s="15" t="s">
        <v>514</v>
      </c>
      <c r="D288" s="15" t="s">
        <v>526</v>
      </c>
      <c r="E288" s="15">
        <v>6</v>
      </c>
      <c r="F288" s="15">
        <v>15</v>
      </c>
      <c r="G288" s="15">
        <v>79</v>
      </c>
      <c r="H288" s="15" t="s">
        <v>539</v>
      </c>
      <c r="I288" s="15" t="s">
        <v>3027</v>
      </c>
      <c r="J288" s="15" t="s">
        <v>3027</v>
      </c>
      <c r="K288" s="15" t="s">
        <v>3027</v>
      </c>
      <c r="L288" s="15" t="s">
        <v>3027</v>
      </c>
      <c r="M288" s="15" t="s">
        <v>3027</v>
      </c>
      <c r="N288" s="15" t="s">
        <v>3027</v>
      </c>
      <c r="O288" s="75"/>
      <c r="P288" s="15" t="s">
        <v>522</v>
      </c>
      <c r="Q288" s="75"/>
      <c r="R288" s="15" t="s">
        <v>522</v>
      </c>
    </row>
    <row r="289" spans="2:18">
      <c r="B289" s="15">
        <v>3</v>
      </c>
      <c r="C289" s="15" t="s">
        <v>514</v>
      </c>
      <c r="D289" s="15" t="s">
        <v>526</v>
      </c>
      <c r="E289" s="15">
        <v>7</v>
      </c>
      <c r="F289" s="15">
        <v>15</v>
      </c>
      <c r="G289" s="15">
        <v>78</v>
      </c>
      <c r="H289" s="15" t="s">
        <v>539</v>
      </c>
      <c r="I289" s="15" t="s">
        <v>3027</v>
      </c>
      <c r="J289" s="15" t="s">
        <v>3027</v>
      </c>
      <c r="K289" s="15" t="s">
        <v>3027</v>
      </c>
      <c r="L289" s="15" t="s">
        <v>3027</v>
      </c>
      <c r="M289" s="15" t="s">
        <v>3027</v>
      </c>
      <c r="N289" s="15" t="s">
        <v>3027</v>
      </c>
      <c r="O289" s="75"/>
      <c r="P289" s="15" t="s">
        <v>522</v>
      </c>
      <c r="Q289" s="75"/>
      <c r="R289" s="15" t="s">
        <v>522</v>
      </c>
    </row>
    <row r="290" spans="2:18">
      <c r="B290" s="15">
        <v>3</v>
      </c>
      <c r="C290" s="15" t="s">
        <v>514</v>
      </c>
      <c r="D290" s="15" t="s">
        <v>526</v>
      </c>
      <c r="E290" s="15">
        <v>8</v>
      </c>
      <c r="F290" s="15">
        <v>15</v>
      </c>
      <c r="G290" s="15">
        <v>77</v>
      </c>
      <c r="H290" s="15" t="s">
        <v>539</v>
      </c>
      <c r="I290" s="15" t="s">
        <v>3027</v>
      </c>
      <c r="J290" s="15" t="s">
        <v>3027</v>
      </c>
      <c r="K290" s="15" t="s">
        <v>3027</v>
      </c>
      <c r="L290" s="15" t="s">
        <v>3027</v>
      </c>
      <c r="M290" s="15" t="s">
        <v>3027</v>
      </c>
      <c r="N290" s="15" t="s">
        <v>3027</v>
      </c>
      <c r="O290" s="75"/>
      <c r="P290" s="15" t="s">
        <v>522</v>
      </c>
      <c r="Q290" s="75"/>
      <c r="R290" s="15" t="s">
        <v>522</v>
      </c>
    </row>
    <row r="291" spans="2:18">
      <c r="B291" s="15">
        <v>3</v>
      </c>
      <c r="C291" s="15" t="s">
        <v>514</v>
      </c>
      <c r="D291" s="15" t="s">
        <v>526</v>
      </c>
      <c r="E291" s="15">
        <v>9</v>
      </c>
      <c r="F291" s="15">
        <v>15</v>
      </c>
      <c r="G291" s="15">
        <v>76</v>
      </c>
      <c r="H291" s="15" t="s">
        <v>539</v>
      </c>
      <c r="I291" s="15" t="s">
        <v>3027</v>
      </c>
      <c r="J291" s="15" t="s">
        <v>3027</v>
      </c>
      <c r="K291" s="15" t="s">
        <v>3027</v>
      </c>
      <c r="L291" s="15" t="s">
        <v>3027</v>
      </c>
      <c r="M291" s="15" t="s">
        <v>3027</v>
      </c>
      <c r="N291" s="15" t="s">
        <v>3027</v>
      </c>
      <c r="O291" s="75"/>
      <c r="P291" s="15" t="s">
        <v>522</v>
      </c>
      <c r="Q291" s="75"/>
      <c r="R291" s="15" t="s">
        <v>522</v>
      </c>
    </row>
    <row r="292" spans="2:18">
      <c r="B292" s="15">
        <v>3</v>
      </c>
      <c r="C292" s="15" t="s">
        <v>514</v>
      </c>
      <c r="D292" s="15" t="s">
        <v>526</v>
      </c>
      <c r="E292" s="15">
        <v>10</v>
      </c>
      <c r="F292" s="15">
        <v>15</v>
      </c>
      <c r="G292" s="15">
        <v>75</v>
      </c>
      <c r="H292" s="15" t="s">
        <v>539</v>
      </c>
      <c r="I292" s="15" t="s">
        <v>3027</v>
      </c>
      <c r="J292" s="15" t="s">
        <v>3027</v>
      </c>
      <c r="K292" s="15" t="s">
        <v>3027</v>
      </c>
      <c r="L292" s="15" t="s">
        <v>3027</v>
      </c>
      <c r="M292" s="15" t="s">
        <v>3027</v>
      </c>
      <c r="N292" s="15" t="s">
        <v>3027</v>
      </c>
      <c r="O292" s="75"/>
      <c r="P292" s="15" t="s">
        <v>522</v>
      </c>
      <c r="Q292" s="75"/>
      <c r="R292" s="15" t="s">
        <v>522</v>
      </c>
    </row>
    <row r="293" spans="2:18">
      <c r="B293" s="15">
        <v>3</v>
      </c>
      <c r="C293" s="15" t="s">
        <v>514</v>
      </c>
      <c r="D293" s="15" t="s">
        <v>526</v>
      </c>
      <c r="E293" s="15">
        <v>11</v>
      </c>
      <c r="F293" s="15">
        <v>15</v>
      </c>
      <c r="G293" s="15">
        <v>74</v>
      </c>
      <c r="H293" s="15" t="s">
        <v>539</v>
      </c>
      <c r="I293" s="15" t="s">
        <v>3027</v>
      </c>
      <c r="J293" s="15" t="s">
        <v>3027</v>
      </c>
      <c r="K293" s="15" t="s">
        <v>3027</v>
      </c>
      <c r="L293" s="15" t="s">
        <v>3027</v>
      </c>
      <c r="M293" s="15" t="s">
        <v>3027</v>
      </c>
      <c r="N293" s="15" t="s">
        <v>3027</v>
      </c>
      <c r="O293" s="75"/>
      <c r="P293" s="15" t="s">
        <v>522</v>
      </c>
      <c r="Q293" s="75"/>
      <c r="R293" s="15" t="s">
        <v>522</v>
      </c>
    </row>
    <row r="294" spans="2:18">
      <c r="B294" s="15">
        <v>3</v>
      </c>
      <c r="C294" s="15" t="s">
        <v>514</v>
      </c>
      <c r="D294" s="15" t="s">
        <v>526</v>
      </c>
      <c r="E294" s="15">
        <v>12</v>
      </c>
      <c r="F294" s="15">
        <v>15</v>
      </c>
      <c r="G294" s="15">
        <v>73</v>
      </c>
      <c r="H294" s="15" t="s">
        <v>539</v>
      </c>
      <c r="I294" s="15" t="s">
        <v>3027</v>
      </c>
      <c r="J294" s="15" t="s">
        <v>3027</v>
      </c>
      <c r="K294" s="15" t="s">
        <v>3027</v>
      </c>
      <c r="L294" s="15" t="s">
        <v>3027</v>
      </c>
      <c r="M294" s="15" t="s">
        <v>3027</v>
      </c>
      <c r="N294" s="15" t="s">
        <v>3027</v>
      </c>
      <c r="O294" s="75"/>
      <c r="P294" s="15" t="s">
        <v>522</v>
      </c>
      <c r="Q294" s="75"/>
      <c r="R294" s="15" t="s">
        <v>522</v>
      </c>
    </row>
    <row r="295" spans="2:18">
      <c r="B295" s="15">
        <v>3</v>
      </c>
      <c r="C295" s="15" t="s">
        <v>514</v>
      </c>
      <c r="D295" s="15" t="s">
        <v>526</v>
      </c>
      <c r="E295" s="15">
        <v>13</v>
      </c>
      <c r="F295" s="15">
        <v>15</v>
      </c>
      <c r="G295" s="15">
        <v>72</v>
      </c>
      <c r="H295" s="15" t="s">
        <v>539</v>
      </c>
      <c r="I295" s="15" t="s">
        <v>3027</v>
      </c>
      <c r="J295" s="15" t="s">
        <v>3027</v>
      </c>
      <c r="K295" s="15" t="s">
        <v>3027</v>
      </c>
      <c r="L295" s="15" t="s">
        <v>3027</v>
      </c>
      <c r="M295" s="15" t="s">
        <v>3027</v>
      </c>
      <c r="N295" s="15" t="s">
        <v>3027</v>
      </c>
      <c r="O295" s="75"/>
      <c r="P295" s="15" t="s">
        <v>522</v>
      </c>
      <c r="Q295" s="75"/>
      <c r="R295" s="15" t="s">
        <v>522</v>
      </c>
    </row>
    <row r="296" spans="2:18">
      <c r="B296" s="15">
        <v>3</v>
      </c>
      <c r="C296" s="15" t="s">
        <v>514</v>
      </c>
      <c r="D296" s="15" t="s">
        <v>526</v>
      </c>
      <c r="E296" s="15">
        <v>14</v>
      </c>
      <c r="F296" s="15">
        <v>15</v>
      </c>
      <c r="G296" s="15">
        <v>71</v>
      </c>
      <c r="H296" s="15" t="s">
        <v>539</v>
      </c>
      <c r="I296" s="15" t="s">
        <v>3027</v>
      </c>
      <c r="J296" s="15" t="s">
        <v>3027</v>
      </c>
      <c r="K296" s="15" t="s">
        <v>3027</v>
      </c>
      <c r="L296" s="15" t="s">
        <v>3027</v>
      </c>
      <c r="M296" s="15" t="s">
        <v>3027</v>
      </c>
      <c r="N296" s="15" t="s">
        <v>3027</v>
      </c>
      <c r="O296" s="75"/>
      <c r="P296" s="15" t="s">
        <v>522</v>
      </c>
      <c r="Q296" s="75"/>
      <c r="R296" s="15" t="s">
        <v>522</v>
      </c>
    </row>
    <row r="297" spans="2:18">
      <c r="B297" s="15">
        <v>3</v>
      </c>
      <c r="C297" s="15" t="s">
        <v>514</v>
      </c>
      <c r="D297" s="15" t="s">
        <v>526</v>
      </c>
      <c r="E297" s="15">
        <v>15</v>
      </c>
      <c r="F297" s="15">
        <v>15</v>
      </c>
      <c r="G297" s="15">
        <v>70</v>
      </c>
      <c r="H297" s="15" t="s">
        <v>539</v>
      </c>
      <c r="I297" s="15" t="s">
        <v>3027</v>
      </c>
      <c r="J297" s="15" t="s">
        <v>3027</v>
      </c>
      <c r="K297" s="15" t="s">
        <v>3027</v>
      </c>
      <c r="L297" s="15" t="s">
        <v>3027</v>
      </c>
      <c r="M297" s="15" t="s">
        <v>3027</v>
      </c>
      <c r="N297" s="15" t="s">
        <v>3027</v>
      </c>
      <c r="O297" s="75"/>
      <c r="P297" s="15" t="s">
        <v>522</v>
      </c>
      <c r="Q297" s="75"/>
      <c r="R297" s="15" t="s">
        <v>522</v>
      </c>
    </row>
    <row r="298" spans="2:18">
      <c r="B298" s="15">
        <v>3</v>
      </c>
      <c r="C298" s="15" t="s">
        <v>514</v>
      </c>
      <c r="D298" s="15" t="s">
        <v>526</v>
      </c>
      <c r="E298" s="15">
        <v>16</v>
      </c>
      <c r="F298" s="15">
        <v>15</v>
      </c>
      <c r="G298" s="15">
        <v>69</v>
      </c>
      <c r="H298" s="15" t="s">
        <v>539</v>
      </c>
      <c r="I298" s="15" t="s">
        <v>3027</v>
      </c>
      <c r="J298" s="15" t="s">
        <v>3027</v>
      </c>
      <c r="K298" s="15" t="s">
        <v>3027</v>
      </c>
      <c r="L298" s="15" t="s">
        <v>3027</v>
      </c>
      <c r="M298" s="15" t="s">
        <v>3027</v>
      </c>
      <c r="N298" s="15" t="s">
        <v>3027</v>
      </c>
      <c r="O298" s="75"/>
      <c r="P298" s="15" t="s">
        <v>522</v>
      </c>
      <c r="Q298" s="75"/>
      <c r="R298" s="15" t="s">
        <v>522</v>
      </c>
    </row>
    <row r="299" spans="2:18">
      <c r="B299" s="15">
        <v>3</v>
      </c>
      <c r="C299" s="15" t="s">
        <v>514</v>
      </c>
      <c r="D299" s="15" t="s">
        <v>526</v>
      </c>
      <c r="E299" s="15">
        <v>17</v>
      </c>
      <c r="F299" s="15">
        <v>15</v>
      </c>
      <c r="G299" s="15">
        <v>68</v>
      </c>
      <c r="H299" s="15" t="s">
        <v>539</v>
      </c>
      <c r="I299" s="15" t="s">
        <v>3027</v>
      </c>
      <c r="J299" s="15" t="s">
        <v>3027</v>
      </c>
      <c r="K299" s="15" t="s">
        <v>3027</v>
      </c>
      <c r="L299" s="15" t="s">
        <v>3027</v>
      </c>
      <c r="M299" s="15" t="s">
        <v>3027</v>
      </c>
      <c r="N299" s="15" t="s">
        <v>3027</v>
      </c>
      <c r="O299" s="75"/>
      <c r="P299" s="15" t="s">
        <v>522</v>
      </c>
      <c r="Q299" s="75"/>
      <c r="R299" s="15" t="s">
        <v>522</v>
      </c>
    </row>
    <row r="300" spans="2:18">
      <c r="B300" s="15">
        <v>3</v>
      </c>
      <c r="C300" s="15" t="s">
        <v>514</v>
      </c>
      <c r="D300" s="15" t="s">
        <v>526</v>
      </c>
      <c r="E300" s="15">
        <v>18</v>
      </c>
      <c r="F300" s="15">
        <v>15</v>
      </c>
      <c r="G300" s="15">
        <v>67</v>
      </c>
      <c r="H300" s="15" t="s">
        <v>539</v>
      </c>
      <c r="I300" s="15" t="s">
        <v>3027</v>
      </c>
      <c r="J300" s="15" t="s">
        <v>3027</v>
      </c>
      <c r="K300" s="15" t="s">
        <v>3027</v>
      </c>
      <c r="L300" s="15" t="s">
        <v>3027</v>
      </c>
      <c r="M300" s="15" t="s">
        <v>3027</v>
      </c>
      <c r="N300" s="15" t="s">
        <v>3027</v>
      </c>
      <c r="O300" s="75"/>
      <c r="P300" s="15" t="s">
        <v>522</v>
      </c>
      <c r="Q300" s="75"/>
      <c r="R300" s="15" t="s">
        <v>522</v>
      </c>
    </row>
    <row r="301" spans="2:18">
      <c r="B301" s="15">
        <v>3</v>
      </c>
      <c r="C301" s="15" t="s">
        <v>514</v>
      </c>
      <c r="D301" s="15" t="s">
        <v>526</v>
      </c>
      <c r="E301" s="15">
        <v>19</v>
      </c>
      <c r="F301" s="15">
        <v>15</v>
      </c>
      <c r="G301" s="15">
        <v>66</v>
      </c>
      <c r="H301" s="15" t="s">
        <v>539</v>
      </c>
      <c r="I301" s="15" t="s">
        <v>3027</v>
      </c>
      <c r="J301" s="15" t="s">
        <v>3027</v>
      </c>
      <c r="K301" s="15" t="s">
        <v>3027</v>
      </c>
      <c r="L301" s="15" t="s">
        <v>3027</v>
      </c>
      <c r="M301" s="15" t="s">
        <v>3027</v>
      </c>
      <c r="N301" s="15" t="s">
        <v>3027</v>
      </c>
      <c r="O301" s="75"/>
      <c r="P301" s="15" t="s">
        <v>522</v>
      </c>
      <c r="Q301" s="75"/>
      <c r="R301" s="15" t="s">
        <v>522</v>
      </c>
    </row>
    <row r="302" spans="2:18">
      <c r="B302" s="15">
        <v>3</v>
      </c>
      <c r="C302" s="15" t="s">
        <v>514</v>
      </c>
      <c r="D302" s="15" t="s">
        <v>526</v>
      </c>
      <c r="E302" s="15">
        <v>20</v>
      </c>
      <c r="F302" s="15">
        <v>15</v>
      </c>
      <c r="G302" s="15">
        <v>65</v>
      </c>
      <c r="H302" s="15" t="s">
        <v>539</v>
      </c>
      <c r="I302" s="15" t="s">
        <v>3027</v>
      </c>
      <c r="J302" s="15" t="s">
        <v>3027</v>
      </c>
      <c r="K302" s="15" t="s">
        <v>3027</v>
      </c>
      <c r="L302" s="15" t="s">
        <v>3027</v>
      </c>
      <c r="M302" s="15" t="s">
        <v>3027</v>
      </c>
      <c r="N302" s="15" t="s">
        <v>3027</v>
      </c>
      <c r="O302" s="75"/>
      <c r="P302" s="15" t="s">
        <v>522</v>
      </c>
      <c r="Q302" s="75"/>
      <c r="R302" s="15" t="s">
        <v>522</v>
      </c>
    </row>
    <row r="303" spans="2:18">
      <c r="B303" s="15">
        <v>3</v>
      </c>
      <c r="C303" s="15" t="s">
        <v>514</v>
      </c>
      <c r="D303" s="15" t="s">
        <v>526</v>
      </c>
      <c r="E303" s="15">
        <v>21</v>
      </c>
      <c r="F303" s="15">
        <v>15</v>
      </c>
      <c r="G303" s="15">
        <v>64</v>
      </c>
      <c r="H303" s="15" t="s">
        <v>539</v>
      </c>
      <c r="I303" s="15" t="s">
        <v>3027</v>
      </c>
      <c r="J303" s="15" t="s">
        <v>3027</v>
      </c>
      <c r="K303" s="15" t="s">
        <v>3027</v>
      </c>
      <c r="L303" s="15" t="s">
        <v>3027</v>
      </c>
      <c r="M303" s="15" t="s">
        <v>3027</v>
      </c>
      <c r="N303" s="15" t="s">
        <v>3027</v>
      </c>
      <c r="O303" s="75"/>
      <c r="P303" s="15" t="s">
        <v>522</v>
      </c>
      <c r="Q303" s="75"/>
      <c r="R303" s="15" t="s">
        <v>522</v>
      </c>
    </row>
    <row r="304" spans="2:18">
      <c r="B304" s="15">
        <v>3</v>
      </c>
      <c r="C304" s="15" t="s">
        <v>514</v>
      </c>
      <c r="D304" s="15" t="s">
        <v>526</v>
      </c>
      <c r="E304" s="15">
        <v>22</v>
      </c>
      <c r="F304" s="15">
        <v>15</v>
      </c>
      <c r="G304" s="15">
        <v>63</v>
      </c>
      <c r="H304" s="15" t="s">
        <v>539</v>
      </c>
      <c r="I304" s="15" t="s">
        <v>3027</v>
      </c>
      <c r="J304" s="15" t="s">
        <v>3027</v>
      </c>
      <c r="K304" s="15" t="s">
        <v>3027</v>
      </c>
      <c r="L304" s="15" t="s">
        <v>3027</v>
      </c>
      <c r="M304" s="15" t="s">
        <v>3027</v>
      </c>
      <c r="N304" s="15" t="s">
        <v>3027</v>
      </c>
      <c r="O304" s="75"/>
      <c r="P304" s="15" t="s">
        <v>522</v>
      </c>
      <c r="Q304" s="75"/>
      <c r="R304" s="15" t="s">
        <v>522</v>
      </c>
    </row>
    <row r="305" spans="2:18">
      <c r="B305" s="15">
        <v>3</v>
      </c>
      <c r="C305" s="15" t="s">
        <v>514</v>
      </c>
      <c r="D305" s="15" t="s">
        <v>526</v>
      </c>
      <c r="E305" s="15">
        <v>23</v>
      </c>
      <c r="F305" s="15">
        <v>15</v>
      </c>
      <c r="G305" s="15">
        <v>62</v>
      </c>
      <c r="H305" s="15" t="s">
        <v>539</v>
      </c>
      <c r="I305" s="15" t="s">
        <v>3027</v>
      </c>
      <c r="J305" s="15" t="s">
        <v>3027</v>
      </c>
      <c r="K305" s="15" t="s">
        <v>3027</v>
      </c>
      <c r="L305" s="15" t="s">
        <v>3027</v>
      </c>
      <c r="M305" s="15" t="s">
        <v>3027</v>
      </c>
      <c r="N305" s="15" t="s">
        <v>3027</v>
      </c>
      <c r="O305" s="75"/>
      <c r="P305" s="15" t="s">
        <v>522</v>
      </c>
      <c r="Q305" s="75"/>
      <c r="R305" s="15" t="s">
        <v>522</v>
      </c>
    </row>
    <row r="306" spans="2:18">
      <c r="B306" s="15">
        <v>3</v>
      </c>
      <c r="C306" s="15" t="s">
        <v>514</v>
      </c>
      <c r="D306" s="15" t="s">
        <v>526</v>
      </c>
      <c r="E306" s="15">
        <v>24</v>
      </c>
      <c r="F306" s="15">
        <v>15</v>
      </c>
      <c r="G306" s="15">
        <v>61</v>
      </c>
      <c r="H306" s="15" t="s">
        <v>539</v>
      </c>
      <c r="I306" s="15" t="s">
        <v>3027</v>
      </c>
      <c r="J306" s="15" t="s">
        <v>3027</v>
      </c>
      <c r="K306" s="15" t="s">
        <v>3027</v>
      </c>
      <c r="L306" s="15" t="s">
        <v>3027</v>
      </c>
      <c r="M306" s="15" t="s">
        <v>3027</v>
      </c>
      <c r="N306" s="15" t="s">
        <v>3027</v>
      </c>
      <c r="O306" s="75"/>
      <c r="P306" s="15" t="s">
        <v>522</v>
      </c>
      <c r="Q306" s="75"/>
      <c r="R306" s="15" t="s">
        <v>522</v>
      </c>
    </row>
    <row r="307" spans="2:18">
      <c r="B307" s="15">
        <v>3</v>
      </c>
      <c r="C307" s="15" t="s">
        <v>514</v>
      </c>
      <c r="D307" s="15" t="s">
        <v>526</v>
      </c>
      <c r="E307" s="15">
        <v>25</v>
      </c>
      <c r="F307" s="15">
        <v>15</v>
      </c>
      <c r="G307" s="15">
        <v>60</v>
      </c>
      <c r="H307" s="15" t="s">
        <v>539</v>
      </c>
      <c r="I307" s="15" t="s">
        <v>3027</v>
      </c>
      <c r="J307" s="15" t="s">
        <v>3027</v>
      </c>
      <c r="K307" s="15" t="s">
        <v>3027</v>
      </c>
      <c r="L307" s="15" t="s">
        <v>3027</v>
      </c>
      <c r="M307" s="15" t="s">
        <v>3027</v>
      </c>
      <c r="N307" s="15" t="s">
        <v>3027</v>
      </c>
      <c r="O307" s="75"/>
      <c r="P307" s="15" t="s">
        <v>522</v>
      </c>
      <c r="Q307" s="75"/>
      <c r="R307" s="15" t="s">
        <v>522</v>
      </c>
    </row>
    <row r="308" spans="2:18">
      <c r="B308" s="15">
        <v>3</v>
      </c>
      <c r="C308" s="15" t="s">
        <v>514</v>
      </c>
      <c r="D308" s="15" t="s">
        <v>526</v>
      </c>
      <c r="E308" s="15">
        <v>26</v>
      </c>
      <c r="F308" s="15">
        <v>15</v>
      </c>
      <c r="G308" s="15">
        <v>59</v>
      </c>
      <c r="H308" s="15" t="s">
        <v>539</v>
      </c>
      <c r="I308" s="15" t="s">
        <v>3027</v>
      </c>
      <c r="J308" s="15" t="s">
        <v>3027</v>
      </c>
      <c r="K308" s="15" t="s">
        <v>3027</v>
      </c>
      <c r="L308" s="15" t="s">
        <v>3027</v>
      </c>
      <c r="M308" s="15" t="s">
        <v>3027</v>
      </c>
      <c r="N308" s="15" t="s">
        <v>3027</v>
      </c>
      <c r="O308" s="75"/>
      <c r="P308" s="15" t="s">
        <v>522</v>
      </c>
      <c r="Q308" s="75"/>
      <c r="R308" s="15" t="s">
        <v>522</v>
      </c>
    </row>
    <row r="309" spans="2:18">
      <c r="B309" s="15">
        <v>3</v>
      </c>
      <c r="C309" s="15" t="s">
        <v>514</v>
      </c>
      <c r="D309" s="15" t="s">
        <v>526</v>
      </c>
      <c r="E309" s="15">
        <v>27</v>
      </c>
      <c r="F309" s="15">
        <v>15</v>
      </c>
      <c r="G309" s="15">
        <v>58</v>
      </c>
      <c r="H309" s="15" t="s">
        <v>539</v>
      </c>
      <c r="I309" s="15" t="s">
        <v>3027</v>
      </c>
      <c r="J309" s="15" t="s">
        <v>3027</v>
      </c>
      <c r="K309" s="15" t="s">
        <v>3027</v>
      </c>
      <c r="L309" s="15" t="s">
        <v>3027</v>
      </c>
      <c r="M309" s="15" t="s">
        <v>3027</v>
      </c>
      <c r="N309" s="15" t="s">
        <v>3027</v>
      </c>
      <c r="O309" s="75"/>
      <c r="P309" s="15" t="s">
        <v>522</v>
      </c>
      <c r="Q309" s="75"/>
      <c r="R309" s="15" t="s">
        <v>522</v>
      </c>
    </row>
    <row r="310" spans="2:18">
      <c r="B310" s="15">
        <v>3</v>
      </c>
      <c r="C310" s="15" t="s">
        <v>514</v>
      </c>
      <c r="D310" s="15" t="s">
        <v>526</v>
      </c>
      <c r="E310" s="15">
        <v>28</v>
      </c>
      <c r="F310" s="15">
        <v>15</v>
      </c>
      <c r="G310" s="15">
        <v>57</v>
      </c>
      <c r="H310" s="15" t="s">
        <v>539</v>
      </c>
      <c r="I310" s="15" t="s">
        <v>3027</v>
      </c>
      <c r="J310" s="15" t="s">
        <v>3027</v>
      </c>
      <c r="K310" s="15" t="s">
        <v>3027</v>
      </c>
      <c r="L310" s="15" t="s">
        <v>3027</v>
      </c>
      <c r="M310" s="15" t="s">
        <v>3027</v>
      </c>
      <c r="N310" s="15" t="s">
        <v>3027</v>
      </c>
      <c r="O310" s="75"/>
      <c r="P310" s="15" t="s">
        <v>522</v>
      </c>
      <c r="Q310" s="75"/>
      <c r="R310" s="15" t="s">
        <v>522</v>
      </c>
    </row>
    <row r="311" spans="2:18">
      <c r="B311" s="15">
        <v>3</v>
      </c>
      <c r="C311" s="15" t="s">
        <v>514</v>
      </c>
      <c r="D311" s="15" t="s">
        <v>526</v>
      </c>
      <c r="E311" s="15">
        <v>29</v>
      </c>
      <c r="F311" s="15">
        <v>15</v>
      </c>
      <c r="G311" s="15">
        <v>56</v>
      </c>
      <c r="H311" s="15" t="s">
        <v>539</v>
      </c>
      <c r="I311" s="15" t="s">
        <v>3027</v>
      </c>
      <c r="J311" s="15" t="s">
        <v>3027</v>
      </c>
      <c r="K311" s="15" t="s">
        <v>3027</v>
      </c>
      <c r="L311" s="15" t="s">
        <v>3027</v>
      </c>
      <c r="M311" s="15" t="s">
        <v>3027</v>
      </c>
      <c r="N311" s="15" t="s">
        <v>3027</v>
      </c>
      <c r="O311" s="75"/>
      <c r="P311" s="15" t="s">
        <v>522</v>
      </c>
      <c r="Q311" s="75"/>
      <c r="R311" s="15" t="s">
        <v>522</v>
      </c>
    </row>
    <row r="312" spans="2:18">
      <c r="B312" s="15">
        <v>3</v>
      </c>
      <c r="C312" s="15" t="s">
        <v>514</v>
      </c>
      <c r="D312" s="15" t="s">
        <v>526</v>
      </c>
      <c r="E312" s="15">
        <v>30</v>
      </c>
      <c r="F312" s="15">
        <v>15</v>
      </c>
      <c r="G312" s="15">
        <v>55</v>
      </c>
      <c r="H312" s="15" t="s">
        <v>539</v>
      </c>
      <c r="I312" s="15" t="s">
        <v>3027</v>
      </c>
      <c r="J312" s="15" t="s">
        <v>3027</v>
      </c>
      <c r="K312" s="15" t="s">
        <v>3027</v>
      </c>
      <c r="L312" s="15" t="s">
        <v>3027</v>
      </c>
      <c r="M312" s="15" t="s">
        <v>3027</v>
      </c>
      <c r="N312" s="15" t="s">
        <v>3027</v>
      </c>
      <c r="O312" s="75"/>
      <c r="P312" s="15" t="s">
        <v>522</v>
      </c>
      <c r="Q312" s="75"/>
      <c r="R312" s="15" t="s">
        <v>522</v>
      </c>
    </row>
    <row r="313" spans="2:18">
      <c r="B313" s="15">
        <v>3</v>
      </c>
      <c r="C313" s="15" t="s">
        <v>515</v>
      </c>
      <c r="D313" s="15" t="s">
        <v>526</v>
      </c>
      <c r="E313" s="15">
        <v>5</v>
      </c>
      <c r="F313" s="15">
        <v>15</v>
      </c>
      <c r="G313" s="15">
        <v>80</v>
      </c>
      <c r="H313" s="15" t="s">
        <v>539</v>
      </c>
      <c r="I313" s="15" t="s">
        <v>3027</v>
      </c>
      <c r="J313" s="15" t="s">
        <v>3027</v>
      </c>
      <c r="K313" s="15" t="s">
        <v>3027</v>
      </c>
      <c r="L313" s="15" t="s">
        <v>3027</v>
      </c>
      <c r="M313" s="15" t="s">
        <v>3027</v>
      </c>
      <c r="N313" s="15" t="s">
        <v>3027</v>
      </c>
      <c r="O313" s="75"/>
      <c r="P313" s="15" t="s">
        <v>522</v>
      </c>
      <c r="Q313" s="75"/>
      <c r="R313" s="15" t="s">
        <v>522</v>
      </c>
    </row>
    <row r="314" spans="2:18">
      <c r="B314" s="15">
        <v>3</v>
      </c>
      <c r="C314" s="15" t="s">
        <v>515</v>
      </c>
      <c r="D314" s="15" t="s">
        <v>526</v>
      </c>
      <c r="E314" s="15">
        <v>6</v>
      </c>
      <c r="F314" s="15">
        <v>15</v>
      </c>
      <c r="G314" s="15">
        <v>79</v>
      </c>
      <c r="H314" s="15" t="s">
        <v>539</v>
      </c>
      <c r="I314" s="15" t="s">
        <v>3027</v>
      </c>
      <c r="J314" s="15" t="s">
        <v>3027</v>
      </c>
      <c r="K314" s="15" t="s">
        <v>3027</v>
      </c>
      <c r="L314" s="15" t="s">
        <v>3027</v>
      </c>
      <c r="M314" s="15" t="s">
        <v>3027</v>
      </c>
      <c r="N314" s="15" t="s">
        <v>3027</v>
      </c>
      <c r="O314" s="75"/>
      <c r="P314" s="15" t="s">
        <v>522</v>
      </c>
      <c r="Q314" s="75"/>
      <c r="R314" s="15" t="s">
        <v>522</v>
      </c>
    </row>
    <row r="315" spans="2:18">
      <c r="B315" s="15">
        <v>3</v>
      </c>
      <c r="C315" s="15" t="s">
        <v>515</v>
      </c>
      <c r="D315" s="15" t="s">
        <v>526</v>
      </c>
      <c r="E315" s="15">
        <v>7</v>
      </c>
      <c r="F315" s="15">
        <v>15</v>
      </c>
      <c r="G315" s="15">
        <v>78</v>
      </c>
      <c r="H315" s="15" t="s">
        <v>539</v>
      </c>
      <c r="I315" s="15" t="s">
        <v>3027</v>
      </c>
      <c r="J315" s="15" t="s">
        <v>3027</v>
      </c>
      <c r="K315" s="15" t="s">
        <v>3027</v>
      </c>
      <c r="L315" s="15" t="s">
        <v>3027</v>
      </c>
      <c r="M315" s="15" t="s">
        <v>3027</v>
      </c>
      <c r="N315" s="15" t="s">
        <v>3027</v>
      </c>
      <c r="O315" s="75"/>
      <c r="P315" s="15" t="s">
        <v>522</v>
      </c>
      <c r="Q315" s="75"/>
      <c r="R315" s="15" t="s">
        <v>522</v>
      </c>
    </row>
    <row r="316" spans="2:18">
      <c r="B316" s="15">
        <v>3</v>
      </c>
      <c r="C316" s="15" t="s">
        <v>515</v>
      </c>
      <c r="D316" s="15" t="s">
        <v>526</v>
      </c>
      <c r="E316" s="15">
        <v>8</v>
      </c>
      <c r="F316" s="15">
        <v>15</v>
      </c>
      <c r="G316" s="15">
        <v>77</v>
      </c>
      <c r="H316" s="15" t="s">
        <v>539</v>
      </c>
      <c r="I316" s="15" t="s">
        <v>3027</v>
      </c>
      <c r="J316" s="15" t="s">
        <v>3027</v>
      </c>
      <c r="K316" s="15" t="s">
        <v>3027</v>
      </c>
      <c r="L316" s="15" t="s">
        <v>3027</v>
      </c>
      <c r="M316" s="15" t="s">
        <v>3027</v>
      </c>
      <c r="N316" s="15" t="s">
        <v>3027</v>
      </c>
      <c r="O316" s="75"/>
      <c r="P316" s="15" t="s">
        <v>522</v>
      </c>
      <c r="Q316" s="75"/>
      <c r="R316" s="15" t="s">
        <v>522</v>
      </c>
    </row>
    <row r="317" spans="2:18">
      <c r="B317" s="15">
        <v>3</v>
      </c>
      <c r="C317" s="15" t="s">
        <v>515</v>
      </c>
      <c r="D317" s="15" t="s">
        <v>526</v>
      </c>
      <c r="E317" s="15">
        <v>9</v>
      </c>
      <c r="F317" s="15">
        <v>15</v>
      </c>
      <c r="G317" s="15">
        <v>76</v>
      </c>
      <c r="H317" s="15" t="s">
        <v>539</v>
      </c>
      <c r="I317" s="15" t="s">
        <v>3027</v>
      </c>
      <c r="J317" s="15" t="s">
        <v>3027</v>
      </c>
      <c r="K317" s="15" t="s">
        <v>3027</v>
      </c>
      <c r="L317" s="15" t="s">
        <v>3027</v>
      </c>
      <c r="M317" s="15" t="s">
        <v>3027</v>
      </c>
      <c r="N317" s="15" t="s">
        <v>3027</v>
      </c>
      <c r="O317" s="75"/>
      <c r="P317" s="15" t="s">
        <v>522</v>
      </c>
      <c r="Q317" s="75"/>
      <c r="R317" s="15" t="s">
        <v>522</v>
      </c>
    </row>
    <row r="318" spans="2:18">
      <c r="B318" s="15">
        <v>3</v>
      </c>
      <c r="C318" s="15" t="s">
        <v>515</v>
      </c>
      <c r="D318" s="15" t="s">
        <v>526</v>
      </c>
      <c r="E318" s="15">
        <v>10</v>
      </c>
      <c r="F318" s="15">
        <v>15</v>
      </c>
      <c r="G318" s="15">
        <v>75</v>
      </c>
      <c r="H318" s="15" t="s">
        <v>539</v>
      </c>
      <c r="I318" s="15" t="s">
        <v>3027</v>
      </c>
      <c r="J318" s="15" t="s">
        <v>3027</v>
      </c>
      <c r="K318" s="15" t="s">
        <v>3027</v>
      </c>
      <c r="L318" s="15" t="s">
        <v>3027</v>
      </c>
      <c r="M318" s="15" t="s">
        <v>3027</v>
      </c>
      <c r="N318" s="15" t="s">
        <v>3027</v>
      </c>
      <c r="O318" s="75"/>
      <c r="P318" s="15" t="s">
        <v>522</v>
      </c>
      <c r="Q318" s="75"/>
      <c r="R318" s="15" t="s">
        <v>522</v>
      </c>
    </row>
    <row r="319" spans="2:18">
      <c r="B319" s="15">
        <v>3</v>
      </c>
      <c r="C319" s="15" t="s">
        <v>515</v>
      </c>
      <c r="D319" s="15" t="s">
        <v>526</v>
      </c>
      <c r="E319" s="15">
        <v>11</v>
      </c>
      <c r="F319" s="15">
        <v>15</v>
      </c>
      <c r="G319" s="15">
        <v>74</v>
      </c>
      <c r="H319" s="15" t="s">
        <v>539</v>
      </c>
      <c r="I319" s="15" t="s">
        <v>3027</v>
      </c>
      <c r="J319" s="15" t="s">
        <v>3027</v>
      </c>
      <c r="K319" s="15" t="s">
        <v>3027</v>
      </c>
      <c r="L319" s="15" t="s">
        <v>3027</v>
      </c>
      <c r="M319" s="15" t="s">
        <v>3027</v>
      </c>
      <c r="N319" s="15" t="s">
        <v>3027</v>
      </c>
      <c r="O319" s="75"/>
      <c r="P319" s="15" t="s">
        <v>522</v>
      </c>
      <c r="Q319" s="75"/>
      <c r="R319" s="15" t="s">
        <v>522</v>
      </c>
    </row>
    <row r="320" spans="2:18">
      <c r="B320" s="15">
        <v>3</v>
      </c>
      <c r="C320" s="15" t="s">
        <v>515</v>
      </c>
      <c r="D320" s="15" t="s">
        <v>526</v>
      </c>
      <c r="E320" s="15">
        <v>12</v>
      </c>
      <c r="F320" s="15">
        <v>15</v>
      </c>
      <c r="G320" s="15">
        <v>73</v>
      </c>
      <c r="H320" s="15" t="s">
        <v>539</v>
      </c>
      <c r="I320" s="15" t="s">
        <v>3027</v>
      </c>
      <c r="J320" s="15" t="s">
        <v>3027</v>
      </c>
      <c r="K320" s="15" t="s">
        <v>3027</v>
      </c>
      <c r="L320" s="15" t="s">
        <v>3027</v>
      </c>
      <c r="M320" s="15" t="s">
        <v>3027</v>
      </c>
      <c r="N320" s="15" t="s">
        <v>3027</v>
      </c>
      <c r="O320" s="75"/>
      <c r="P320" s="15" t="s">
        <v>522</v>
      </c>
      <c r="Q320" s="75"/>
      <c r="R320" s="15" t="s">
        <v>522</v>
      </c>
    </row>
    <row r="321" spans="2:18">
      <c r="B321" s="15">
        <v>3</v>
      </c>
      <c r="C321" s="15" t="s">
        <v>515</v>
      </c>
      <c r="D321" s="15" t="s">
        <v>526</v>
      </c>
      <c r="E321" s="15">
        <v>13</v>
      </c>
      <c r="F321" s="15">
        <v>15</v>
      </c>
      <c r="G321" s="15">
        <v>72</v>
      </c>
      <c r="H321" s="15" t="s">
        <v>539</v>
      </c>
      <c r="I321" s="15" t="s">
        <v>3027</v>
      </c>
      <c r="J321" s="15" t="s">
        <v>3027</v>
      </c>
      <c r="K321" s="15" t="s">
        <v>3027</v>
      </c>
      <c r="L321" s="15" t="s">
        <v>3027</v>
      </c>
      <c r="M321" s="15" t="s">
        <v>3027</v>
      </c>
      <c r="N321" s="15" t="s">
        <v>3027</v>
      </c>
      <c r="O321" s="75"/>
      <c r="P321" s="15" t="s">
        <v>522</v>
      </c>
      <c r="Q321" s="75"/>
      <c r="R321" s="15" t="s">
        <v>522</v>
      </c>
    </row>
    <row r="322" spans="2:18">
      <c r="B322" s="15">
        <v>3</v>
      </c>
      <c r="C322" s="15" t="s">
        <v>515</v>
      </c>
      <c r="D322" s="15" t="s">
        <v>526</v>
      </c>
      <c r="E322" s="15">
        <v>14</v>
      </c>
      <c r="F322" s="15">
        <v>15</v>
      </c>
      <c r="G322" s="15">
        <v>71</v>
      </c>
      <c r="H322" s="15" t="s">
        <v>539</v>
      </c>
      <c r="I322" s="15" t="s">
        <v>3027</v>
      </c>
      <c r="J322" s="15" t="s">
        <v>3027</v>
      </c>
      <c r="K322" s="15" t="s">
        <v>3027</v>
      </c>
      <c r="L322" s="15" t="s">
        <v>3027</v>
      </c>
      <c r="M322" s="15" t="s">
        <v>3027</v>
      </c>
      <c r="N322" s="15" t="s">
        <v>3027</v>
      </c>
      <c r="O322" s="75"/>
      <c r="P322" s="15" t="s">
        <v>522</v>
      </c>
      <c r="Q322" s="75"/>
      <c r="R322" s="15" t="s">
        <v>522</v>
      </c>
    </row>
    <row r="323" spans="2:18">
      <c r="B323" s="15">
        <v>3</v>
      </c>
      <c r="C323" s="15" t="s">
        <v>515</v>
      </c>
      <c r="D323" s="15" t="s">
        <v>526</v>
      </c>
      <c r="E323" s="15">
        <v>15</v>
      </c>
      <c r="F323" s="15">
        <v>15</v>
      </c>
      <c r="G323" s="15">
        <v>70</v>
      </c>
      <c r="H323" s="15" t="s">
        <v>539</v>
      </c>
      <c r="I323" s="15" t="s">
        <v>3027</v>
      </c>
      <c r="J323" s="15" t="s">
        <v>3027</v>
      </c>
      <c r="K323" s="15" t="s">
        <v>3027</v>
      </c>
      <c r="L323" s="15" t="s">
        <v>3027</v>
      </c>
      <c r="M323" s="15" t="s">
        <v>3027</v>
      </c>
      <c r="N323" s="15" t="s">
        <v>3027</v>
      </c>
      <c r="O323" s="75"/>
      <c r="P323" s="15" t="s">
        <v>522</v>
      </c>
      <c r="Q323" s="75"/>
      <c r="R323" s="15" t="s">
        <v>522</v>
      </c>
    </row>
    <row r="324" spans="2:18">
      <c r="B324" s="15">
        <v>3</v>
      </c>
      <c r="C324" s="15" t="s">
        <v>515</v>
      </c>
      <c r="D324" s="15" t="s">
        <v>526</v>
      </c>
      <c r="E324" s="15">
        <v>16</v>
      </c>
      <c r="F324" s="15">
        <v>15</v>
      </c>
      <c r="G324" s="15">
        <v>69</v>
      </c>
      <c r="H324" s="15" t="s">
        <v>539</v>
      </c>
      <c r="I324" s="15" t="s">
        <v>3027</v>
      </c>
      <c r="J324" s="15" t="s">
        <v>3027</v>
      </c>
      <c r="K324" s="15" t="s">
        <v>3027</v>
      </c>
      <c r="L324" s="15" t="s">
        <v>3027</v>
      </c>
      <c r="M324" s="15" t="s">
        <v>3027</v>
      </c>
      <c r="N324" s="15" t="s">
        <v>3027</v>
      </c>
      <c r="O324" s="75"/>
      <c r="P324" s="15" t="s">
        <v>522</v>
      </c>
      <c r="Q324" s="75"/>
      <c r="R324" s="15" t="s">
        <v>522</v>
      </c>
    </row>
    <row r="325" spans="2:18">
      <c r="B325" s="15">
        <v>3</v>
      </c>
      <c r="C325" s="15" t="s">
        <v>515</v>
      </c>
      <c r="D325" s="15" t="s">
        <v>526</v>
      </c>
      <c r="E325" s="15">
        <v>17</v>
      </c>
      <c r="F325" s="15">
        <v>15</v>
      </c>
      <c r="G325" s="15">
        <v>68</v>
      </c>
      <c r="H325" s="15" t="s">
        <v>539</v>
      </c>
      <c r="I325" s="15" t="s">
        <v>3027</v>
      </c>
      <c r="J325" s="15" t="s">
        <v>3027</v>
      </c>
      <c r="K325" s="15" t="s">
        <v>3027</v>
      </c>
      <c r="L325" s="15" t="s">
        <v>3027</v>
      </c>
      <c r="M325" s="15" t="s">
        <v>3027</v>
      </c>
      <c r="N325" s="15" t="s">
        <v>3027</v>
      </c>
      <c r="O325" s="75"/>
      <c r="P325" s="15" t="s">
        <v>522</v>
      </c>
      <c r="Q325" s="75"/>
      <c r="R325" s="15" t="s">
        <v>522</v>
      </c>
    </row>
    <row r="326" spans="2:18">
      <c r="B326" s="15">
        <v>3</v>
      </c>
      <c r="C326" s="15" t="s">
        <v>515</v>
      </c>
      <c r="D326" s="15" t="s">
        <v>526</v>
      </c>
      <c r="E326" s="15">
        <v>18</v>
      </c>
      <c r="F326" s="15">
        <v>15</v>
      </c>
      <c r="G326" s="15">
        <v>67</v>
      </c>
      <c r="H326" s="15" t="s">
        <v>539</v>
      </c>
      <c r="I326" s="15" t="s">
        <v>3027</v>
      </c>
      <c r="J326" s="15" t="s">
        <v>3027</v>
      </c>
      <c r="K326" s="15" t="s">
        <v>3027</v>
      </c>
      <c r="L326" s="15" t="s">
        <v>3027</v>
      </c>
      <c r="M326" s="15" t="s">
        <v>3027</v>
      </c>
      <c r="N326" s="15" t="s">
        <v>3027</v>
      </c>
      <c r="O326" s="75"/>
      <c r="P326" s="15" t="s">
        <v>522</v>
      </c>
      <c r="Q326" s="75"/>
      <c r="R326" s="15" t="s">
        <v>522</v>
      </c>
    </row>
    <row r="327" spans="2:18">
      <c r="B327" s="15">
        <v>3</v>
      </c>
      <c r="C327" s="15" t="s">
        <v>515</v>
      </c>
      <c r="D327" s="15" t="s">
        <v>526</v>
      </c>
      <c r="E327" s="15">
        <v>19</v>
      </c>
      <c r="F327" s="15">
        <v>15</v>
      </c>
      <c r="G327" s="15">
        <v>66</v>
      </c>
      <c r="H327" s="15" t="s">
        <v>539</v>
      </c>
      <c r="I327" s="15" t="s">
        <v>3027</v>
      </c>
      <c r="J327" s="15" t="s">
        <v>3027</v>
      </c>
      <c r="K327" s="15" t="s">
        <v>3027</v>
      </c>
      <c r="L327" s="15" t="s">
        <v>3027</v>
      </c>
      <c r="M327" s="15" t="s">
        <v>3027</v>
      </c>
      <c r="N327" s="15" t="s">
        <v>3027</v>
      </c>
      <c r="O327" s="75"/>
      <c r="P327" s="15" t="s">
        <v>522</v>
      </c>
      <c r="Q327" s="75"/>
      <c r="R327" s="15" t="s">
        <v>522</v>
      </c>
    </row>
    <row r="328" spans="2:18">
      <c r="B328" s="15">
        <v>3</v>
      </c>
      <c r="C328" s="15" t="s">
        <v>515</v>
      </c>
      <c r="D328" s="15" t="s">
        <v>526</v>
      </c>
      <c r="E328" s="15">
        <v>20</v>
      </c>
      <c r="F328" s="15">
        <v>15</v>
      </c>
      <c r="G328" s="15">
        <v>65</v>
      </c>
      <c r="H328" s="15" t="s">
        <v>539</v>
      </c>
      <c r="I328" s="15" t="s">
        <v>3027</v>
      </c>
      <c r="J328" s="15" t="s">
        <v>3027</v>
      </c>
      <c r="K328" s="15" t="s">
        <v>3027</v>
      </c>
      <c r="L328" s="15" t="s">
        <v>3027</v>
      </c>
      <c r="M328" s="15" t="s">
        <v>3027</v>
      </c>
      <c r="N328" s="15" t="s">
        <v>3027</v>
      </c>
      <c r="O328" s="75"/>
      <c r="P328" s="15" t="s">
        <v>522</v>
      </c>
      <c r="Q328" s="75"/>
      <c r="R328" s="15" t="s">
        <v>522</v>
      </c>
    </row>
    <row r="329" spans="2:18">
      <c r="B329" s="15">
        <v>3</v>
      </c>
      <c r="C329" s="15" t="s">
        <v>515</v>
      </c>
      <c r="D329" s="15" t="s">
        <v>526</v>
      </c>
      <c r="E329" s="15">
        <v>21</v>
      </c>
      <c r="F329" s="15">
        <v>15</v>
      </c>
      <c r="G329" s="15">
        <v>64</v>
      </c>
      <c r="H329" s="15" t="s">
        <v>539</v>
      </c>
      <c r="I329" s="15" t="s">
        <v>3027</v>
      </c>
      <c r="J329" s="15" t="s">
        <v>3027</v>
      </c>
      <c r="K329" s="15" t="s">
        <v>3027</v>
      </c>
      <c r="L329" s="15" t="s">
        <v>3027</v>
      </c>
      <c r="M329" s="15" t="s">
        <v>3027</v>
      </c>
      <c r="N329" s="15" t="s">
        <v>3027</v>
      </c>
      <c r="O329" s="75"/>
      <c r="P329" s="15" t="s">
        <v>522</v>
      </c>
      <c r="Q329" s="75"/>
      <c r="R329" s="15" t="s">
        <v>522</v>
      </c>
    </row>
    <row r="330" spans="2:18">
      <c r="B330" s="15">
        <v>3</v>
      </c>
      <c r="C330" s="15" t="s">
        <v>515</v>
      </c>
      <c r="D330" s="15" t="s">
        <v>526</v>
      </c>
      <c r="E330" s="15">
        <v>22</v>
      </c>
      <c r="F330" s="15">
        <v>15</v>
      </c>
      <c r="G330" s="15">
        <v>63</v>
      </c>
      <c r="H330" s="15" t="s">
        <v>539</v>
      </c>
      <c r="I330" s="15" t="s">
        <v>3027</v>
      </c>
      <c r="J330" s="15" t="s">
        <v>3027</v>
      </c>
      <c r="K330" s="15" t="s">
        <v>3027</v>
      </c>
      <c r="L330" s="15" t="s">
        <v>3027</v>
      </c>
      <c r="M330" s="15" t="s">
        <v>3027</v>
      </c>
      <c r="N330" s="15" t="s">
        <v>3027</v>
      </c>
      <c r="O330" s="75"/>
      <c r="P330" s="15" t="s">
        <v>522</v>
      </c>
      <c r="Q330" s="75"/>
      <c r="R330" s="15" t="s">
        <v>522</v>
      </c>
    </row>
    <row r="331" spans="2:18">
      <c r="B331" s="15">
        <v>3</v>
      </c>
      <c r="C331" s="15" t="s">
        <v>515</v>
      </c>
      <c r="D331" s="15" t="s">
        <v>526</v>
      </c>
      <c r="E331" s="15">
        <v>23</v>
      </c>
      <c r="F331" s="15">
        <v>15</v>
      </c>
      <c r="G331" s="15">
        <v>62</v>
      </c>
      <c r="H331" s="15" t="s">
        <v>539</v>
      </c>
      <c r="I331" s="15" t="s">
        <v>3027</v>
      </c>
      <c r="J331" s="15" t="s">
        <v>3027</v>
      </c>
      <c r="K331" s="15" t="s">
        <v>3027</v>
      </c>
      <c r="L331" s="15" t="s">
        <v>3027</v>
      </c>
      <c r="M331" s="15" t="s">
        <v>3027</v>
      </c>
      <c r="N331" s="15" t="s">
        <v>3027</v>
      </c>
      <c r="O331" s="75"/>
      <c r="P331" s="15" t="s">
        <v>522</v>
      </c>
      <c r="Q331" s="75"/>
      <c r="R331" s="15" t="s">
        <v>522</v>
      </c>
    </row>
    <row r="332" spans="2:18">
      <c r="B332" s="15">
        <v>3</v>
      </c>
      <c r="C332" s="15" t="s">
        <v>515</v>
      </c>
      <c r="D332" s="15" t="s">
        <v>526</v>
      </c>
      <c r="E332" s="15">
        <v>24</v>
      </c>
      <c r="F332" s="15">
        <v>15</v>
      </c>
      <c r="G332" s="15">
        <v>61</v>
      </c>
      <c r="H332" s="15" t="s">
        <v>539</v>
      </c>
      <c r="I332" s="15" t="s">
        <v>3027</v>
      </c>
      <c r="J332" s="15" t="s">
        <v>3027</v>
      </c>
      <c r="K332" s="15" t="s">
        <v>3027</v>
      </c>
      <c r="L332" s="15" t="s">
        <v>3027</v>
      </c>
      <c r="M332" s="15" t="s">
        <v>3027</v>
      </c>
      <c r="N332" s="15" t="s">
        <v>3027</v>
      </c>
      <c r="O332" s="75"/>
      <c r="P332" s="15" t="s">
        <v>522</v>
      </c>
      <c r="Q332" s="75"/>
      <c r="R332" s="15" t="s">
        <v>522</v>
      </c>
    </row>
    <row r="333" spans="2:18">
      <c r="B333" s="15">
        <v>3</v>
      </c>
      <c r="C333" s="15" t="s">
        <v>515</v>
      </c>
      <c r="D333" s="15" t="s">
        <v>526</v>
      </c>
      <c r="E333" s="15">
        <v>25</v>
      </c>
      <c r="F333" s="15">
        <v>15</v>
      </c>
      <c r="G333" s="15">
        <v>60</v>
      </c>
      <c r="H333" s="15" t="s">
        <v>539</v>
      </c>
      <c r="I333" s="15" t="s">
        <v>3027</v>
      </c>
      <c r="J333" s="15" t="s">
        <v>3027</v>
      </c>
      <c r="K333" s="15" t="s">
        <v>3027</v>
      </c>
      <c r="L333" s="15" t="s">
        <v>3027</v>
      </c>
      <c r="M333" s="15" t="s">
        <v>3027</v>
      </c>
      <c r="N333" s="15" t="s">
        <v>3027</v>
      </c>
      <c r="O333" s="75"/>
      <c r="P333" s="15" t="s">
        <v>522</v>
      </c>
      <c r="Q333" s="75"/>
      <c r="R333" s="15" t="s">
        <v>522</v>
      </c>
    </row>
    <row r="334" spans="2:18">
      <c r="B334" s="15">
        <v>3</v>
      </c>
      <c r="C334" s="15" t="s">
        <v>515</v>
      </c>
      <c r="D334" s="15" t="s">
        <v>526</v>
      </c>
      <c r="E334" s="15">
        <v>26</v>
      </c>
      <c r="F334" s="15">
        <v>15</v>
      </c>
      <c r="G334" s="15">
        <v>59</v>
      </c>
      <c r="H334" s="15" t="s">
        <v>539</v>
      </c>
      <c r="I334" s="15" t="s">
        <v>3027</v>
      </c>
      <c r="J334" s="15" t="s">
        <v>3027</v>
      </c>
      <c r="K334" s="15" t="s">
        <v>3027</v>
      </c>
      <c r="L334" s="15" t="s">
        <v>3027</v>
      </c>
      <c r="M334" s="15" t="s">
        <v>3027</v>
      </c>
      <c r="N334" s="15" t="s">
        <v>3027</v>
      </c>
      <c r="O334" s="75"/>
      <c r="P334" s="15" t="s">
        <v>522</v>
      </c>
      <c r="Q334" s="75"/>
      <c r="R334" s="15" t="s">
        <v>522</v>
      </c>
    </row>
    <row r="335" spans="2:18">
      <c r="B335" s="15">
        <v>3</v>
      </c>
      <c r="C335" s="15" t="s">
        <v>515</v>
      </c>
      <c r="D335" s="15" t="s">
        <v>526</v>
      </c>
      <c r="E335" s="15">
        <v>27</v>
      </c>
      <c r="F335" s="15">
        <v>15</v>
      </c>
      <c r="G335" s="15">
        <v>58</v>
      </c>
      <c r="H335" s="15" t="s">
        <v>539</v>
      </c>
      <c r="I335" s="15" t="s">
        <v>3027</v>
      </c>
      <c r="J335" s="15" t="s">
        <v>3027</v>
      </c>
      <c r="K335" s="15" t="s">
        <v>3027</v>
      </c>
      <c r="L335" s="15" t="s">
        <v>3027</v>
      </c>
      <c r="M335" s="15" t="s">
        <v>3027</v>
      </c>
      <c r="N335" s="15" t="s">
        <v>3027</v>
      </c>
      <c r="O335" s="75"/>
      <c r="P335" s="15" t="s">
        <v>522</v>
      </c>
      <c r="Q335" s="75"/>
      <c r="R335" s="15" t="s">
        <v>522</v>
      </c>
    </row>
    <row r="336" spans="2:18">
      <c r="B336" s="15">
        <v>3</v>
      </c>
      <c r="C336" s="15" t="s">
        <v>515</v>
      </c>
      <c r="D336" s="15" t="s">
        <v>526</v>
      </c>
      <c r="E336" s="15">
        <v>28</v>
      </c>
      <c r="F336" s="15">
        <v>15</v>
      </c>
      <c r="G336" s="15">
        <v>57</v>
      </c>
      <c r="H336" s="15" t="s">
        <v>539</v>
      </c>
      <c r="I336" s="15" t="s">
        <v>3027</v>
      </c>
      <c r="J336" s="15" t="s">
        <v>3027</v>
      </c>
      <c r="K336" s="15" t="s">
        <v>3027</v>
      </c>
      <c r="L336" s="15" t="s">
        <v>3027</v>
      </c>
      <c r="M336" s="15" t="s">
        <v>3027</v>
      </c>
      <c r="N336" s="15" t="s">
        <v>3027</v>
      </c>
      <c r="O336" s="75"/>
      <c r="P336" s="15" t="s">
        <v>522</v>
      </c>
      <c r="Q336" s="75"/>
      <c r="R336" s="15" t="s">
        <v>522</v>
      </c>
    </row>
    <row r="337" spans="2:18">
      <c r="B337" s="15">
        <v>3</v>
      </c>
      <c r="C337" s="15" t="s">
        <v>515</v>
      </c>
      <c r="D337" s="15" t="s">
        <v>526</v>
      </c>
      <c r="E337" s="15">
        <v>29</v>
      </c>
      <c r="F337" s="15">
        <v>15</v>
      </c>
      <c r="G337" s="15">
        <v>56</v>
      </c>
      <c r="H337" s="15" t="s">
        <v>539</v>
      </c>
      <c r="I337" s="15" t="s">
        <v>3027</v>
      </c>
      <c r="J337" s="15" t="s">
        <v>3027</v>
      </c>
      <c r="K337" s="15" t="s">
        <v>3027</v>
      </c>
      <c r="L337" s="15" t="s">
        <v>3027</v>
      </c>
      <c r="M337" s="15" t="s">
        <v>3027</v>
      </c>
      <c r="N337" s="15" t="s">
        <v>3027</v>
      </c>
      <c r="O337" s="75"/>
      <c r="P337" s="15" t="s">
        <v>522</v>
      </c>
      <c r="Q337" s="75"/>
      <c r="R337" s="15" t="s">
        <v>522</v>
      </c>
    </row>
    <row r="338" spans="2:18">
      <c r="B338" s="15">
        <v>3</v>
      </c>
      <c r="C338" s="15" t="s">
        <v>515</v>
      </c>
      <c r="D338" s="15" t="s">
        <v>526</v>
      </c>
      <c r="E338" s="15">
        <v>30</v>
      </c>
      <c r="F338" s="15">
        <v>15</v>
      </c>
      <c r="G338" s="15">
        <v>55</v>
      </c>
      <c r="H338" s="15" t="s">
        <v>539</v>
      </c>
      <c r="I338" s="15" t="s">
        <v>3027</v>
      </c>
      <c r="J338" s="15" t="s">
        <v>3027</v>
      </c>
      <c r="K338" s="15" t="s">
        <v>3027</v>
      </c>
      <c r="L338" s="15" t="s">
        <v>3027</v>
      </c>
      <c r="M338" s="15" t="s">
        <v>3027</v>
      </c>
      <c r="N338" s="15" t="s">
        <v>3027</v>
      </c>
      <c r="O338" s="75"/>
      <c r="P338" s="15" t="s">
        <v>522</v>
      </c>
      <c r="Q338" s="75"/>
      <c r="R338" s="15" t="s">
        <v>522</v>
      </c>
    </row>
    <row r="339" spans="2:18">
      <c r="B339" s="15">
        <v>3</v>
      </c>
      <c r="C339" s="15" t="s">
        <v>516</v>
      </c>
      <c r="D339" s="15" t="s">
        <v>526</v>
      </c>
      <c r="E339" s="15">
        <v>5</v>
      </c>
      <c r="F339" s="15">
        <v>15</v>
      </c>
      <c r="G339" s="15">
        <v>80</v>
      </c>
      <c r="H339" s="15" t="s">
        <v>539</v>
      </c>
      <c r="I339" s="15" t="s">
        <v>3027</v>
      </c>
      <c r="J339" s="15" t="s">
        <v>3027</v>
      </c>
      <c r="K339" s="15" t="s">
        <v>3027</v>
      </c>
      <c r="L339" s="15" t="s">
        <v>3027</v>
      </c>
      <c r="M339" s="15" t="s">
        <v>3027</v>
      </c>
      <c r="N339" s="15" t="s">
        <v>3027</v>
      </c>
      <c r="O339" s="75"/>
      <c r="P339" s="15" t="s">
        <v>522</v>
      </c>
      <c r="Q339" s="75"/>
      <c r="R339" s="15" t="s">
        <v>522</v>
      </c>
    </row>
    <row r="340" spans="2:18">
      <c r="B340" s="15">
        <v>3</v>
      </c>
      <c r="C340" s="15" t="s">
        <v>516</v>
      </c>
      <c r="D340" s="15" t="s">
        <v>526</v>
      </c>
      <c r="E340" s="15">
        <v>6</v>
      </c>
      <c r="F340" s="15">
        <v>15</v>
      </c>
      <c r="G340" s="15">
        <v>79</v>
      </c>
      <c r="H340" s="15" t="s">
        <v>539</v>
      </c>
      <c r="I340" s="15" t="s">
        <v>3027</v>
      </c>
      <c r="J340" s="15" t="s">
        <v>3027</v>
      </c>
      <c r="K340" s="15" t="s">
        <v>3027</v>
      </c>
      <c r="L340" s="15" t="s">
        <v>3027</v>
      </c>
      <c r="M340" s="15" t="s">
        <v>3027</v>
      </c>
      <c r="N340" s="15" t="s">
        <v>3027</v>
      </c>
      <c r="O340" s="75"/>
      <c r="P340" s="15" t="s">
        <v>522</v>
      </c>
      <c r="Q340" s="75"/>
      <c r="R340" s="15" t="s">
        <v>522</v>
      </c>
    </row>
    <row r="341" spans="2:18">
      <c r="B341" s="15">
        <v>3</v>
      </c>
      <c r="C341" s="15" t="s">
        <v>516</v>
      </c>
      <c r="D341" s="15" t="s">
        <v>526</v>
      </c>
      <c r="E341" s="15">
        <v>7</v>
      </c>
      <c r="F341" s="15">
        <v>15</v>
      </c>
      <c r="G341" s="15">
        <v>78</v>
      </c>
      <c r="H341" s="15" t="s">
        <v>539</v>
      </c>
      <c r="I341" s="15" t="s">
        <v>3027</v>
      </c>
      <c r="J341" s="15" t="s">
        <v>3027</v>
      </c>
      <c r="K341" s="15" t="s">
        <v>3027</v>
      </c>
      <c r="L341" s="15" t="s">
        <v>3027</v>
      </c>
      <c r="M341" s="15" t="s">
        <v>3027</v>
      </c>
      <c r="N341" s="15" t="s">
        <v>3027</v>
      </c>
      <c r="O341" s="75"/>
      <c r="P341" s="15" t="s">
        <v>522</v>
      </c>
      <c r="Q341" s="75"/>
      <c r="R341" s="15" t="s">
        <v>522</v>
      </c>
    </row>
    <row r="342" spans="2:18">
      <c r="B342" s="15">
        <v>3</v>
      </c>
      <c r="C342" s="15" t="s">
        <v>516</v>
      </c>
      <c r="D342" s="15" t="s">
        <v>526</v>
      </c>
      <c r="E342" s="15">
        <v>8</v>
      </c>
      <c r="F342" s="15">
        <v>15</v>
      </c>
      <c r="G342" s="15">
        <v>77</v>
      </c>
      <c r="H342" s="15" t="s">
        <v>539</v>
      </c>
      <c r="I342" s="15" t="s">
        <v>3027</v>
      </c>
      <c r="J342" s="15" t="s">
        <v>3027</v>
      </c>
      <c r="K342" s="15" t="s">
        <v>3027</v>
      </c>
      <c r="L342" s="15" t="s">
        <v>3027</v>
      </c>
      <c r="M342" s="15" t="s">
        <v>3027</v>
      </c>
      <c r="N342" s="15" t="s">
        <v>3027</v>
      </c>
      <c r="O342" s="75"/>
      <c r="P342" s="15" t="s">
        <v>522</v>
      </c>
      <c r="Q342" s="75"/>
      <c r="R342" s="15" t="s">
        <v>522</v>
      </c>
    </row>
    <row r="343" spans="2:18">
      <c r="B343" s="15">
        <v>3</v>
      </c>
      <c r="C343" s="15" t="s">
        <v>516</v>
      </c>
      <c r="D343" s="15" t="s">
        <v>526</v>
      </c>
      <c r="E343" s="15">
        <v>9</v>
      </c>
      <c r="F343" s="15">
        <v>15</v>
      </c>
      <c r="G343" s="15">
        <v>76</v>
      </c>
      <c r="H343" s="15" t="s">
        <v>539</v>
      </c>
      <c r="I343" s="15" t="s">
        <v>3027</v>
      </c>
      <c r="J343" s="15" t="s">
        <v>3027</v>
      </c>
      <c r="K343" s="15" t="s">
        <v>3027</v>
      </c>
      <c r="L343" s="15" t="s">
        <v>3027</v>
      </c>
      <c r="M343" s="15" t="s">
        <v>3027</v>
      </c>
      <c r="N343" s="15" t="s">
        <v>3027</v>
      </c>
      <c r="O343" s="75"/>
      <c r="P343" s="15" t="s">
        <v>522</v>
      </c>
      <c r="Q343" s="75"/>
      <c r="R343" s="15" t="s">
        <v>522</v>
      </c>
    </row>
    <row r="344" spans="2:18">
      <c r="B344" s="15">
        <v>3</v>
      </c>
      <c r="C344" s="15" t="s">
        <v>516</v>
      </c>
      <c r="D344" s="15" t="s">
        <v>526</v>
      </c>
      <c r="E344" s="15">
        <v>10</v>
      </c>
      <c r="F344" s="15">
        <v>15</v>
      </c>
      <c r="G344" s="15">
        <v>75</v>
      </c>
      <c r="H344" s="15" t="s">
        <v>539</v>
      </c>
      <c r="I344" s="15" t="s">
        <v>3027</v>
      </c>
      <c r="J344" s="15" t="s">
        <v>3027</v>
      </c>
      <c r="K344" s="15" t="s">
        <v>3027</v>
      </c>
      <c r="L344" s="15" t="s">
        <v>3027</v>
      </c>
      <c r="M344" s="15" t="s">
        <v>3027</v>
      </c>
      <c r="N344" s="15" t="s">
        <v>3027</v>
      </c>
      <c r="O344" s="75"/>
      <c r="P344" s="15" t="s">
        <v>522</v>
      </c>
      <c r="Q344" s="75"/>
      <c r="R344" s="15" t="s">
        <v>522</v>
      </c>
    </row>
    <row r="345" spans="2:18">
      <c r="B345" s="15">
        <v>3</v>
      </c>
      <c r="C345" s="15" t="s">
        <v>516</v>
      </c>
      <c r="D345" s="15" t="s">
        <v>526</v>
      </c>
      <c r="E345" s="15">
        <v>11</v>
      </c>
      <c r="F345" s="15">
        <v>15</v>
      </c>
      <c r="G345" s="15">
        <v>74</v>
      </c>
      <c r="H345" s="15" t="s">
        <v>539</v>
      </c>
      <c r="I345" s="15" t="s">
        <v>3027</v>
      </c>
      <c r="J345" s="15" t="s">
        <v>3027</v>
      </c>
      <c r="K345" s="15" t="s">
        <v>3027</v>
      </c>
      <c r="L345" s="15" t="s">
        <v>3027</v>
      </c>
      <c r="M345" s="15" t="s">
        <v>3027</v>
      </c>
      <c r="N345" s="15" t="s">
        <v>3027</v>
      </c>
      <c r="O345" s="75"/>
      <c r="P345" s="15" t="s">
        <v>522</v>
      </c>
      <c r="Q345" s="75"/>
      <c r="R345" s="15" t="s">
        <v>522</v>
      </c>
    </row>
    <row r="346" spans="2:18">
      <c r="B346" s="15">
        <v>3</v>
      </c>
      <c r="C346" s="15" t="s">
        <v>516</v>
      </c>
      <c r="D346" s="15" t="s">
        <v>526</v>
      </c>
      <c r="E346" s="15">
        <v>12</v>
      </c>
      <c r="F346" s="15">
        <v>15</v>
      </c>
      <c r="G346" s="15">
        <v>73</v>
      </c>
      <c r="H346" s="15" t="s">
        <v>539</v>
      </c>
      <c r="I346" s="15" t="s">
        <v>3027</v>
      </c>
      <c r="J346" s="15" t="s">
        <v>3027</v>
      </c>
      <c r="K346" s="15" t="s">
        <v>3027</v>
      </c>
      <c r="L346" s="15" t="s">
        <v>3027</v>
      </c>
      <c r="M346" s="15" t="s">
        <v>3027</v>
      </c>
      <c r="N346" s="15" t="s">
        <v>3027</v>
      </c>
      <c r="O346" s="75"/>
      <c r="P346" s="15" t="s">
        <v>522</v>
      </c>
      <c r="Q346" s="75"/>
      <c r="R346" s="15" t="s">
        <v>522</v>
      </c>
    </row>
    <row r="347" spans="2:18">
      <c r="B347" s="15">
        <v>3</v>
      </c>
      <c r="C347" s="15" t="s">
        <v>516</v>
      </c>
      <c r="D347" s="15" t="s">
        <v>526</v>
      </c>
      <c r="E347" s="15">
        <v>13</v>
      </c>
      <c r="F347" s="15">
        <v>15</v>
      </c>
      <c r="G347" s="15">
        <v>72</v>
      </c>
      <c r="H347" s="15" t="s">
        <v>539</v>
      </c>
      <c r="I347" s="15" t="s">
        <v>3027</v>
      </c>
      <c r="J347" s="15" t="s">
        <v>3027</v>
      </c>
      <c r="K347" s="15" t="s">
        <v>3027</v>
      </c>
      <c r="L347" s="15" t="s">
        <v>3027</v>
      </c>
      <c r="M347" s="15" t="s">
        <v>3027</v>
      </c>
      <c r="N347" s="15" t="s">
        <v>3027</v>
      </c>
      <c r="O347" s="75"/>
      <c r="P347" s="15" t="s">
        <v>522</v>
      </c>
      <c r="Q347" s="75"/>
      <c r="R347" s="15" t="s">
        <v>522</v>
      </c>
    </row>
    <row r="348" spans="2:18">
      <c r="B348" s="15">
        <v>3</v>
      </c>
      <c r="C348" s="15" t="s">
        <v>516</v>
      </c>
      <c r="D348" s="15" t="s">
        <v>526</v>
      </c>
      <c r="E348" s="15">
        <v>14</v>
      </c>
      <c r="F348" s="15">
        <v>15</v>
      </c>
      <c r="G348" s="15">
        <v>71</v>
      </c>
      <c r="H348" s="15" t="s">
        <v>539</v>
      </c>
      <c r="I348" s="15" t="s">
        <v>3027</v>
      </c>
      <c r="J348" s="15" t="s">
        <v>3027</v>
      </c>
      <c r="K348" s="15" t="s">
        <v>3027</v>
      </c>
      <c r="L348" s="15" t="s">
        <v>3027</v>
      </c>
      <c r="M348" s="15" t="s">
        <v>3027</v>
      </c>
      <c r="N348" s="15" t="s">
        <v>3027</v>
      </c>
      <c r="O348" s="75"/>
      <c r="P348" s="15" t="s">
        <v>522</v>
      </c>
      <c r="Q348" s="75"/>
      <c r="R348" s="15" t="s">
        <v>522</v>
      </c>
    </row>
    <row r="349" spans="2:18">
      <c r="B349" s="15">
        <v>3</v>
      </c>
      <c r="C349" s="15" t="s">
        <v>516</v>
      </c>
      <c r="D349" s="15" t="s">
        <v>526</v>
      </c>
      <c r="E349" s="15">
        <v>15</v>
      </c>
      <c r="F349" s="15">
        <v>15</v>
      </c>
      <c r="G349" s="15">
        <v>70</v>
      </c>
      <c r="H349" s="15" t="s">
        <v>539</v>
      </c>
      <c r="I349" s="15" t="s">
        <v>3027</v>
      </c>
      <c r="J349" s="15" t="s">
        <v>3027</v>
      </c>
      <c r="K349" s="15" t="s">
        <v>3027</v>
      </c>
      <c r="L349" s="15" t="s">
        <v>3027</v>
      </c>
      <c r="M349" s="15" t="s">
        <v>3027</v>
      </c>
      <c r="N349" s="15" t="s">
        <v>3027</v>
      </c>
      <c r="O349" s="75"/>
      <c r="P349" s="15" t="s">
        <v>522</v>
      </c>
      <c r="Q349" s="75"/>
      <c r="R349" s="15" t="s">
        <v>522</v>
      </c>
    </row>
    <row r="350" spans="2:18">
      <c r="B350" s="15">
        <v>3</v>
      </c>
      <c r="C350" s="15" t="s">
        <v>516</v>
      </c>
      <c r="D350" s="15" t="s">
        <v>526</v>
      </c>
      <c r="E350" s="15">
        <v>16</v>
      </c>
      <c r="F350" s="15">
        <v>15</v>
      </c>
      <c r="G350" s="15">
        <v>69</v>
      </c>
      <c r="H350" s="15" t="s">
        <v>539</v>
      </c>
      <c r="I350" s="15" t="s">
        <v>3027</v>
      </c>
      <c r="J350" s="15" t="s">
        <v>3027</v>
      </c>
      <c r="K350" s="15" t="s">
        <v>3027</v>
      </c>
      <c r="L350" s="15" t="s">
        <v>3027</v>
      </c>
      <c r="M350" s="15" t="s">
        <v>3027</v>
      </c>
      <c r="N350" s="15" t="s">
        <v>3027</v>
      </c>
      <c r="O350" s="75"/>
      <c r="P350" s="15" t="s">
        <v>522</v>
      </c>
      <c r="Q350" s="75"/>
      <c r="R350" s="15" t="s">
        <v>522</v>
      </c>
    </row>
    <row r="351" spans="2:18">
      <c r="B351" s="15">
        <v>3</v>
      </c>
      <c r="C351" s="15" t="s">
        <v>516</v>
      </c>
      <c r="D351" s="15" t="s">
        <v>526</v>
      </c>
      <c r="E351" s="15">
        <v>17</v>
      </c>
      <c r="F351" s="15">
        <v>15</v>
      </c>
      <c r="G351" s="15">
        <v>68</v>
      </c>
      <c r="H351" s="15" t="s">
        <v>539</v>
      </c>
      <c r="I351" s="15" t="s">
        <v>3027</v>
      </c>
      <c r="J351" s="15" t="s">
        <v>3027</v>
      </c>
      <c r="K351" s="15" t="s">
        <v>3027</v>
      </c>
      <c r="L351" s="15" t="s">
        <v>3027</v>
      </c>
      <c r="M351" s="15" t="s">
        <v>3027</v>
      </c>
      <c r="N351" s="15" t="s">
        <v>3027</v>
      </c>
      <c r="O351" s="75"/>
      <c r="P351" s="15" t="s">
        <v>522</v>
      </c>
      <c r="Q351" s="75"/>
      <c r="R351" s="15" t="s">
        <v>522</v>
      </c>
    </row>
    <row r="352" spans="2:18">
      <c r="B352" s="15">
        <v>3</v>
      </c>
      <c r="C352" s="15" t="s">
        <v>516</v>
      </c>
      <c r="D352" s="15" t="s">
        <v>526</v>
      </c>
      <c r="E352" s="15">
        <v>18</v>
      </c>
      <c r="F352" s="15">
        <v>15</v>
      </c>
      <c r="G352" s="15">
        <v>67</v>
      </c>
      <c r="H352" s="15" t="s">
        <v>539</v>
      </c>
      <c r="I352" s="15" t="s">
        <v>3027</v>
      </c>
      <c r="J352" s="15" t="s">
        <v>3027</v>
      </c>
      <c r="K352" s="15" t="s">
        <v>3027</v>
      </c>
      <c r="L352" s="15" t="s">
        <v>3027</v>
      </c>
      <c r="M352" s="15" t="s">
        <v>3027</v>
      </c>
      <c r="N352" s="15" t="s">
        <v>3027</v>
      </c>
      <c r="O352" s="75"/>
      <c r="P352" s="15" t="s">
        <v>522</v>
      </c>
      <c r="Q352" s="75"/>
      <c r="R352" s="15" t="s">
        <v>522</v>
      </c>
    </row>
    <row r="353" spans="2:18">
      <c r="B353" s="15">
        <v>3</v>
      </c>
      <c r="C353" s="15" t="s">
        <v>516</v>
      </c>
      <c r="D353" s="15" t="s">
        <v>526</v>
      </c>
      <c r="E353" s="15">
        <v>19</v>
      </c>
      <c r="F353" s="15">
        <v>15</v>
      </c>
      <c r="G353" s="15">
        <v>66</v>
      </c>
      <c r="H353" s="15" t="s">
        <v>539</v>
      </c>
      <c r="I353" s="15" t="s">
        <v>3027</v>
      </c>
      <c r="J353" s="15" t="s">
        <v>3027</v>
      </c>
      <c r="K353" s="15" t="s">
        <v>3027</v>
      </c>
      <c r="L353" s="15" t="s">
        <v>3027</v>
      </c>
      <c r="M353" s="15" t="s">
        <v>3027</v>
      </c>
      <c r="N353" s="15" t="s">
        <v>3027</v>
      </c>
      <c r="O353" s="75"/>
      <c r="P353" s="15" t="s">
        <v>522</v>
      </c>
      <c r="Q353" s="75"/>
      <c r="R353" s="15" t="s">
        <v>522</v>
      </c>
    </row>
    <row r="354" spans="2:18">
      <c r="B354" s="15">
        <v>3</v>
      </c>
      <c r="C354" s="15" t="s">
        <v>516</v>
      </c>
      <c r="D354" s="15" t="s">
        <v>526</v>
      </c>
      <c r="E354" s="15">
        <v>20</v>
      </c>
      <c r="F354" s="15">
        <v>15</v>
      </c>
      <c r="G354" s="15">
        <v>65</v>
      </c>
      <c r="H354" s="15" t="s">
        <v>539</v>
      </c>
      <c r="I354" s="15" t="s">
        <v>3027</v>
      </c>
      <c r="J354" s="15" t="s">
        <v>3027</v>
      </c>
      <c r="K354" s="15" t="s">
        <v>3027</v>
      </c>
      <c r="L354" s="15" t="s">
        <v>3027</v>
      </c>
      <c r="M354" s="15" t="s">
        <v>3027</v>
      </c>
      <c r="N354" s="15" t="s">
        <v>3027</v>
      </c>
      <c r="O354" s="75"/>
      <c r="P354" s="15" t="s">
        <v>522</v>
      </c>
      <c r="Q354" s="75"/>
      <c r="R354" s="15" t="s">
        <v>522</v>
      </c>
    </row>
    <row r="355" spans="2:18">
      <c r="B355" s="15">
        <v>3</v>
      </c>
      <c r="C355" s="15" t="s">
        <v>517</v>
      </c>
      <c r="D355" s="15" t="s">
        <v>526</v>
      </c>
      <c r="E355" s="15">
        <v>5</v>
      </c>
      <c r="F355" s="15">
        <v>15</v>
      </c>
      <c r="G355" s="15">
        <v>80</v>
      </c>
      <c r="H355" s="15" t="s">
        <v>539</v>
      </c>
      <c r="I355" s="15" t="s">
        <v>3027</v>
      </c>
      <c r="J355" s="15" t="s">
        <v>3027</v>
      </c>
      <c r="K355" s="15" t="s">
        <v>3027</v>
      </c>
      <c r="L355" s="15" t="s">
        <v>3027</v>
      </c>
      <c r="M355" s="15" t="s">
        <v>3027</v>
      </c>
      <c r="N355" s="15" t="s">
        <v>3027</v>
      </c>
      <c r="O355" s="75"/>
      <c r="P355" s="15" t="s">
        <v>522</v>
      </c>
      <c r="Q355" s="75"/>
      <c r="R355" s="15" t="s">
        <v>522</v>
      </c>
    </row>
    <row r="356" spans="2:18">
      <c r="B356" s="15">
        <v>3</v>
      </c>
      <c r="C356" s="15" t="s">
        <v>517</v>
      </c>
      <c r="D356" s="15" t="s">
        <v>526</v>
      </c>
      <c r="E356" s="15">
        <v>6</v>
      </c>
      <c r="F356" s="15">
        <v>15</v>
      </c>
      <c r="G356" s="15">
        <v>79</v>
      </c>
      <c r="H356" s="15" t="s">
        <v>539</v>
      </c>
      <c r="I356" s="15" t="s">
        <v>3027</v>
      </c>
      <c r="J356" s="15" t="s">
        <v>3027</v>
      </c>
      <c r="K356" s="15" t="s">
        <v>3027</v>
      </c>
      <c r="L356" s="15" t="s">
        <v>3027</v>
      </c>
      <c r="M356" s="15" t="s">
        <v>3027</v>
      </c>
      <c r="N356" s="15" t="s">
        <v>3027</v>
      </c>
      <c r="O356" s="75"/>
      <c r="P356" s="15" t="s">
        <v>522</v>
      </c>
      <c r="Q356" s="75"/>
      <c r="R356" s="15" t="s">
        <v>522</v>
      </c>
    </row>
    <row r="357" spans="2:18">
      <c r="B357" s="15">
        <v>3</v>
      </c>
      <c r="C357" s="15" t="s">
        <v>517</v>
      </c>
      <c r="D357" s="15" t="s">
        <v>526</v>
      </c>
      <c r="E357" s="15">
        <v>7</v>
      </c>
      <c r="F357" s="15">
        <v>15</v>
      </c>
      <c r="G357" s="15">
        <v>78</v>
      </c>
      <c r="H357" s="15" t="s">
        <v>539</v>
      </c>
      <c r="I357" s="15" t="s">
        <v>3027</v>
      </c>
      <c r="J357" s="15" t="s">
        <v>3027</v>
      </c>
      <c r="K357" s="15" t="s">
        <v>3027</v>
      </c>
      <c r="L357" s="15" t="s">
        <v>3027</v>
      </c>
      <c r="M357" s="15" t="s">
        <v>3027</v>
      </c>
      <c r="N357" s="15" t="s">
        <v>3027</v>
      </c>
      <c r="O357" s="75"/>
      <c r="P357" s="15" t="s">
        <v>522</v>
      </c>
      <c r="Q357" s="75"/>
      <c r="R357" s="15" t="s">
        <v>522</v>
      </c>
    </row>
    <row r="358" spans="2:18">
      <c r="B358" s="15">
        <v>3</v>
      </c>
      <c r="C358" s="15" t="s">
        <v>517</v>
      </c>
      <c r="D358" s="15" t="s">
        <v>526</v>
      </c>
      <c r="E358" s="15">
        <v>8</v>
      </c>
      <c r="F358" s="15">
        <v>15</v>
      </c>
      <c r="G358" s="15">
        <v>77</v>
      </c>
      <c r="H358" s="15" t="s">
        <v>539</v>
      </c>
      <c r="I358" s="15" t="s">
        <v>3027</v>
      </c>
      <c r="J358" s="15" t="s">
        <v>3027</v>
      </c>
      <c r="K358" s="15" t="s">
        <v>3027</v>
      </c>
      <c r="L358" s="15" t="s">
        <v>3027</v>
      </c>
      <c r="M358" s="15" t="s">
        <v>3027</v>
      </c>
      <c r="N358" s="15" t="s">
        <v>3027</v>
      </c>
      <c r="O358" s="75"/>
      <c r="P358" s="15" t="s">
        <v>522</v>
      </c>
      <c r="Q358" s="75"/>
      <c r="R358" s="15" t="s">
        <v>522</v>
      </c>
    </row>
    <row r="359" spans="2:18">
      <c r="B359" s="15">
        <v>3</v>
      </c>
      <c r="C359" s="15" t="s">
        <v>517</v>
      </c>
      <c r="D359" s="15" t="s">
        <v>526</v>
      </c>
      <c r="E359" s="15">
        <v>9</v>
      </c>
      <c r="F359" s="15">
        <v>15</v>
      </c>
      <c r="G359" s="15">
        <v>76</v>
      </c>
      <c r="H359" s="15" t="s">
        <v>539</v>
      </c>
      <c r="I359" s="15" t="s">
        <v>3027</v>
      </c>
      <c r="J359" s="15" t="s">
        <v>3027</v>
      </c>
      <c r="K359" s="15" t="s">
        <v>3027</v>
      </c>
      <c r="L359" s="15" t="s">
        <v>3027</v>
      </c>
      <c r="M359" s="15" t="s">
        <v>3027</v>
      </c>
      <c r="N359" s="15" t="s">
        <v>3027</v>
      </c>
      <c r="O359" s="75"/>
      <c r="P359" s="15" t="s">
        <v>522</v>
      </c>
      <c r="Q359" s="75"/>
      <c r="R359" s="15" t="s">
        <v>522</v>
      </c>
    </row>
    <row r="360" spans="2:18">
      <c r="B360" s="15">
        <v>3</v>
      </c>
      <c r="C360" s="15" t="s">
        <v>517</v>
      </c>
      <c r="D360" s="15" t="s">
        <v>526</v>
      </c>
      <c r="E360" s="15">
        <v>10</v>
      </c>
      <c r="F360" s="15">
        <v>15</v>
      </c>
      <c r="G360" s="15">
        <v>75</v>
      </c>
      <c r="H360" s="15" t="s">
        <v>539</v>
      </c>
      <c r="I360" s="15" t="s">
        <v>3027</v>
      </c>
      <c r="J360" s="15" t="s">
        <v>3027</v>
      </c>
      <c r="K360" s="15" t="s">
        <v>3027</v>
      </c>
      <c r="L360" s="15" t="s">
        <v>3027</v>
      </c>
      <c r="M360" s="15" t="s">
        <v>3027</v>
      </c>
      <c r="N360" s="15" t="s">
        <v>3027</v>
      </c>
      <c r="O360" s="75"/>
      <c r="P360" s="15" t="s">
        <v>522</v>
      </c>
      <c r="Q360" s="75"/>
      <c r="R360" s="15" t="s">
        <v>522</v>
      </c>
    </row>
    <row r="361" spans="2:18">
      <c r="B361" s="15">
        <v>3</v>
      </c>
      <c r="C361" s="15" t="s">
        <v>517</v>
      </c>
      <c r="D361" s="15" t="s">
        <v>526</v>
      </c>
      <c r="E361" s="15">
        <v>11</v>
      </c>
      <c r="F361" s="15">
        <v>15</v>
      </c>
      <c r="G361" s="15">
        <v>74</v>
      </c>
      <c r="H361" s="15" t="s">
        <v>539</v>
      </c>
      <c r="I361" s="15" t="s">
        <v>3027</v>
      </c>
      <c r="J361" s="15" t="s">
        <v>3027</v>
      </c>
      <c r="K361" s="15" t="s">
        <v>3027</v>
      </c>
      <c r="L361" s="15" t="s">
        <v>3027</v>
      </c>
      <c r="M361" s="15" t="s">
        <v>3027</v>
      </c>
      <c r="N361" s="15" t="s">
        <v>3027</v>
      </c>
      <c r="O361" s="75"/>
      <c r="P361" s="15" t="s">
        <v>522</v>
      </c>
      <c r="Q361" s="75"/>
      <c r="R361" s="15" t="s">
        <v>522</v>
      </c>
    </row>
    <row r="362" spans="2:18">
      <c r="B362" s="15">
        <v>3</v>
      </c>
      <c r="C362" s="15" t="s">
        <v>517</v>
      </c>
      <c r="D362" s="15" t="s">
        <v>526</v>
      </c>
      <c r="E362" s="15">
        <v>12</v>
      </c>
      <c r="F362" s="15">
        <v>15</v>
      </c>
      <c r="G362" s="15">
        <v>73</v>
      </c>
      <c r="H362" s="15" t="s">
        <v>539</v>
      </c>
      <c r="I362" s="15" t="s">
        <v>3027</v>
      </c>
      <c r="J362" s="15" t="s">
        <v>3027</v>
      </c>
      <c r="K362" s="15" t="s">
        <v>3027</v>
      </c>
      <c r="L362" s="15" t="s">
        <v>3027</v>
      </c>
      <c r="M362" s="15" t="s">
        <v>3027</v>
      </c>
      <c r="N362" s="15" t="s">
        <v>3027</v>
      </c>
      <c r="O362" s="75"/>
      <c r="P362" s="15" t="s">
        <v>522</v>
      </c>
      <c r="Q362" s="75"/>
      <c r="R362" s="15" t="s">
        <v>522</v>
      </c>
    </row>
    <row r="363" spans="2:18">
      <c r="B363" s="15">
        <v>3</v>
      </c>
      <c r="C363" s="15" t="s">
        <v>517</v>
      </c>
      <c r="D363" s="15" t="s">
        <v>526</v>
      </c>
      <c r="E363" s="15">
        <v>13</v>
      </c>
      <c r="F363" s="15">
        <v>15</v>
      </c>
      <c r="G363" s="15">
        <v>72</v>
      </c>
      <c r="H363" s="15" t="s">
        <v>539</v>
      </c>
      <c r="I363" s="15" t="s">
        <v>3027</v>
      </c>
      <c r="J363" s="15" t="s">
        <v>3027</v>
      </c>
      <c r="K363" s="15" t="s">
        <v>3027</v>
      </c>
      <c r="L363" s="15" t="s">
        <v>3027</v>
      </c>
      <c r="M363" s="15" t="s">
        <v>3027</v>
      </c>
      <c r="N363" s="15" t="s">
        <v>3027</v>
      </c>
      <c r="O363" s="75"/>
      <c r="P363" s="15" t="s">
        <v>522</v>
      </c>
      <c r="Q363" s="75"/>
      <c r="R363" s="15" t="s">
        <v>522</v>
      </c>
    </row>
    <row r="364" spans="2:18">
      <c r="B364" s="15">
        <v>3</v>
      </c>
      <c r="C364" s="15" t="s">
        <v>517</v>
      </c>
      <c r="D364" s="15" t="s">
        <v>526</v>
      </c>
      <c r="E364" s="15">
        <v>14</v>
      </c>
      <c r="F364" s="15">
        <v>15</v>
      </c>
      <c r="G364" s="15">
        <v>71</v>
      </c>
      <c r="H364" s="15" t="s">
        <v>539</v>
      </c>
      <c r="I364" s="15" t="s">
        <v>3027</v>
      </c>
      <c r="J364" s="15" t="s">
        <v>3027</v>
      </c>
      <c r="K364" s="15" t="s">
        <v>3027</v>
      </c>
      <c r="L364" s="15" t="s">
        <v>3027</v>
      </c>
      <c r="M364" s="15" t="s">
        <v>3027</v>
      </c>
      <c r="N364" s="15" t="s">
        <v>3027</v>
      </c>
      <c r="O364" s="75"/>
      <c r="P364" s="15" t="s">
        <v>522</v>
      </c>
      <c r="Q364" s="75"/>
      <c r="R364" s="15" t="s">
        <v>522</v>
      </c>
    </row>
    <row r="365" spans="2:18">
      <c r="B365" s="15">
        <v>3</v>
      </c>
      <c r="C365" s="15" t="s">
        <v>517</v>
      </c>
      <c r="D365" s="15" t="s">
        <v>526</v>
      </c>
      <c r="E365" s="15">
        <v>15</v>
      </c>
      <c r="F365" s="15">
        <v>15</v>
      </c>
      <c r="G365" s="15">
        <v>70</v>
      </c>
      <c r="H365" s="15" t="s">
        <v>539</v>
      </c>
      <c r="I365" s="15" t="s">
        <v>3027</v>
      </c>
      <c r="J365" s="15" t="s">
        <v>3027</v>
      </c>
      <c r="K365" s="15" t="s">
        <v>3027</v>
      </c>
      <c r="L365" s="15" t="s">
        <v>3027</v>
      </c>
      <c r="M365" s="15" t="s">
        <v>3027</v>
      </c>
      <c r="N365" s="15" t="s">
        <v>3027</v>
      </c>
      <c r="O365" s="75"/>
      <c r="P365" s="15" t="s">
        <v>522</v>
      </c>
      <c r="Q365" s="75"/>
      <c r="R365" s="15" t="s">
        <v>522</v>
      </c>
    </row>
    <row r="366" spans="2:18">
      <c r="B366" s="15">
        <v>3</v>
      </c>
      <c r="C366" s="15" t="s">
        <v>517</v>
      </c>
      <c r="D366" s="15" t="s">
        <v>526</v>
      </c>
      <c r="E366" s="15">
        <v>16</v>
      </c>
      <c r="F366" s="15">
        <v>15</v>
      </c>
      <c r="G366" s="15">
        <v>69</v>
      </c>
      <c r="H366" s="15" t="s">
        <v>539</v>
      </c>
      <c r="I366" s="15" t="s">
        <v>3027</v>
      </c>
      <c r="J366" s="15" t="s">
        <v>3027</v>
      </c>
      <c r="K366" s="15" t="s">
        <v>3027</v>
      </c>
      <c r="L366" s="15" t="s">
        <v>3027</v>
      </c>
      <c r="M366" s="15" t="s">
        <v>3027</v>
      </c>
      <c r="N366" s="15" t="s">
        <v>3027</v>
      </c>
      <c r="O366" s="75"/>
      <c r="P366" s="15" t="s">
        <v>522</v>
      </c>
      <c r="Q366" s="75"/>
      <c r="R366" s="15" t="s">
        <v>522</v>
      </c>
    </row>
    <row r="367" spans="2:18">
      <c r="B367" s="15">
        <v>3</v>
      </c>
      <c r="C367" s="15" t="s">
        <v>517</v>
      </c>
      <c r="D367" s="15" t="s">
        <v>526</v>
      </c>
      <c r="E367" s="15">
        <v>17</v>
      </c>
      <c r="F367" s="15">
        <v>15</v>
      </c>
      <c r="G367" s="15">
        <v>68</v>
      </c>
      <c r="H367" s="15" t="s">
        <v>539</v>
      </c>
      <c r="I367" s="15" t="s">
        <v>3027</v>
      </c>
      <c r="J367" s="15" t="s">
        <v>3027</v>
      </c>
      <c r="K367" s="15" t="s">
        <v>3027</v>
      </c>
      <c r="L367" s="15" t="s">
        <v>3027</v>
      </c>
      <c r="M367" s="15" t="s">
        <v>3027</v>
      </c>
      <c r="N367" s="15" t="s">
        <v>3027</v>
      </c>
      <c r="O367" s="75"/>
      <c r="P367" s="15" t="s">
        <v>522</v>
      </c>
      <c r="Q367" s="75"/>
      <c r="R367" s="15" t="s">
        <v>522</v>
      </c>
    </row>
    <row r="368" spans="2:18">
      <c r="B368" s="15">
        <v>3</v>
      </c>
      <c r="C368" s="15" t="s">
        <v>517</v>
      </c>
      <c r="D368" s="15" t="s">
        <v>526</v>
      </c>
      <c r="E368" s="15">
        <v>18</v>
      </c>
      <c r="F368" s="15">
        <v>15</v>
      </c>
      <c r="G368" s="15">
        <v>67</v>
      </c>
      <c r="H368" s="15" t="s">
        <v>539</v>
      </c>
      <c r="I368" s="15" t="s">
        <v>3027</v>
      </c>
      <c r="J368" s="15" t="s">
        <v>3027</v>
      </c>
      <c r="K368" s="15" t="s">
        <v>3027</v>
      </c>
      <c r="L368" s="15" t="s">
        <v>3027</v>
      </c>
      <c r="M368" s="15" t="s">
        <v>3027</v>
      </c>
      <c r="N368" s="15" t="s">
        <v>3027</v>
      </c>
      <c r="O368" s="75"/>
      <c r="P368" s="15" t="s">
        <v>522</v>
      </c>
      <c r="Q368" s="75"/>
      <c r="R368" s="15" t="s">
        <v>522</v>
      </c>
    </row>
    <row r="369" spans="2:18">
      <c r="B369" s="15">
        <v>3</v>
      </c>
      <c r="C369" s="15" t="s">
        <v>517</v>
      </c>
      <c r="D369" s="15" t="s">
        <v>526</v>
      </c>
      <c r="E369" s="15">
        <v>19</v>
      </c>
      <c r="F369" s="15">
        <v>15</v>
      </c>
      <c r="G369" s="15">
        <v>66</v>
      </c>
      <c r="H369" s="15" t="s">
        <v>539</v>
      </c>
      <c r="I369" s="15" t="s">
        <v>3027</v>
      </c>
      <c r="J369" s="15" t="s">
        <v>3027</v>
      </c>
      <c r="K369" s="15" t="s">
        <v>3027</v>
      </c>
      <c r="L369" s="15" t="s">
        <v>3027</v>
      </c>
      <c r="M369" s="15" t="s">
        <v>3027</v>
      </c>
      <c r="N369" s="15" t="s">
        <v>3027</v>
      </c>
      <c r="O369" s="75"/>
      <c r="P369" s="15" t="s">
        <v>522</v>
      </c>
      <c r="Q369" s="75"/>
      <c r="R369" s="15" t="s">
        <v>522</v>
      </c>
    </row>
    <row r="370" spans="2:18">
      <c r="B370" s="15">
        <v>3</v>
      </c>
      <c r="C370" s="15" t="s">
        <v>517</v>
      </c>
      <c r="D370" s="15" t="s">
        <v>526</v>
      </c>
      <c r="E370" s="15">
        <v>20</v>
      </c>
      <c r="F370" s="15">
        <v>15</v>
      </c>
      <c r="G370" s="15">
        <v>65</v>
      </c>
      <c r="H370" s="15" t="s">
        <v>539</v>
      </c>
      <c r="I370" s="15" t="s">
        <v>3027</v>
      </c>
      <c r="J370" s="15" t="s">
        <v>3027</v>
      </c>
      <c r="K370" s="15" t="s">
        <v>3027</v>
      </c>
      <c r="L370" s="15" t="s">
        <v>3027</v>
      </c>
      <c r="M370" s="15" t="s">
        <v>3027</v>
      </c>
      <c r="N370" s="15" t="s">
        <v>3027</v>
      </c>
      <c r="O370" s="75"/>
      <c r="P370" s="15" t="s">
        <v>522</v>
      </c>
      <c r="Q370" s="75"/>
      <c r="R370" s="15" t="s">
        <v>522</v>
      </c>
    </row>
    <row r="371" spans="2:18">
      <c r="B371" s="15">
        <v>4</v>
      </c>
      <c r="C371" s="15" t="s">
        <v>176</v>
      </c>
      <c r="D371" s="15" t="s">
        <v>526</v>
      </c>
      <c r="E371" s="15">
        <v>10</v>
      </c>
      <c r="F371" s="15">
        <v>0</v>
      </c>
      <c r="G371" s="15">
        <v>65</v>
      </c>
      <c r="H371" s="15" t="s">
        <v>534</v>
      </c>
      <c r="I371" s="15" t="s">
        <v>3027</v>
      </c>
      <c r="J371" s="15" t="s">
        <v>3027</v>
      </c>
      <c r="K371" s="15" t="s">
        <v>3027</v>
      </c>
      <c r="L371" s="15" t="s">
        <v>3027</v>
      </c>
      <c r="M371" s="15" t="s">
        <v>3027</v>
      </c>
      <c r="N371" s="15" t="s">
        <v>3027</v>
      </c>
      <c r="O371" s="75"/>
      <c r="P371" s="15" t="s">
        <v>522</v>
      </c>
      <c r="Q371" s="75"/>
      <c r="R371" s="15" t="s">
        <v>522</v>
      </c>
    </row>
    <row r="372" spans="2:18">
      <c r="B372" s="15">
        <v>4</v>
      </c>
      <c r="C372" s="15" t="s">
        <v>176</v>
      </c>
      <c r="D372" s="15" t="s">
        <v>526</v>
      </c>
      <c r="E372" s="15">
        <v>15</v>
      </c>
      <c r="F372" s="15">
        <v>0</v>
      </c>
      <c r="G372" s="15">
        <v>60</v>
      </c>
      <c r="H372" s="15" t="s">
        <v>534</v>
      </c>
      <c r="I372" s="15" t="s">
        <v>3027</v>
      </c>
      <c r="J372" s="15" t="s">
        <v>3027</v>
      </c>
      <c r="K372" s="15" t="s">
        <v>3027</v>
      </c>
      <c r="L372" s="15" t="s">
        <v>3027</v>
      </c>
      <c r="M372" s="15" t="s">
        <v>3027</v>
      </c>
      <c r="N372" s="15" t="s">
        <v>3027</v>
      </c>
      <c r="O372" s="75"/>
      <c r="P372" s="15" t="s">
        <v>522</v>
      </c>
      <c r="Q372" s="75"/>
      <c r="R372" s="15" t="s">
        <v>522</v>
      </c>
    </row>
    <row r="373" spans="2:18">
      <c r="B373" s="15">
        <v>4</v>
      </c>
      <c r="C373" s="15" t="s">
        <v>176</v>
      </c>
      <c r="D373" s="15" t="s">
        <v>526</v>
      </c>
      <c r="E373" s="15">
        <v>20</v>
      </c>
      <c r="F373" s="15">
        <v>0</v>
      </c>
      <c r="G373" s="15">
        <v>55</v>
      </c>
      <c r="H373" s="15" t="s">
        <v>534</v>
      </c>
      <c r="I373" s="15" t="s">
        <v>3027</v>
      </c>
      <c r="J373" s="15" t="s">
        <v>3027</v>
      </c>
      <c r="K373" s="15" t="s">
        <v>3027</v>
      </c>
      <c r="L373" s="15" t="s">
        <v>3027</v>
      </c>
      <c r="M373" s="15" t="s">
        <v>3027</v>
      </c>
      <c r="N373" s="15" t="s">
        <v>3027</v>
      </c>
      <c r="O373" s="75"/>
      <c r="P373" s="15" t="s">
        <v>522</v>
      </c>
      <c r="Q373" s="75"/>
      <c r="R373" s="15" t="s">
        <v>522</v>
      </c>
    </row>
    <row r="374" spans="2:18">
      <c r="B374" s="15">
        <v>4</v>
      </c>
      <c r="C374" s="15" t="s">
        <v>177</v>
      </c>
      <c r="D374" s="15" t="s">
        <v>526</v>
      </c>
      <c r="E374" s="15">
        <v>10</v>
      </c>
      <c r="F374" s="15">
        <v>0</v>
      </c>
      <c r="G374" s="15">
        <v>65</v>
      </c>
      <c r="H374" s="15" t="s">
        <v>534</v>
      </c>
      <c r="I374" s="15">
        <v>0</v>
      </c>
      <c r="J374" s="15">
        <v>65</v>
      </c>
      <c r="K374" s="15" t="s">
        <v>534</v>
      </c>
      <c r="L374" s="15">
        <v>0</v>
      </c>
      <c r="M374" s="15">
        <v>65</v>
      </c>
      <c r="N374" s="15" t="s">
        <v>534</v>
      </c>
      <c r="O374" s="75"/>
      <c r="P374" s="15" t="s">
        <v>522</v>
      </c>
      <c r="Q374" s="75"/>
      <c r="R374" s="15" t="s">
        <v>522</v>
      </c>
    </row>
    <row r="375" spans="2:18">
      <c r="B375" s="15">
        <v>4</v>
      </c>
      <c r="C375" s="15" t="s">
        <v>177</v>
      </c>
      <c r="D375" s="15" t="s">
        <v>526</v>
      </c>
      <c r="E375" s="15">
        <v>15</v>
      </c>
      <c r="F375" s="15">
        <v>0</v>
      </c>
      <c r="G375" s="15">
        <v>65</v>
      </c>
      <c r="H375" s="15" t="s">
        <v>534</v>
      </c>
      <c r="I375" s="15">
        <v>0</v>
      </c>
      <c r="J375" s="15">
        <v>65</v>
      </c>
      <c r="K375" s="15" t="s">
        <v>534</v>
      </c>
      <c r="L375" s="15">
        <v>0</v>
      </c>
      <c r="M375" s="15">
        <v>65</v>
      </c>
      <c r="N375" s="15" t="s">
        <v>534</v>
      </c>
      <c r="O375" s="75"/>
      <c r="P375" s="15" t="s">
        <v>522</v>
      </c>
      <c r="Q375" s="75"/>
      <c r="R375" s="15" t="s">
        <v>522</v>
      </c>
    </row>
    <row r="376" spans="2:18">
      <c r="B376" s="15">
        <v>4</v>
      </c>
      <c r="C376" s="15" t="s">
        <v>177</v>
      </c>
      <c r="D376" s="15" t="s">
        <v>526</v>
      </c>
      <c r="E376" s="15">
        <v>20</v>
      </c>
      <c r="F376" s="15">
        <v>0</v>
      </c>
      <c r="G376" s="15">
        <v>60</v>
      </c>
      <c r="H376" s="15" t="s">
        <v>534</v>
      </c>
      <c r="I376" s="15">
        <v>0</v>
      </c>
      <c r="J376" s="15">
        <v>60</v>
      </c>
      <c r="K376" s="15" t="s">
        <v>534</v>
      </c>
      <c r="L376" s="15">
        <v>0</v>
      </c>
      <c r="M376" s="15">
        <v>60</v>
      </c>
      <c r="N376" s="15" t="s">
        <v>534</v>
      </c>
      <c r="O376" s="75"/>
      <c r="P376" s="15" t="s">
        <v>522</v>
      </c>
      <c r="Q376" s="75"/>
      <c r="R376" s="15" t="s">
        <v>522</v>
      </c>
    </row>
    <row r="377" spans="2:18">
      <c r="B377" s="15">
        <v>4</v>
      </c>
      <c r="C377" s="15" t="s">
        <v>510</v>
      </c>
      <c r="D377" s="15" t="s">
        <v>526</v>
      </c>
      <c r="E377" s="15">
        <v>10</v>
      </c>
      <c r="F377" s="15">
        <v>0</v>
      </c>
      <c r="G377" s="15">
        <v>55</v>
      </c>
      <c r="H377" s="15" t="s">
        <v>534</v>
      </c>
      <c r="I377" s="15" t="s">
        <v>3027</v>
      </c>
      <c r="J377" s="15" t="s">
        <v>3027</v>
      </c>
      <c r="K377" s="15" t="s">
        <v>3027</v>
      </c>
      <c r="L377" s="15" t="s">
        <v>3027</v>
      </c>
      <c r="M377" s="15" t="s">
        <v>3027</v>
      </c>
      <c r="N377" s="15" t="s">
        <v>3027</v>
      </c>
      <c r="O377" s="75"/>
      <c r="P377" s="15" t="s">
        <v>522</v>
      </c>
      <c r="Q377" s="75"/>
      <c r="R377" s="15" t="s">
        <v>522</v>
      </c>
    </row>
    <row r="378" spans="2:18">
      <c r="B378" s="15">
        <v>4</v>
      </c>
      <c r="C378" s="15" t="s">
        <v>510</v>
      </c>
      <c r="D378" s="15" t="s">
        <v>526</v>
      </c>
      <c r="E378" s="15">
        <v>20</v>
      </c>
      <c r="F378" s="15">
        <v>0</v>
      </c>
      <c r="G378" s="15">
        <v>50</v>
      </c>
      <c r="H378" s="15" t="s">
        <v>534</v>
      </c>
      <c r="I378" s="15" t="s">
        <v>3027</v>
      </c>
      <c r="J378" s="15" t="s">
        <v>3027</v>
      </c>
      <c r="K378" s="15" t="s">
        <v>3027</v>
      </c>
      <c r="L378" s="15" t="s">
        <v>3027</v>
      </c>
      <c r="M378" s="15" t="s">
        <v>3027</v>
      </c>
      <c r="N378" s="15" t="s">
        <v>3027</v>
      </c>
      <c r="O378" s="75"/>
      <c r="P378" s="15" t="s">
        <v>522</v>
      </c>
      <c r="Q378" s="75"/>
      <c r="R378" s="15" t="s">
        <v>522</v>
      </c>
    </row>
    <row r="379" spans="2:18">
      <c r="B379" s="15">
        <v>4</v>
      </c>
      <c r="C379" s="15" t="s">
        <v>507</v>
      </c>
      <c r="D379" s="15" t="s">
        <v>526</v>
      </c>
      <c r="E379" s="15">
        <v>1</v>
      </c>
      <c r="F379" s="15">
        <v>0</v>
      </c>
      <c r="G379" s="15">
        <v>70</v>
      </c>
      <c r="H379" s="15" t="s">
        <v>534</v>
      </c>
      <c r="I379" s="15">
        <v>14</v>
      </c>
      <c r="J379" s="15">
        <v>70</v>
      </c>
      <c r="K379" s="15" t="s">
        <v>539</v>
      </c>
      <c r="L379" s="15">
        <v>0</v>
      </c>
      <c r="M379" s="15">
        <v>23</v>
      </c>
      <c r="N379" s="15" t="s">
        <v>534</v>
      </c>
      <c r="O379" s="75"/>
      <c r="P379" s="15" t="s">
        <v>522</v>
      </c>
      <c r="Q379" s="75"/>
      <c r="R379" s="15" t="s">
        <v>522</v>
      </c>
    </row>
    <row r="380" spans="2:18">
      <c r="B380" s="15">
        <v>4</v>
      </c>
      <c r="C380" s="15" t="s">
        <v>508</v>
      </c>
      <c r="D380" s="15" t="s">
        <v>526</v>
      </c>
      <c r="E380" s="15">
        <v>1</v>
      </c>
      <c r="F380" s="15">
        <v>0</v>
      </c>
      <c r="G380" s="15">
        <v>65</v>
      </c>
      <c r="H380" s="15" t="s">
        <v>534</v>
      </c>
      <c r="I380" s="15">
        <v>0</v>
      </c>
      <c r="J380" s="15">
        <v>65</v>
      </c>
      <c r="K380" s="15" t="s">
        <v>534</v>
      </c>
      <c r="L380" s="15">
        <v>0</v>
      </c>
      <c r="M380" s="15">
        <v>20</v>
      </c>
      <c r="N380" s="15" t="s">
        <v>534</v>
      </c>
      <c r="O380" s="75"/>
      <c r="P380" s="15" t="s">
        <v>522</v>
      </c>
      <c r="Q380" s="75"/>
      <c r="R380" s="15" t="s">
        <v>522</v>
      </c>
    </row>
    <row r="381" spans="2:18">
      <c r="B381" s="15">
        <v>4</v>
      </c>
      <c r="C381" s="15" t="s">
        <v>511</v>
      </c>
      <c r="D381" s="15" t="s">
        <v>526</v>
      </c>
      <c r="E381" s="15">
        <v>10</v>
      </c>
      <c r="F381" s="15">
        <v>0</v>
      </c>
      <c r="G381" s="15">
        <v>70</v>
      </c>
      <c r="H381" s="15" t="s">
        <v>534</v>
      </c>
      <c r="I381" s="15" t="s">
        <v>3027</v>
      </c>
      <c r="J381" s="15" t="s">
        <v>3027</v>
      </c>
      <c r="K381" s="15" t="s">
        <v>3027</v>
      </c>
      <c r="L381" s="15" t="s">
        <v>3027</v>
      </c>
      <c r="M381" s="15" t="s">
        <v>3027</v>
      </c>
      <c r="N381" s="15" t="s">
        <v>3027</v>
      </c>
      <c r="O381" s="75"/>
      <c r="P381" s="15" t="s">
        <v>522</v>
      </c>
      <c r="Q381" s="75"/>
      <c r="R381" s="15" t="s">
        <v>522</v>
      </c>
    </row>
    <row r="382" spans="2:18">
      <c r="B382" s="15">
        <v>4</v>
      </c>
      <c r="C382" s="15" t="s">
        <v>511</v>
      </c>
      <c r="D382" s="15" t="s">
        <v>526</v>
      </c>
      <c r="E382" s="15">
        <v>20</v>
      </c>
      <c r="F382" s="15">
        <v>0</v>
      </c>
      <c r="G382" s="15">
        <v>60</v>
      </c>
      <c r="H382" s="15" t="s">
        <v>534</v>
      </c>
      <c r="I382" s="15" t="s">
        <v>3027</v>
      </c>
      <c r="J382" s="15" t="s">
        <v>3027</v>
      </c>
      <c r="K382" s="15" t="s">
        <v>3027</v>
      </c>
      <c r="L382" s="15" t="s">
        <v>3027</v>
      </c>
      <c r="M382" s="15" t="s">
        <v>3027</v>
      </c>
      <c r="N382" s="15" t="s">
        <v>3027</v>
      </c>
      <c r="O382" s="75"/>
      <c r="P382" s="15" t="s">
        <v>522</v>
      </c>
      <c r="Q382" s="75"/>
      <c r="R382" s="15" t="s">
        <v>522</v>
      </c>
    </row>
    <row r="383" spans="2:18">
      <c r="B383" s="15">
        <v>4</v>
      </c>
      <c r="C383" s="15" t="s">
        <v>511</v>
      </c>
      <c r="D383" s="15" t="s">
        <v>526</v>
      </c>
      <c r="E383" s="15">
        <v>30</v>
      </c>
      <c r="F383" s="15">
        <v>0</v>
      </c>
      <c r="G383" s="15">
        <v>50</v>
      </c>
      <c r="H383" s="15" t="s">
        <v>534</v>
      </c>
      <c r="I383" s="15" t="s">
        <v>3027</v>
      </c>
      <c r="J383" s="15" t="s">
        <v>3027</v>
      </c>
      <c r="K383" s="15" t="s">
        <v>3027</v>
      </c>
      <c r="L383" s="15" t="s">
        <v>3027</v>
      </c>
      <c r="M383" s="15" t="s">
        <v>3027</v>
      </c>
      <c r="N383" s="15" t="s">
        <v>3027</v>
      </c>
      <c r="O383" s="75"/>
      <c r="P383" s="15" t="s">
        <v>522</v>
      </c>
      <c r="Q383" s="75"/>
      <c r="R383" s="15" t="s">
        <v>522</v>
      </c>
    </row>
    <row r="384" spans="2:18">
      <c r="B384" s="15">
        <v>4</v>
      </c>
      <c r="C384" s="15" t="s">
        <v>509</v>
      </c>
      <c r="D384" s="15" t="s">
        <v>526</v>
      </c>
      <c r="E384" s="15">
        <v>1</v>
      </c>
      <c r="F384" s="15">
        <v>0</v>
      </c>
      <c r="G384" s="15">
        <v>65</v>
      </c>
      <c r="H384" s="15" t="s">
        <v>534</v>
      </c>
      <c r="I384" s="15">
        <v>0</v>
      </c>
      <c r="J384" s="15">
        <v>65</v>
      </c>
      <c r="K384" s="15" t="s">
        <v>534</v>
      </c>
      <c r="L384" s="15">
        <v>0</v>
      </c>
      <c r="M384" s="15">
        <v>20</v>
      </c>
      <c r="N384" s="15" t="s">
        <v>534</v>
      </c>
      <c r="O384" s="75"/>
      <c r="P384" s="15" t="s">
        <v>522</v>
      </c>
      <c r="Q384" s="75"/>
      <c r="R384" s="15" t="s">
        <v>522</v>
      </c>
    </row>
    <row r="385" spans="2:18">
      <c r="B385" s="15">
        <v>4</v>
      </c>
      <c r="C385" s="15" t="s">
        <v>518</v>
      </c>
      <c r="D385" s="15" t="s">
        <v>526</v>
      </c>
      <c r="E385" s="15">
        <v>10</v>
      </c>
      <c r="F385" s="15">
        <v>0</v>
      </c>
      <c r="G385" s="15">
        <v>70</v>
      </c>
      <c r="H385" s="15" t="s">
        <v>534</v>
      </c>
      <c r="I385" s="15" t="s">
        <v>3027</v>
      </c>
      <c r="J385" s="15" t="s">
        <v>3027</v>
      </c>
      <c r="K385" s="15" t="s">
        <v>3027</v>
      </c>
      <c r="L385" s="15" t="s">
        <v>3027</v>
      </c>
      <c r="M385" s="15" t="s">
        <v>3027</v>
      </c>
      <c r="N385" s="15" t="s">
        <v>3027</v>
      </c>
      <c r="O385" s="75"/>
      <c r="P385" s="15" t="s">
        <v>522</v>
      </c>
      <c r="Q385" s="75"/>
      <c r="R385" s="15" t="s">
        <v>522</v>
      </c>
    </row>
    <row r="386" spans="2:18">
      <c r="B386" s="15">
        <v>4</v>
      </c>
      <c r="C386" s="15" t="s">
        <v>518</v>
      </c>
      <c r="D386" s="15" t="s">
        <v>526</v>
      </c>
      <c r="E386" s="15">
        <v>15</v>
      </c>
      <c r="F386" s="15">
        <v>0</v>
      </c>
      <c r="G386" s="15">
        <v>65</v>
      </c>
      <c r="H386" s="15" t="s">
        <v>534</v>
      </c>
      <c r="I386" s="15" t="s">
        <v>3027</v>
      </c>
      <c r="J386" s="15" t="s">
        <v>3027</v>
      </c>
      <c r="K386" s="15" t="s">
        <v>3027</v>
      </c>
      <c r="L386" s="15" t="s">
        <v>3027</v>
      </c>
      <c r="M386" s="15" t="s">
        <v>3027</v>
      </c>
      <c r="N386" s="15" t="s">
        <v>3027</v>
      </c>
      <c r="O386" s="75"/>
      <c r="P386" s="15" t="s">
        <v>522</v>
      </c>
      <c r="Q386" s="75"/>
      <c r="R386" s="15" t="s">
        <v>522</v>
      </c>
    </row>
    <row r="387" spans="2:18">
      <c r="B387" s="15">
        <v>4</v>
      </c>
      <c r="C387" s="15" t="s">
        <v>518</v>
      </c>
      <c r="D387" s="15" t="s">
        <v>526</v>
      </c>
      <c r="E387" s="15">
        <v>20</v>
      </c>
      <c r="F387" s="15">
        <v>0</v>
      </c>
      <c r="G387" s="15">
        <v>60</v>
      </c>
      <c r="H387" s="15" t="s">
        <v>534</v>
      </c>
      <c r="I387" s="15" t="s">
        <v>3027</v>
      </c>
      <c r="J387" s="15" t="s">
        <v>3027</v>
      </c>
      <c r="K387" s="15" t="s">
        <v>3027</v>
      </c>
      <c r="L387" s="15" t="s">
        <v>3027</v>
      </c>
      <c r="M387" s="15" t="s">
        <v>3027</v>
      </c>
      <c r="N387" s="15" t="s">
        <v>3027</v>
      </c>
      <c r="O387" s="75"/>
      <c r="P387" s="15" t="s">
        <v>522</v>
      </c>
      <c r="Q387" s="75"/>
      <c r="R387" s="15" t="s">
        <v>522</v>
      </c>
    </row>
    <row r="388" spans="2:18">
      <c r="B388" s="15">
        <v>4</v>
      </c>
      <c r="C388" s="15" t="s">
        <v>519</v>
      </c>
      <c r="D388" s="15" t="s">
        <v>526</v>
      </c>
      <c r="E388" s="15">
        <v>6</v>
      </c>
      <c r="F388" s="15">
        <v>0</v>
      </c>
      <c r="G388" s="15">
        <v>74</v>
      </c>
      <c r="H388" s="15" t="s">
        <v>534</v>
      </c>
      <c r="I388" s="15" t="s">
        <v>3027</v>
      </c>
      <c r="J388" s="15" t="s">
        <v>3027</v>
      </c>
      <c r="K388" s="15" t="s">
        <v>3027</v>
      </c>
      <c r="L388" s="15" t="s">
        <v>3027</v>
      </c>
      <c r="M388" s="15" t="s">
        <v>3027</v>
      </c>
      <c r="N388" s="15" t="s">
        <v>3027</v>
      </c>
      <c r="O388" s="75"/>
      <c r="P388" s="15" t="s">
        <v>522</v>
      </c>
      <c r="Q388" s="75"/>
      <c r="R388" s="15" t="s">
        <v>522</v>
      </c>
    </row>
    <row r="389" spans="2:18">
      <c r="B389" s="15">
        <v>4</v>
      </c>
      <c r="C389" s="15" t="s">
        <v>519</v>
      </c>
      <c r="D389" s="15" t="s">
        <v>526</v>
      </c>
      <c r="E389" s="15">
        <v>8</v>
      </c>
      <c r="F389" s="15">
        <v>0</v>
      </c>
      <c r="G389" s="15">
        <v>72</v>
      </c>
      <c r="H389" s="15" t="s">
        <v>534</v>
      </c>
      <c r="I389" s="15" t="s">
        <v>3027</v>
      </c>
      <c r="J389" s="15" t="s">
        <v>3027</v>
      </c>
      <c r="K389" s="15" t="s">
        <v>3027</v>
      </c>
      <c r="L389" s="15" t="s">
        <v>3027</v>
      </c>
      <c r="M389" s="15" t="s">
        <v>3027</v>
      </c>
      <c r="N389" s="15" t="s">
        <v>3027</v>
      </c>
      <c r="O389" s="75"/>
      <c r="P389" s="15" t="s">
        <v>522</v>
      </c>
      <c r="Q389" s="75"/>
      <c r="R389" s="15" t="s">
        <v>522</v>
      </c>
    </row>
    <row r="390" spans="2:18">
      <c r="B390" s="15">
        <v>4</v>
      </c>
      <c r="C390" s="15" t="s">
        <v>519</v>
      </c>
      <c r="D390" s="15" t="s">
        <v>526</v>
      </c>
      <c r="E390" s="15">
        <v>10</v>
      </c>
      <c r="F390" s="15">
        <v>0</v>
      </c>
      <c r="G390" s="15">
        <v>70</v>
      </c>
      <c r="H390" s="15" t="s">
        <v>534</v>
      </c>
      <c r="I390" s="15" t="s">
        <v>3027</v>
      </c>
      <c r="J390" s="15" t="s">
        <v>3027</v>
      </c>
      <c r="K390" s="15" t="s">
        <v>3027</v>
      </c>
      <c r="L390" s="15" t="s">
        <v>3027</v>
      </c>
      <c r="M390" s="15" t="s">
        <v>3027</v>
      </c>
      <c r="N390" s="15" t="s">
        <v>3027</v>
      </c>
      <c r="O390" s="75"/>
      <c r="P390" s="15" t="s">
        <v>522</v>
      </c>
      <c r="Q390" s="75"/>
      <c r="R390" s="15" t="s">
        <v>522</v>
      </c>
    </row>
    <row r="391" spans="2:18">
      <c r="B391" s="15">
        <v>4</v>
      </c>
      <c r="C391" s="15" t="s">
        <v>519</v>
      </c>
      <c r="D391" s="15" t="s">
        <v>526</v>
      </c>
      <c r="E391" s="15">
        <v>12</v>
      </c>
      <c r="F391" s="15">
        <v>0</v>
      </c>
      <c r="G391" s="15">
        <v>68</v>
      </c>
      <c r="H391" s="15" t="s">
        <v>534</v>
      </c>
      <c r="I391" s="15" t="s">
        <v>3027</v>
      </c>
      <c r="J391" s="15" t="s">
        <v>3027</v>
      </c>
      <c r="K391" s="15" t="s">
        <v>3027</v>
      </c>
      <c r="L391" s="15" t="s">
        <v>3027</v>
      </c>
      <c r="M391" s="15" t="s">
        <v>3027</v>
      </c>
      <c r="N391" s="15" t="s">
        <v>3027</v>
      </c>
      <c r="O391" s="75"/>
      <c r="P391" s="15" t="s">
        <v>522</v>
      </c>
      <c r="Q391" s="75"/>
      <c r="R391" s="15" t="s">
        <v>522</v>
      </c>
    </row>
    <row r="392" spans="2:18">
      <c r="B392" s="15">
        <v>4</v>
      </c>
      <c r="C392" s="15" t="s">
        <v>519</v>
      </c>
      <c r="D392" s="15" t="s">
        <v>526</v>
      </c>
      <c r="E392" s="15">
        <v>20</v>
      </c>
      <c r="F392" s="15">
        <v>0</v>
      </c>
      <c r="G392" s="15">
        <v>60</v>
      </c>
      <c r="H392" s="15" t="s">
        <v>534</v>
      </c>
      <c r="I392" s="15" t="s">
        <v>3027</v>
      </c>
      <c r="J392" s="15" t="s">
        <v>3027</v>
      </c>
      <c r="K392" s="15" t="s">
        <v>3027</v>
      </c>
      <c r="L392" s="15" t="s">
        <v>3027</v>
      </c>
      <c r="M392" s="15" t="s">
        <v>3027</v>
      </c>
      <c r="N392" s="15" t="s">
        <v>3027</v>
      </c>
      <c r="O392" s="75"/>
      <c r="P392" s="15" t="s">
        <v>522</v>
      </c>
      <c r="Q392" s="75"/>
      <c r="R392" s="15" t="s">
        <v>522</v>
      </c>
    </row>
    <row r="393" spans="2:18">
      <c r="B393" s="15">
        <v>4</v>
      </c>
      <c r="C393" s="15" t="s">
        <v>172</v>
      </c>
      <c r="D393" s="15" t="s">
        <v>526</v>
      </c>
      <c r="E393" s="15">
        <v>1</v>
      </c>
      <c r="F393" s="15">
        <v>15</v>
      </c>
      <c r="G393" s="15">
        <v>60</v>
      </c>
      <c r="H393" s="15" t="s">
        <v>534</v>
      </c>
      <c r="I393" s="15">
        <v>15</v>
      </c>
      <c r="J393" s="15">
        <v>60</v>
      </c>
      <c r="K393" s="15" t="s">
        <v>534</v>
      </c>
      <c r="L393" s="15" t="s">
        <v>3027</v>
      </c>
      <c r="M393" s="15" t="s">
        <v>3027</v>
      </c>
      <c r="N393" s="15" t="s">
        <v>3027</v>
      </c>
      <c r="O393" s="75"/>
      <c r="P393" s="15" t="s">
        <v>522</v>
      </c>
      <c r="Q393" s="75"/>
      <c r="R393" s="15" t="s">
        <v>522</v>
      </c>
    </row>
    <row r="394" spans="2:18">
      <c r="B394" s="15">
        <v>4</v>
      </c>
      <c r="C394" s="15" t="s">
        <v>173</v>
      </c>
      <c r="D394" s="15" t="s">
        <v>526</v>
      </c>
      <c r="E394" s="15">
        <v>1</v>
      </c>
      <c r="F394" s="15">
        <v>0</v>
      </c>
      <c r="G394" s="15">
        <v>60</v>
      </c>
      <c r="H394" s="15" t="s">
        <v>534</v>
      </c>
      <c r="I394" s="15">
        <v>0</v>
      </c>
      <c r="J394" s="15">
        <v>60</v>
      </c>
      <c r="K394" s="15" t="s">
        <v>534</v>
      </c>
      <c r="L394" s="15">
        <v>0</v>
      </c>
      <c r="M394" s="15">
        <v>60</v>
      </c>
      <c r="N394" s="15" t="s">
        <v>534</v>
      </c>
      <c r="O394" s="75"/>
      <c r="P394" s="15" t="s">
        <v>522</v>
      </c>
      <c r="Q394" s="75"/>
      <c r="R394" s="15" t="s">
        <v>522</v>
      </c>
    </row>
    <row r="395" spans="2:18">
      <c r="B395" s="15">
        <v>4</v>
      </c>
      <c r="C395" s="15" t="s">
        <v>505</v>
      </c>
      <c r="D395" s="15" t="s">
        <v>526</v>
      </c>
      <c r="E395" s="15">
        <v>1</v>
      </c>
      <c r="F395" s="15">
        <v>0</v>
      </c>
      <c r="G395" s="15">
        <v>65</v>
      </c>
      <c r="H395" s="15" t="s">
        <v>534</v>
      </c>
      <c r="I395" s="15">
        <v>0</v>
      </c>
      <c r="J395" s="15">
        <v>65</v>
      </c>
      <c r="K395" s="15" t="s">
        <v>534</v>
      </c>
      <c r="L395" s="15">
        <v>0</v>
      </c>
      <c r="M395" s="15">
        <v>20</v>
      </c>
      <c r="N395" s="15" t="s">
        <v>534</v>
      </c>
      <c r="O395" s="75"/>
      <c r="P395" s="15" t="s">
        <v>522</v>
      </c>
      <c r="Q395" s="75"/>
      <c r="R395" s="15" t="s">
        <v>522</v>
      </c>
    </row>
    <row r="396" spans="2:18">
      <c r="B396" s="15">
        <v>4</v>
      </c>
      <c r="C396" s="15" t="s">
        <v>503</v>
      </c>
      <c r="D396" s="15" t="s">
        <v>526</v>
      </c>
      <c r="E396" s="15">
        <v>6</v>
      </c>
      <c r="F396" s="15">
        <v>0</v>
      </c>
      <c r="G396" s="15">
        <v>70</v>
      </c>
      <c r="H396" s="15" t="s">
        <v>534</v>
      </c>
      <c r="I396" s="15" t="s">
        <v>3027</v>
      </c>
      <c r="J396" s="15" t="s">
        <v>3027</v>
      </c>
      <c r="K396" s="15" t="s">
        <v>3027</v>
      </c>
      <c r="L396" s="15" t="s">
        <v>3027</v>
      </c>
      <c r="M396" s="15" t="s">
        <v>3027</v>
      </c>
      <c r="N396" s="15" t="s">
        <v>3027</v>
      </c>
      <c r="O396" s="75"/>
      <c r="P396" s="15" t="s">
        <v>522</v>
      </c>
      <c r="Q396" s="75"/>
      <c r="R396" s="15" t="s">
        <v>522</v>
      </c>
    </row>
    <row r="397" spans="2:18">
      <c r="B397" s="15">
        <v>4</v>
      </c>
      <c r="C397" s="15" t="s">
        <v>503</v>
      </c>
      <c r="D397" s="15" t="s">
        <v>526</v>
      </c>
      <c r="E397" s="15">
        <v>10</v>
      </c>
      <c r="F397" s="15">
        <v>0</v>
      </c>
      <c r="G397" s="15">
        <v>65</v>
      </c>
      <c r="H397" s="15" t="s">
        <v>534</v>
      </c>
      <c r="I397" s="15" t="s">
        <v>3027</v>
      </c>
      <c r="J397" s="15" t="s">
        <v>3027</v>
      </c>
      <c r="K397" s="15" t="s">
        <v>3027</v>
      </c>
      <c r="L397" s="15" t="s">
        <v>3027</v>
      </c>
      <c r="M397" s="15" t="s">
        <v>3027</v>
      </c>
      <c r="N397" s="15" t="s">
        <v>3027</v>
      </c>
      <c r="O397" s="75"/>
      <c r="P397" s="15" t="s">
        <v>522</v>
      </c>
      <c r="Q397" s="75"/>
      <c r="R397" s="15" t="s">
        <v>522</v>
      </c>
    </row>
    <row r="398" spans="2:18">
      <c r="B398" s="15">
        <v>4</v>
      </c>
      <c r="C398" s="15" t="s">
        <v>503</v>
      </c>
      <c r="D398" s="15" t="s">
        <v>526</v>
      </c>
      <c r="E398" s="15">
        <v>20</v>
      </c>
      <c r="F398" s="15">
        <v>0</v>
      </c>
      <c r="G398" s="15">
        <v>55</v>
      </c>
      <c r="H398" s="15" t="s">
        <v>534</v>
      </c>
      <c r="I398" s="15" t="s">
        <v>3027</v>
      </c>
      <c r="J398" s="15" t="s">
        <v>3027</v>
      </c>
      <c r="K398" s="15" t="s">
        <v>3027</v>
      </c>
      <c r="L398" s="15" t="s">
        <v>3027</v>
      </c>
      <c r="M398" s="15" t="s">
        <v>3027</v>
      </c>
      <c r="N398" s="15" t="s">
        <v>3027</v>
      </c>
      <c r="O398" s="75"/>
      <c r="P398" s="15" t="s">
        <v>522</v>
      </c>
      <c r="Q398" s="75"/>
      <c r="R398" s="15" t="s">
        <v>522</v>
      </c>
    </row>
    <row r="399" spans="2:18">
      <c r="B399" s="15">
        <v>4</v>
      </c>
      <c r="C399" s="15" t="s">
        <v>512</v>
      </c>
      <c r="D399" s="15" t="s">
        <v>526</v>
      </c>
      <c r="E399" s="15">
        <v>1</v>
      </c>
      <c r="F399" s="15">
        <v>0</v>
      </c>
      <c r="G399" s="15">
        <v>65</v>
      </c>
      <c r="H399" s="15" t="s">
        <v>534</v>
      </c>
      <c r="I399" s="15">
        <v>14</v>
      </c>
      <c r="J399" s="15">
        <v>65</v>
      </c>
      <c r="K399" s="15" t="s">
        <v>539</v>
      </c>
      <c r="L399" s="15">
        <v>0</v>
      </c>
      <c r="M399" s="15">
        <v>20</v>
      </c>
      <c r="N399" s="15" t="s">
        <v>534</v>
      </c>
      <c r="O399" s="75"/>
      <c r="P399" s="15" t="s">
        <v>522</v>
      </c>
      <c r="Q399" s="75"/>
      <c r="R399" s="15" t="s">
        <v>522</v>
      </c>
    </row>
    <row r="400" spans="2:18">
      <c r="B400" s="15">
        <v>4</v>
      </c>
      <c r="C400" s="15" t="s">
        <v>174</v>
      </c>
      <c r="D400" s="15" t="s">
        <v>526</v>
      </c>
      <c r="E400" s="15">
        <v>1</v>
      </c>
      <c r="F400" s="15">
        <v>0</v>
      </c>
      <c r="G400" s="15">
        <v>65</v>
      </c>
      <c r="H400" s="15" t="s">
        <v>534</v>
      </c>
      <c r="I400" s="15">
        <v>0</v>
      </c>
      <c r="J400" s="15">
        <v>65</v>
      </c>
      <c r="K400" s="15" t="s">
        <v>534</v>
      </c>
      <c r="L400" s="15">
        <v>0</v>
      </c>
      <c r="M400" s="15">
        <v>20</v>
      </c>
      <c r="N400" s="15" t="s">
        <v>534</v>
      </c>
      <c r="O400" s="75"/>
      <c r="P400" s="15" t="s">
        <v>522</v>
      </c>
      <c r="Q400" s="75"/>
      <c r="R400" s="15" t="s">
        <v>522</v>
      </c>
    </row>
    <row r="401" spans="2:18">
      <c r="B401" s="15">
        <v>4</v>
      </c>
      <c r="C401" s="15" t="s">
        <v>502</v>
      </c>
      <c r="D401" s="15" t="s">
        <v>526</v>
      </c>
      <c r="E401" s="15">
        <v>1</v>
      </c>
      <c r="F401" s="15">
        <v>0</v>
      </c>
      <c r="G401" s="15">
        <v>65</v>
      </c>
      <c r="H401" s="15" t="s">
        <v>534</v>
      </c>
      <c r="I401" s="15">
        <v>14</v>
      </c>
      <c r="J401" s="15">
        <v>65</v>
      </c>
      <c r="K401" s="15" t="s">
        <v>539</v>
      </c>
      <c r="L401" s="15">
        <v>0</v>
      </c>
      <c r="M401" s="15">
        <v>20</v>
      </c>
      <c r="N401" s="15" t="s">
        <v>534</v>
      </c>
      <c r="O401" s="75"/>
      <c r="P401" s="15" t="s">
        <v>522</v>
      </c>
      <c r="Q401" s="75"/>
      <c r="R401" s="15" t="s">
        <v>522</v>
      </c>
    </row>
    <row r="402" spans="2:18">
      <c r="B402" s="15">
        <v>4</v>
      </c>
      <c r="C402" s="15" t="s">
        <v>513</v>
      </c>
      <c r="D402" s="15" t="s">
        <v>526</v>
      </c>
      <c r="E402" s="15">
        <v>1</v>
      </c>
      <c r="F402" s="15">
        <v>0</v>
      </c>
      <c r="G402" s="15">
        <v>70</v>
      </c>
      <c r="H402" s="15" t="s">
        <v>534</v>
      </c>
      <c r="I402" s="15">
        <v>14</v>
      </c>
      <c r="J402" s="15">
        <v>70</v>
      </c>
      <c r="K402" s="15" t="s">
        <v>539</v>
      </c>
      <c r="L402" s="15">
        <v>0</v>
      </c>
      <c r="M402" s="15">
        <v>25</v>
      </c>
      <c r="N402" s="15" t="s">
        <v>534</v>
      </c>
      <c r="O402" s="75"/>
      <c r="P402" s="15" t="s">
        <v>522</v>
      </c>
      <c r="Q402" s="75"/>
      <c r="R402" s="15" t="s">
        <v>522</v>
      </c>
    </row>
    <row r="403" spans="2:18">
      <c r="B403" s="15">
        <v>4</v>
      </c>
      <c r="C403" s="15" t="s">
        <v>527</v>
      </c>
      <c r="D403" s="15" t="s">
        <v>526</v>
      </c>
      <c r="E403" s="15">
        <v>10</v>
      </c>
      <c r="F403" s="15">
        <v>0</v>
      </c>
      <c r="G403" s="15">
        <v>65</v>
      </c>
      <c r="H403" s="15" t="s">
        <v>534</v>
      </c>
      <c r="I403" s="15" t="s">
        <v>3027</v>
      </c>
      <c r="J403" s="15" t="s">
        <v>3027</v>
      </c>
      <c r="K403" s="15" t="s">
        <v>3027</v>
      </c>
      <c r="L403" s="15" t="s">
        <v>3027</v>
      </c>
      <c r="M403" s="15" t="s">
        <v>3027</v>
      </c>
      <c r="N403" s="15" t="s">
        <v>3027</v>
      </c>
      <c r="O403" s="75"/>
      <c r="P403" s="15" t="s">
        <v>522</v>
      </c>
      <c r="Q403" s="75"/>
      <c r="R403" s="15" t="s">
        <v>522</v>
      </c>
    </row>
    <row r="404" spans="2:18">
      <c r="B404" s="15">
        <v>4</v>
      </c>
      <c r="C404" s="15" t="s">
        <v>527</v>
      </c>
      <c r="D404" s="15" t="s">
        <v>526</v>
      </c>
      <c r="E404" s="15">
        <v>20</v>
      </c>
      <c r="F404" s="15">
        <v>0</v>
      </c>
      <c r="G404" s="15">
        <v>55</v>
      </c>
      <c r="H404" s="15" t="s">
        <v>534</v>
      </c>
      <c r="I404" s="15" t="s">
        <v>3027</v>
      </c>
      <c r="J404" s="15" t="s">
        <v>3027</v>
      </c>
      <c r="K404" s="15" t="s">
        <v>3027</v>
      </c>
      <c r="L404" s="15" t="s">
        <v>3027</v>
      </c>
      <c r="M404" s="15" t="s">
        <v>3027</v>
      </c>
      <c r="N404" s="15" t="s">
        <v>3027</v>
      </c>
      <c r="O404" s="75"/>
      <c r="P404" s="15" t="s">
        <v>522</v>
      </c>
      <c r="Q404" s="75"/>
      <c r="R404" s="15" t="s">
        <v>522</v>
      </c>
    </row>
    <row r="405" spans="2:18">
      <c r="B405" s="15">
        <v>4</v>
      </c>
      <c r="C405" s="15" t="s">
        <v>527</v>
      </c>
      <c r="D405" s="15" t="s">
        <v>526</v>
      </c>
      <c r="E405" s="15">
        <v>30</v>
      </c>
      <c r="F405" s="15">
        <v>0</v>
      </c>
      <c r="G405" s="15">
        <v>45</v>
      </c>
      <c r="H405" s="15" t="s">
        <v>534</v>
      </c>
      <c r="I405" s="15" t="s">
        <v>3027</v>
      </c>
      <c r="J405" s="15" t="s">
        <v>3027</v>
      </c>
      <c r="K405" s="15" t="s">
        <v>3027</v>
      </c>
      <c r="L405" s="15" t="s">
        <v>3027</v>
      </c>
      <c r="M405" s="15" t="s">
        <v>3027</v>
      </c>
      <c r="N405" s="15" t="s">
        <v>3027</v>
      </c>
      <c r="O405" s="75"/>
      <c r="P405" s="15" t="s">
        <v>522</v>
      </c>
      <c r="Q405" s="75"/>
      <c r="R405" s="15" t="s">
        <v>522</v>
      </c>
    </row>
    <row r="406" spans="2:18">
      <c r="B406" s="15">
        <v>4</v>
      </c>
      <c r="C406" s="15" t="s">
        <v>506</v>
      </c>
      <c r="D406" s="15" t="s">
        <v>526</v>
      </c>
      <c r="E406" s="15">
        <v>1</v>
      </c>
      <c r="F406" s="15">
        <v>0</v>
      </c>
      <c r="G406" s="15">
        <v>65</v>
      </c>
      <c r="H406" s="15" t="s">
        <v>534</v>
      </c>
      <c r="I406" s="15">
        <v>0</v>
      </c>
      <c r="J406" s="15">
        <v>65</v>
      </c>
      <c r="K406" s="15" t="s">
        <v>534</v>
      </c>
      <c r="L406" s="15">
        <v>0</v>
      </c>
      <c r="M406" s="15">
        <v>20</v>
      </c>
      <c r="N406" s="15" t="s">
        <v>534</v>
      </c>
      <c r="O406" s="75"/>
      <c r="P406" s="15" t="s">
        <v>522</v>
      </c>
      <c r="Q406" s="75"/>
      <c r="R406" s="15" t="s">
        <v>522</v>
      </c>
    </row>
    <row r="407" spans="2:18">
      <c r="B407" s="15">
        <v>4</v>
      </c>
      <c r="C407" s="15" t="s">
        <v>504</v>
      </c>
      <c r="D407" s="15" t="s">
        <v>526</v>
      </c>
      <c r="E407" s="15">
        <v>10</v>
      </c>
      <c r="F407" s="15">
        <v>30</v>
      </c>
      <c r="G407" s="15">
        <v>70</v>
      </c>
      <c r="H407" s="15" t="s">
        <v>534</v>
      </c>
      <c r="I407" s="15" t="s">
        <v>3027</v>
      </c>
      <c r="J407" s="15" t="s">
        <v>3027</v>
      </c>
      <c r="K407" s="15" t="s">
        <v>3027</v>
      </c>
      <c r="L407" s="15" t="s">
        <v>3027</v>
      </c>
      <c r="M407" s="15" t="s">
        <v>3027</v>
      </c>
      <c r="N407" s="15" t="s">
        <v>3027</v>
      </c>
      <c r="O407" s="75"/>
      <c r="P407" s="15" t="s">
        <v>522</v>
      </c>
      <c r="Q407" s="75"/>
      <c r="R407" s="15" t="s">
        <v>522</v>
      </c>
    </row>
    <row r="408" spans="2:18">
      <c r="B408" s="15">
        <v>4</v>
      </c>
      <c r="C408" s="15" t="s">
        <v>504</v>
      </c>
      <c r="D408" s="15" t="s">
        <v>526</v>
      </c>
      <c r="E408" s="15">
        <v>20</v>
      </c>
      <c r="F408" s="15">
        <v>20</v>
      </c>
      <c r="G408" s="15">
        <v>60</v>
      </c>
      <c r="H408" s="15" t="s">
        <v>534</v>
      </c>
      <c r="I408" s="15" t="s">
        <v>3027</v>
      </c>
      <c r="J408" s="15" t="s">
        <v>3027</v>
      </c>
      <c r="K408" s="15" t="s">
        <v>3027</v>
      </c>
      <c r="L408" s="15" t="s">
        <v>3027</v>
      </c>
      <c r="M408" s="15" t="s">
        <v>3027</v>
      </c>
      <c r="N408" s="15" t="s">
        <v>3027</v>
      </c>
      <c r="O408" s="75"/>
      <c r="P408" s="15" t="s">
        <v>522</v>
      </c>
      <c r="Q408" s="75"/>
      <c r="R408" s="15" t="s">
        <v>522</v>
      </c>
    </row>
    <row r="409" spans="2:18">
      <c r="B409" s="15">
        <v>4</v>
      </c>
      <c r="C409" s="15" t="s">
        <v>504</v>
      </c>
      <c r="D409" s="15" t="s">
        <v>526</v>
      </c>
      <c r="E409" s="15">
        <v>30</v>
      </c>
      <c r="F409" s="15">
        <v>15</v>
      </c>
      <c r="G409" s="15">
        <v>50</v>
      </c>
      <c r="H409" s="15" t="s">
        <v>539</v>
      </c>
      <c r="I409" s="15" t="s">
        <v>3027</v>
      </c>
      <c r="J409" s="15" t="s">
        <v>3027</v>
      </c>
      <c r="K409" s="15" t="s">
        <v>3027</v>
      </c>
      <c r="L409" s="15" t="s">
        <v>3027</v>
      </c>
      <c r="M409" s="15" t="s">
        <v>3027</v>
      </c>
      <c r="N409" s="15" t="s">
        <v>3027</v>
      </c>
      <c r="O409" s="75"/>
      <c r="P409" s="15" t="s">
        <v>522</v>
      </c>
      <c r="Q409" s="75"/>
      <c r="R409" s="15" t="s">
        <v>522</v>
      </c>
    </row>
    <row r="410" spans="2:18">
      <c r="B410" s="15">
        <v>4</v>
      </c>
      <c r="C410" s="15" t="s">
        <v>514</v>
      </c>
      <c r="D410" s="15" t="s">
        <v>526</v>
      </c>
      <c r="E410" s="15">
        <v>5</v>
      </c>
      <c r="F410" s="15">
        <v>15</v>
      </c>
      <c r="G410" s="15">
        <v>80</v>
      </c>
      <c r="H410" s="15" t="s">
        <v>539</v>
      </c>
      <c r="I410" s="15" t="s">
        <v>3027</v>
      </c>
      <c r="J410" s="15" t="s">
        <v>3027</v>
      </c>
      <c r="K410" s="15" t="s">
        <v>3027</v>
      </c>
      <c r="L410" s="15" t="s">
        <v>3027</v>
      </c>
      <c r="M410" s="15" t="s">
        <v>3027</v>
      </c>
      <c r="N410" s="15" t="s">
        <v>3027</v>
      </c>
      <c r="O410" s="75"/>
      <c r="P410" s="15" t="s">
        <v>522</v>
      </c>
      <c r="Q410" s="75"/>
      <c r="R410" s="15" t="s">
        <v>522</v>
      </c>
    </row>
    <row r="411" spans="2:18">
      <c r="B411" s="15">
        <v>4</v>
      </c>
      <c r="C411" s="15" t="s">
        <v>514</v>
      </c>
      <c r="D411" s="15" t="s">
        <v>526</v>
      </c>
      <c r="E411" s="15">
        <v>6</v>
      </c>
      <c r="F411" s="15">
        <v>15</v>
      </c>
      <c r="G411" s="15">
        <v>79</v>
      </c>
      <c r="H411" s="15" t="s">
        <v>539</v>
      </c>
      <c r="I411" s="15" t="s">
        <v>3027</v>
      </c>
      <c r="J411" s="15" t="s">
        <v>3027</v>
      </c>
      <c r="K411" s="15" t="s">
        <v>3027</v>
      </c>
      <c r="L411" s="15" t="s">
        <v>3027</v>
      </c>
      <c r="M411" s="15" t="s">
        <v>3027</v>
      </c>
      <c r="N411" s="15" t="s">
        <v>3027</v>
      </c>
      <c r="O411" s="75"/>
      <c r="P411" s="15" t="s">
        <v>522</v>
      </c>
      <c r="Q411" s="75"/>
      <c r="R411" s="15" t="s">
        <v>522</v>
      </c>
    </row>
    <row r="412" spans="2:18">
      <c r="B412" s="15">
        <v>4</v>
      </c>
      <c r="C412" s="15" t="s">
        <v>514</v>
      </c>
      <c r="D412" s="15" t="s">
        <v>526</v>
      </c>
      <c r="E412" s="15">
        <v>7</v>
      </c>
      <c r="F412" s="15">
        <v>15</v>
      </c>
      <c r="G412" s="15">
        <v>78</v>
      </c>
      <c r="H412" s="15" t="s">
        <v>539</v>
      </c>
      <c r="I412" s="15" t="s">
        <v>3027</v>
      </c>
      <c r="J412" s="15" t="s">
        <v>3027</v>
      </c>
      <c r="K412" s="15" t="s">
        <v>3027</v>
      </c>
      <c r="L412" s="15" t="s">
        <v>3027</v>
      </c>
      <c r="M412" s="15" t="s">
        <v>3027</v>
      </c>
      <c r="N412" s="15" t="s">
        <v>3027</v>
      </c>
      <c r="O412" s="75"/>
      <c r="P412" s="15" t="s">
        <v>522</v>
      </c>
      <c r="Q412" s="75"/>
      <c r="R412" s="15" t="s">
        <v>522</v>
      </c>
    </row>
    <row r="413" spans="2:18">
      <c r="B413" s="15">
        <v>4</v>
      </c>
      <c r="C413" s="15" t="s">
        <v>514</v>
      </c>
      <c r="D413" s="15" t="s">
        <v>526</v>
      </c>
      <c r="E413" s="15">
        <v>8</v>
      </c>
      <c r="F413" s="15">
        <v>15</v>
      </c>
      <c r="G413" s="15">
        <v>77</v>
      </c>
      <c r="H413" s="15" t="s">
        <v>539</v>
      </c>
      <c r="I413" s="15" t="s">
        <v>3027</v>
      </c>
      <c r="J413" s="15" t="s">
        <v>3027</v>
      </c>
      <c r="K413" s="15" t="s">
        <v>3027</v>
      </c>
      <c r="L413" s="15" t="s">
        <v>3027</v>
      </c>
      <c r="M413" s="15" t="s">
        <v>3027</v>
      </c>
      <c r="N413" s="15" t="s">
        <v>3027</v>
      </c>
      <c r="O413" s="75"/>
      <c r="P413" s="15" t="s">
        <v>522</v>
      </c>
      <c r="Q413" s="75"/>
      <c r="R413" s="15" t="s">
        <v>522</v>
      </c>
    </row>
    <row r="414" spans="2:18">
      <c r="B414" s="15">
        <v>4</v>
      </c>
      <c r="C414" s="15" t="s">
        <v>514</v>
      </c>
      <c r="D414" s="15" t="s">
        <v>526</v>
      </c>
      <c r="E414" s="15">
        <v>9</v>
      </c>
      <c r="F414" s="15">
        <v>15</v>
      </c>
      <c r="G414" s="15">
        <v>76</v>
      </c>
      <c r="H414" s="15" t="s">
        <v>539</v>
      </c>
      <c r="I414" s="15" t="s">
        <v>3027</v>
      </c>
      <c r="J414" s="15" t="s">
        <v>3027</v>
      </c>
      <c r="K414" s="15" t="s">
        <v>3027</v>
      </c>
      <c r="L414" s="15" t="s">
        <v>3027</v>
      </c>
      <c r="M414" s="15" t="s">
        <v>3027</v>
      </c>
      <c r="N414" s="15" t="s">
        <v>3027</v>
      </c>
      <c r="O414" s="75"/>
      <c r="P414" s="15" t="s">
        <v>522</v>
      </c>
      <c r="Q414" s="75"/>
      <c r="R414" s="15" t="s">
        <v>522</v>
      </c>
    </row>
    <row r="415" spans="2:18">
      <c r="B415" s="15">
        <v>4</v>
      </c>
      <c r="C415" s="15" t="s">
        <v>514</v>
      </c>
      <c r="D415" s="15" t="s">
        <v>526</v>
      </c>
      <c r="E415" s="15">
        <v>10</v>
      </c>
      <c r="F415" s="15">
        <v>15</v>
      </c>
      <c r="G415" s="15">
        <v>75</v>
      </c>
      <c r="H415" s="15" t="s">
        <v>539</v>
      </c>
      <c r="I415" s="15" t="s">
        <v>3027</v>
      </c>
      <c r="J415" s="15" t="s">
        <v>3027</v>
      </c>
      <c r="K415" s="15" t="s">
        <v>3027</v>
      </c>
      <c r="L415" s="15" t="s">
        <v>3027</v>
      </c>
      <c r="M415" s="15" t="s">
        <v>3027</v>
      </c>
      <c r="N415" s="15" t="s">
        <v>3027</v>
      </c>
      <c r="O415" s="75"/>
      <c r="P415" s="15" t="s">
        <v>522</v>
      </c>
      <c r="Q415" s="75"/>
      <c r="R415" s="15" t="s">
        <v>522</v>
      </c>
    </row>
    <row r="416" spans="2:18">
      <c r="B416" s="15">
        <v>4</v>
      </c>
      <c r="C416" s="15" t="s">
        <v>514</v>
      </c>
      <c r="D416" s="15" t="s">
        <v>526</v>
      </c>
      <c r="E416" s="15">
        <v>11</v>
      </c>
      <c r="F416" s="15">
        <v>15</v>
      </c>
      <c r="G416" s="15">
        <v>74</v>
      </c>
      <c r="H416" s="15" t="s">
        <v>539</v>
      </c>
      <c r="I416" s="15" t="s">
        <v>3027</v>
      </c>
      <c r="J416" s="15" t="s">
        <v>3027</v>
      </c>
      <c r="K416" s="15" t="s">
        <v>3027</v>
      </c>
      <c r="L416" s="15" t="s">
        <v>3027</v>
      </c>
      <c r="M416" s="15" t="s">
        <v>3027</v>
      </c>
      <c r="N416" s="15" t="s">
        <v>3027</v>
      </c>
      <c r="O416" s="75"/>
      <c r="P416" s="15" t="s">
        <v>522</v>
      </c>
      <c r="Q416" s="75"/>
      <c r="R416" s="15" t="s">
        <v>522</v>
      </c>
    </row>
    <row r="417" spans="2:18">
      <c r="B417" s="15">
        <v>4</v>
      </c>
      <c r="C417" s="15" t="s">
        <v>514</v>
      </c>
      <c r="D417" s="15" t="s">
        <v>526</v>
      </c>
      <c r="E417" s="15">
        <v>12</v>
      </c>
      <c r="F417" s="15">
        <v>15</v>
      </c>
      <c r="G417" s="15">
        <v>73</v>
      </c>
      <c r="H417" s="15" t="s">
        <v>539</v>
      </c>
      <c r="I417" s="15" t="s">
        <v>3027</v>
      </c>
      <c r="J417" s="15" t="s">
        <v>3027</v>
      </c>
      <c r="K417" s="15" t="s">
        <v>3027</v>
      </c>
      <c r="L417" s="15" t="s">
        <v>3027</v>
      </c>
      <c r="M417" s="15" t="s">
        <v>3027</v>
      </c>
      <c r="N417" s="15" t="s">
        <v>3027</v>
      </c>
      <c r="O417" s="75"/>
      <c r="P417" s="15" t="s">
        <v>522</v>
      </c>
      <c r="Q417" s="75"/>
      <c r="R417" s="15" t="s">
        <v>522</v>
      </c>
    </row>
    <row r="418" spans="2:18">
      <c r="B418" s="15">
        <v>4</v>
      </c>
      <c r="C418" s="15" t="s">
        <v>514</v>
      </c>
      <c r="D418" s="15" t="s">
        <v>526</v>
      </c>
      <c r="E418" s="15">
        <v>13</v>
      </c>
      <c r="F418" s="15">
        <v>15</v>
      </c>
      <c r="G418" s="15">
        <v>72</v>
      </c>
      <c r="H418" s="15" t="s">
        <v>539</v>
      </c>
      <c r="I418" s="15" t="s">
        <v>3027</v>
      </c>
      <c r="J418" s="15" t="s">
        <v>3027</v>
      </c>
      <c r="K418" s="15" t="s">
        <v>3027</v>
      </c>
      <c r="L418" s="15" t="s">
        <v>3027</v>
      </c>
      <c r="M418" s="15" t="s">
        <v>3027</v>
      </c>
      <c r="N418" s="15" t="s">
        <v>3027</v>
      </c>
      <c r="O418" s="75"/>
      <c r="P418" s="15" t="s">
        <v>522</v>
      </c>
      <c r="Q418" s="75"/>
      <c r="R418" s="15" t="s">
        <v>522</v>
      </c>
    </row>
    <row r="419" spans="2:18">
      <c r="B419" s="15">
        <v>4</v>
      </c>
      <c r="C419" s="15" t="s">
        <v>514</v>
      </c>
      <c r="D419" s="15" t="s">
        <v>526</v>
      </c>
      <c r="E419" s="15">
        <v>14</v>
      </c>
      <c r="F419" s="15">
        <v>15</v>
      </c>
      <c r="G419" s="15">
        <v>71</v>
      </c>
      <c r="H419" s="15" t="s">
        <v>539</v>
      </c>
      <c r="I419" s="15" t="s">
        <v>3027</v>
      </c>
      <c r="J419" s="15" t="s">
        <v>3027</v>
      </c>
      <c r="K419" s="15" t="s">
        <v>3027</v>
      </c>
      <c r="L419" s="15" t="s">
        <v>3027</v>
      </c>
      <c r="M419" s="15" t="s">
        <v>3027</v>
      </c>
      <c r="N419" s="15" t="s">
        <v>3027</v>
      </c>
      <c r="O419" s="75"/>
      <c r="P419" s="15" t="s">
        <v>522</v>
      </c>
      <c r="Q419" s="75"/>
      <c r="R419" s="15" t="s">
        <v>522</v>
      </c>
    </row>
    <row r="420" spans="2:18">
      <c r="B420" s="15">
        <v>4</v>
      </c>
      <c r="C420" s="15" t="s">
        <v>514</v>
      </c>
      <c r="D420" s="15" t="s">
        <v>526</v>
      </c>
      <c r="E420" s="15">
        <v>15</v>
      </c>
      <c r="F420" s="15">
        <v>15</v>
      </c>
      <c r="G420" s="15">
        <v>70</v>
      </c>
      <c r="H420" s="15" t="s">
        <v>539</v>
      </c>
      <c r="I420" s="15" t="s">
        <v>3027</v>
      </c>
      <c r="J420" s="15" t="s">
        <v>3027</v>
      </c>
      <c r="K420" s="15" t="s">
        <v>3027</v>
      </c>
      <c r="L420" s="15" t="s">
        <v>3027</v>
      </c>
      <c r="M420" s="15" t="s">
        <v>3027</v>
      </c>
      <c r="N420" s="15" t="s">
        <v>3027</v>
      </c>
      <c r="O420" s="75"/>
      <c r="P420" s="15" t="s">
        <v>522</v>
      </c>
      <c r="Q420" s="75"/>
      <c r="R420" s="15" t="s">
        <v>522</v>
      </c>
    </row>
    <row r="421" spans="2:18">
      <c r="B421" s="15">
        <v>4</v>
      </c>
      <c r="C421" s="15" t="s">
        <v>514</v>
      </c>
      <c r="D421" s="15" t="s">
        <v>526</v>
      </c>
      <c r="E421" s="15">
        <v>16</v>
      </c>
      <c r="F421" s="15">
        <v>15</v>
      </c>
      <c r="G421" s="15">
        <v>69</v>
      </c>
      <c r="H421" s="15" t="s">
        <v>539</v>
      </c>
      <c r="I421" s="15" t="s">
        <v>3027</v>
      </c>
      <c r="J421" s="15" t="s">
        <v>3027</v>
      </c>
      <c r="K421" s="15" t="s">
        <v>3027</v>
      </c>
      <c r="L421" s="15" t="s">
        <v>3027</v>
      </c>
      <c r="M421" s="15" t="s">
        <v>3027</v>
      </c>
      <c r="N421" s="15" t="s">
        <v>3027</v>
      </c>
      <c r="O421" s="75"/>
      <c r="P421" s="15" t="s">
        <v>522</v>
      </c>
      <c r="Q421" s="75"/>
      <c r="R421" s="15" t="s">
        <v>522</v>
      </c>
    </row>
    <row r="422" spans="2:18">
      <c r="B422" s="15">
        <v>4</v>
      </c>
      <c r="C422" s="15" t="s">
        <v>514</v>
      </c>
      <c r="D422" s="15" t="s">
        <v>526</v>
      </c>
      <c r="E422" s="15">
        <v>17</v>
      </c>
      <c r="F422" s="15">
        <v>15</v>
      </c>
      <c r="G422" s="15">
        <v>68</v>
      </c>
      <c r="H422" s="15" t="s">
        <v>539</v>
      </c>
      <c r="I422" s="15" t="s">
        <v>3027</v>
      </c>
      <c r="J422" s="15" t="s">
        <v>3027</v>
      </c>
      <c r="K422" s="15" t="s">
        <v>3027</v>
      </c>
      <c r="L422" s="15" t="s">
        <v>3027</v>
      </c>
      <c r="M422" s="15" t="s">
        <v>3027</v>
      </c>
      <c r="N422" s="15" t="s">
        <v>3027</v>
      </c>
      <c r="O422" s="75"/>
      <c r="P422" s="15" t="s">
        <v>522</v>
      </c>
      <c r="Q422" s="75"/>
      <c r="R422" s="15" t="s">
        <v>522</v>
      </c>
    </row>
    <row r="423" spans="2:18">
      <c r="B423" s="15">
        <v>4</v>
      </c>
      <c r="C423" s="15" t="s">
        <v>514</v>
      </c>
      <c r="D423" s="15" t="s">
        <v>526</v>
      </c>
      <c r="E423" s="15">
        <v>18</v>
      </c>
      <c r="F423" s="15">
        <v>15</v>
      </c>
      <c r="G423" s="15">
        <v>67</v>
      </c>
      <c r="H423" s="15" t="s">
        <v>539</v>
      </c>
      <c r="I423" s="15" t="s">
        <v>3027</v>
      </c>
      <c r="J423" s="15" t="s">
        <v>3027</v>
      </c>
      <c r="K423" s="15" t="s">
        <v>3027</v>
      </c>
      <c r="L423" s="15" t="s">
        <v>3027</v>
      </c>
      <c r="M423" s="15" t="s">
        <v>3027</v>
      </c>
      <c r="N423" s="15" t="s">
        <v>3027</v>
      </c>
      <c r="O423" s="75"/>
      <c r="P423" s="15" t="s">
        <v>522</v>
      </c>
      <c r="Q423" s="75"/>
      <c r="R423" s="15" t="s">
        <v>522</v>
      </c>
    </row>
    <row r="424" spans="2:18">
      <c r="B424" s="15">
        <v>4</v>
      </c>
      <c r="C424" s="15" t="s">
        <v>514</v>
      </c>
      <c r="D424" s="15" t="s">
        <v>526</v>
      </c>
      <c r="E424" s="15">
        <v>19</v>
      </c>
      <c r="F424" s="15">
        <v>15</v>
      </c>
      <c r="G424" s="15">
        <v>66</v>
      </c>
      <c r="H424" s="15" t="s">
        <v>539</v>
      </c>
      <c r="I424" s="15" t="s">
        <v>3027</v>
      </c>
      <c r="J424" s="15" t="s">
        <v>3027</v>
      </c>
      <c r="K424" s="15" t="s">
        <v>3027</v>
      </c>
      <c r="L424" s="15" t="s">
        <v>3027</v>
      </c>
      <c r="M424" s="15" t="s">
        <v>3027</v>
      </c>
      <c r="N424" s="15" t="s">
        <v>3027</v>
      </c>
      <c r="O424" s="75"/>
      <c r="P424" s="15" t="s">
        <v>522</v>
      </c>
      <c r="Q424" s="75"/>
      <c r="R424" s="15" t="s">
        <v>522</v>
      </c>
    </row>
    <row r="425" spans="2:18">
      <c r="B425" s="15">
        <v>4</v>
      </c>
      <c r="C425" s="15" t="s">
        <v>514</v>
      </c>
      <c r="D425" s="15" t="s">
        <v>526</v>
      </c>
      <c r="E425" s="15">
        <v>20</v>
      </c>
      <c r="F425" s="15">
        <v>15</v>
      </c>
      <c r="G425" s="15">
        <v>65</v>
      </c>
      <c r="H425" s="15" t="s">
        <v>539</v>
      </c>
      <c r="I425" s="15" t="s">
        <v>3027</v>
      </c>
      <c r="J425" s="15" t="s">
        <v>3027</v>
      </c>
      <c r="K425" s="15" t="s">
        <v>3027</v>
      </c>
      <c r="L425" s="15" t="s">
        <v>3027</v>
      </c>
      <c r="M425" s="15" t="s">
        <v>3027</v>
      </c>
      <c r="N425" s="15" t="s">
        <v>3027</v>
      </c>
      <c r="O425" s="75"/>
      <c r="P425" s="15" t="s">
        <v>522</v>
      </c>
      <c r="Q425" s="75"/>
      <c r="R425" s="15" t="s">
        <v>522</v>
      </c>
    </row>
    <row r="426" spans="2:18">
      <c r="B426" s="15">
        <v>4</v>
      </c>
      <c r="C426" s="15" t="s">
        <v>514</v>
      </c>
      <c r="D426" s="15" t="s">
        <v>526</v>
      </c>
      <c r="E426" s="15">
        <v>21</v>
      </c>
      <c r="F426" s="15">
        <v>15</v>
      </c>
      <c r="G426" s="15">
        <v>64</v>
      </c>
      <c r="H426" s="15" t="s">
        <v>539</v>
      </c>
      <c r="I426" s="15" t="s">
        <v>3027</v>
      </c>
      <c r="J426" s="15" t="s">
        <v>3027</v>
      </c>
      <c r="K426" s="15" t="s">
        <v>3027</v>
      </c>
      <c r="L426" s="15" t="s">
        <v>3027</v>
      </c>
      <c r="M426" s="15" t="s">
        <v>3027</v>
      </c>
      <c r="N426" s="15" t="s">
        <v>3027</v>
      </c>
      <c r="O426" s="75"/>
      <c r="P426" s="15" t="s">
        <v>522</v>
      </c>
      <c r="Q426" s="75"/>
      <c r="R426" s="15" t="s">
        <v>522</v>
      </c>
    </row>
    <row r="427" spans="2:18">
      <c r="B427" s="15">
        <v>4</v>
      </c>
      <c r="C427" s="15" t="s">
        <v>514</v>
      </c>
      <c r="D427" s="15" t="s">
        <v>526</v>
      </c>
      <c r="E427" s="15">
        <v>22</v>
      </c>
      <c r="F427" s="15">
        <v>15</v>
      </c>
      <c r="G427" s="15">
        <v>63</v>
      </c>
      <c r="H427" s="15" t="s">
        <v>539</v>
      </c>
      <c r="I427" s="15" t="s">
        <v>3027</v>
      </c>
      <c r="J427" s="15" t="s">
        <v>3027</v>
      </c>
      <c r="K427" s="15" t="s">
        <v>3027</v>
      </c>
      <c r="L427" s="15" t="s">
        <v>3027</v>
      </c>
      <c r="M427" s="15" t="s">
        <v>3027</v>
      </c>
      <c r="N427" s="15" t="s">
        <v>3027</v>
      </c>
      <c r="O427" s="75"/>
      <c r="P427" s="15" t="s">
        <v>522</v>
      </c>
      <c r="Q427" s="75"/>
      <c r="R427" s="15" t="s">
        <v>522</v>
      </c>
    </row>
    <row r="428" spans="2:18">
      <c r="B428" s="15">
        <v>4</v>
      </c>
      <c r="C428" s="15" t="s">
        <v>514</v>
      </c>
      <c r="D428" s="15" t="s">
        <v>526</v>
      </c>
      <c r="E428" s="15">
        <v>23</v>
      </c>
      <c r="F428" s="15">
        <v>15</v>
      </c>
      <c r="G428" s="15">
        <v>62</v>
      </c>
      <c r="H428" s="15" t="s">
        <v>539</v>
      </c>
      <c r="I428" s="15" t="s">
        <v>3027</v>
      </c>
      <c r="J428" s="15" t="s">
        <v>3027</v>
      </c>
      <c r="K428" s="15" t="s">
        <v>3027</v>
      </c>
      <c r="L428" s="15" t="s">
        <v>3027</v>
      </c>
      <c r="M428" s="15" t="s">
        <v>3027</v>
      </c>
      <c r="N428" s="15" t="s">
        <v>3027</v>
      </c>
      <c r="O428" s="75"/>
      <c r="P428" s="15" t="s">
        <v>522</v>
      </c>
      <c r="Q428" s="75"/>
      <c r="R428" s="15" t="s">
        <v>522</v>
      </c>
    </row>
    <row r="429" spans="2:18">
      <c r="B429" s="15">
        <v>4</v>
      </c>
      <c r="C429" s="15" t="s">
        <v>514</v>
      </c>
      <c r="D429" s="15" t="s">
        <v>526</v>
      </c>
      <c r="E429" s="15">
        <v>24</v>
      </c>
      <c r="F429" s="15">
        <v>15</v>
      </c>
      <c r="G429" s="15">
        <v>61</v>
      </c>
      <c r="H429" s="15" t="s">
        <v>539</v>
      </c>
      <c r="I429" s="15" t="s">
        <v>3027</v>
      </c>
      <c r="J429" s="15" t="s">
        <v>3027</v>
      </c>
      <c r="K429" s="15" t="s">
        <v>3027</v>
      </c>
      <c r="L429" s="15" t="s">
        <v>3027</v>
      </c>
      <c r="M429" s="15" t="s">
        <v>3027</v>
      </c>
      <c r="N429" s="15" t="s">
        <v>3027</v>
      </c>
      <c r="O429" s="75"/>
      <c r="P429" s="15" t="s">
        <v>522</v>
      </c>
      <c r="Q429" s="75"/>
      <c r="R429" s="15" t="s">
        <v>522</v>
      </c>
    </row>
    <row r="430" spans="2:18">
      <c r="B430" s="15">
        <v>4</v>
      </c>
      <c r="C430" s="15" t="s">
        <v>514</v>
      </c>
      <c r="D430" s="15" t="s">
        <v>526</v>
      </c>
      <c r="E430" s="15">
        <v>25</v>
      </c>
      <c r="F430" s="15">
        <v>15</v>
      </c>
      <c r="G430" s="15">
        <v>60</v>
      </c>
      <c r="H430" s="15" t="s">
        <v>539</v>
      </c>
      <c r="I430" s="15" t="s">
        <v>3027</v>
      </c>
      <c r="J430" s="15" t="s">
        <v>3027</v>
      </c>
      <c r="K430" s="15" t="s">
        <v>3027</v>
      </c>
      <c r="L430" s="15" t="s">
        <v>3027</v>
      </c>
      <c r="M430" s="15" t="s">
        <v>3027</v>
      </c>
      <c r="N430" s="15" t="s">
        <v>3027</v>
      </c>
      <c r="O430" s="75"/>
      <c r="P430" s="15" t="s">
        <v>522</v>
      </c>
      <c r="Q430" s="75"/>
      <c r="R430" s="15" t="s">
        <v>522</v>
      </c>
    </row>
    <row r="431" spans="2:18">
      <c r="B431" s="15">
        <v>4</v>
      </c>
      <c r="C431" s="15" t="s">
        <v>514</v>
      </c>
      <c r="D431" s="15" t="s">
        <v>526</v>
      </c>
      <c r="E431" s="15">
        <v>26</v>
      </c>
      <c r="F431" s="15">
        <v>15</v>
      </c>
      <c r="G431" s="15">
        <v>59</v>
      </c>
      <c r="H431" s="15" t="s">
        <v>539</v>
      </c>
      <c r="I431" s="15" t="s">
        <v>3027</v>
      </c>
      <c r="J431" s="15" t="s">
        <v>3027</v>
      </c>
      <c r="K431" s="15" t="s">
        <v>3027</v>
      </c>
      <c r="L431" s="15" t="s">
        <v>3027</v>
      </c>
      <c r="M431" s="15" t="s">
        <v>3027</v>
      </c>
      <c r="N431" s="15" t="s">
        <v>3027</v>
      </c>
      <c r="O431" s="75"/>
      <c r="P431" s="15" t="s">
        <v>522</v>
      </c>
      <c r="Q431" s="75"/>
      <c r="R431" s="15" t="s">
        <v>522</v>
      </c>
    </row>
    <row r="432" spans="2:18">
      <c r="B432" s="15">
        <v>4</v>
      </c>
      <c r="C432" s="15" t="s">
        <v>514</v>
      </c>
      <c r="D432" s="15" t="s">
        <v>526</v>
      </c>
      <c r="E432" s="15">
        <v>27</v>
      </c>
      <c r="F432" s="15">
        <v>15</v>
      </c>
      <c r="G432" s="15">
        <v>58</v>
      </c>
      <c r="H432" s="15" t="s">
        <v>539</v>
      </c>
      <c r="I432" s="15" t="s">
        <v>3027</v>
      </c>
      <c r="J432" s="15" t="s">
        <v>3027</v>
      </c>
      <c r="K432" s="15" t="s">
        <v>3027</v>
      </c>
      <c r="L432" s="15" t="s">
        <v>3027</v>
      </c>
      <c r="M432" s="15" t="s">
        <v>3027</v>
      </c>
      <c r="N432" s="15" t="s">
        <v>3027</v>
      </c>
      <c r="O432" s="75"/>
      <c r="P432" s="15" t="s">
        <v>522</v>
      </c>
      <c r="Q432" s="75"/>
      <c r="R432" s="15" t="s">
        <v>522</v>
      </c>
    </row>
    <row r="433" spans="2:18">
      <c r="B433" s="15">
        <v>4</v>
      </c>
      <c r="C433" s="15" t="s">
        <v>514</v>
      </c>
      <c r="D433" s="15" t="s">
        <v>526</v>
      </c>
      <c r="E433" s="15">
        <v>28</v>
      </c>
      <c r="F433" s="15">
        <v>15</v>
      </c>
      <c r="G433" s="15">
        <v>57</v>
      </c>
      <c r="H433" s="15" t="s">
        <v>539</v>
      </c>
      <c r="I433" s="15" t="s">
        <v>3027</v>
      </c>
      <c r="J433" s="15" t="s">
        <v>3027</v>
      </c>
      <c r="K433" s="15" t="s">
        <v>3027</v>
      </c>
      <c r="L433" s="15" t="s">
        <v>3027</v>
      </c>
      <c r="M433" s="15" t="s">
        <v>3027</v>
      </c>
      <c r="N433" s="15" t="s">
        <v>3027</v>
      </c>
      <c r="O433" s="75"/>
      <c r="P433" s="15" t="s">
        <v>522</v>
      </c>
      <c r="Q433" s="75"/>
      <c r="R433" s="15" t="s">
        <v>522</v>
      </c>
    </row>
    <row r="434" spans="2:18">
      <c r="B434" s="15">
        <v>4</v>
      </c>
      <c r="C434" s="15" t="s">
        <v>514</v>
      </c>
      <c r="D434" s="15" t="s">
        <v>526</v>
      </c>
      <c r="E434" s="15">
        <v>29</v>
      </c>
      <c r="F434" s="15">
        <v>15</v>
      </c>
      <c r="G434" s="15">
        <v>56</v>
      </c>
      <c r="H434" s="15" t="s">
        <v>539</v>
      </c>
      <c r="I434" s="15" t="s">
        <v>3027</v>
      </c>
      <c r="J434" s="15" t="s">
        <v>3027</v>
      </c>
      <c r="K434" s="15" t="s">
        <v>3027</v>
      </c>
      <c r="L434" s="15" t="s">
        <v>3027</v>
      </c>
      <c r="M434" s="15" t="s">
        <v>3027</v>
      </c>
      <c r="N434" s="15" t="s">
        <v>3027</v>
      </c>
      <c r="O434" s="75"/>
      <c r="P434" s="15" t="s">
        <v>522</v>
      </c>
      <c r="Q434" s="75"/>
      <c r="R434" s="15" t="s">
        <v>522</v>
      </c>
    </row>
    <row r="435" spans="2:18">
      <c r="B435" s="15">
        <v>4</v>
      </c>
      <c r="C435" s="15" t="s">
        <v>514</v>
      </c>
      <c r="D435" s="15" t="s">
        <v>526</v>
      </c>
      <c r="E435" s="15">
        <v>30</v>
      </c>
      <c r="F435" s="15">
        <v>15</v>
      </c>
      <c r="G435" s="15">
        <v>55</v>
      </c>
      <c r="H435" s="15" t="s">
        <v>539</v>
      </c>
      <c r="I435" s="15" t="s">
        <v>3027</v>
      </c>
      <c r="J435" s="15" t="s">
        <v>3027</v>
      </c>
      <c r="K435" s="15" t="s">
        <v>3027</v>
      </c>
      <c r="L435" s="15" t="s">
        <v>3027</v>
      </c>
      <c r="M435" s="15" t="s">
        <v>3027</v>
      </c>
      <c r="N435" s="15" t="s">
        <v>3027</v>
      </c>
      <c r="O435" s="75"/>
      <c r="P435" s="15" t="s">
        <v>522</v>
      </c>
      <c r="Q435" s="75"/>
      <c r="R435" s="15" t="s">
        <v>522</v>
      </c>
    </row>
    <row r="436" spans="2:18">
      <c r="B436" s="15">
        <v>4</v>
      </c>
      <c r="C436" s="15" t="s">
        <v>515</v>
      </c>
      <c r="D436" s="15" t="s">
        <v>526</v>
      </c>
      <c r="E436" s="15">
        <v>5</v>
      </c>
      <c r="F436" s="15">
        <v>15</v>
      </c>
      <c r="G436" s="15">
        <v>80</v>
      </c>
      <c r="H436" s="15" t="s">
        <v>539</v>
      </c>
      <c r="I436" s="15" t="s">
        <v>3027</v>
      </c>
      <c r="J436" s="15" t="s">
        <v>3027</v>
      </c>
      <c r="K436" s="15" t="s">
        <v>3027</v>
      </c>
      <c r="L436" s="15" t="s">
        <v>3027</v>
      </c>
      <c r="M436" s="15" t="s">
        <v>3027</v>
      </c>
      <c r="N436" s="15" t="s">
        <v>3027</v>
      </c>
      <c r="O436" s="75"/>
      <c r="P436" s="15" t="s">
        <v>522</v>
      </c>
      <c r="Q436" s="75"/>
      <c r="R436" s="15" t="s">
        <v>522</v>
      </c>
    </row>
    <row r="437" spans="2:18">
      <c r="B437" s="15">
        <v>4</v>
      </c>
      <c r="C437" s="15" t="s">
        <v>515</v>
      </c>
      <c r="D437" s="15" t="s">
        <v>526</v>
      </c>
      <c r="E437" s="15">
        <v>6</v>
      </c>
      <c r="F437" s="15">
        <v>15</v>
      </c>
      <c r="G437" s="15">
        <v>79</v>
      </c>
      <c r="H437" s="15" t="s">
        <v>539</v>
      </c>
      <c r="I437" s="15" t="s">
        <v>3027</v>
      </c>
      <c r="J437" s="15" t="s">
        <v>3027</v>
      </c>
      <c r="K437" s="15" t="s">
        <v>3027</v>
      </c>
      <c r="L437" s="15" t="s">
        <v>3027</v>
      </c>
      <c r="M437" s="15" t="s">
        <v>3027</v>
      </c>
      <c r="N437" s="15" t="s">
        <v>3027</v>
      </c>
      <c r="O437" s="75"/>
      <c r="P437" s="15" t="s">
        <v>522</v>
      </c>
      <c r="Q437" s="75"/>
      <c r="R437" s="15" t="s">
        <v>522</v>
      </c>
    </row>
    <row r="438" spans="2:18">
      <c r="B438" s="15">
        <v>4</v>
      </c>
      <c r="C438" s="15" t="s">
        <v>515</v>
      </c>
      <c r="D438" s="15" t="s">
        <v>526</v>
      </c>
      <c r="E438" s="15">
        <v>7</v>
      </c>
      <c r="F438" s="15">
        <v>15</v>
      </c>
      <c r="G438" s="15">
        <v>78</v>
      </c>
      <c r="H438" s="15" t="s">
        <v>539</v>
      </c>
      <c r="I438" s="15" t="s">
        <v>3027</v>
      </c>
      <c r="J438" s="15" t="s">
        <v>3027</v>
      </c>
      <c r="K438" s="15" t="s">
        <v>3027</v>
      </c>
      <c r="L438" s="15" t="s">
        <v>3027</v>
      </c>
      <c r="M438" s="15" t="s">
        <v>3027</v>
      </c>
      <c r="N438" s="15" t="s">
        <v>3027</v>
      </c>
      <c r="O438" s="75"/>
      <c r="P438" s="15" t="s">
        <v>522</v>
      </c>
      <c r="Q438" s="75"/>
      <c r="R438" s="15" t="s">
        <v>522</v>
      </c>
    </row>
    <row r="439" spans="2:18">
      <c r="B439" s="15">
        <v>4</v>
      </c>
      <c r="C439" s="15" t="s">
        <v>515</v>
      </c>
      <c r="D439" s="15" t="s">
        <v>526</v>
      </c>
      <c r="E439" s="15">
        <v>8</v>
      </c>
      <c r="F439" s="15">
        <v>15</v>
      </c>
      <c r="G439" s="15">
        <v>77</v>
      </c>
      <c r="H439" s="15" t="s">
        <v>539</v>
      </c>
      <c r="I439" s="15" t="s">
        <v>3027</v>
      </c>
      <c r="J439" s="15" t="s">
        <v>3027</v>
      </c>
      <c r="K439" s="15" t="s">
        <v>3027</v>
      </c>
      <c r="L439" s="15" t="s">
        <v>3027</v>
      </c>
      <c r="M439" s="15" t="s">
        <v>3027</v>
      </c>
      <c r="N439" s="15" t="s">
        <v>3027</v>
      </c>
      <c r="O439" s="75"/>
      <c r="P439" s="15" t="s">
        <v>522</v>
      </c>
      <c r="Q439" s="75"/>
      <c r="R439" s="15" t="s">
        <v>522</v>
      </c>
    </row>
    <row r="440" spans="2:18">
      <c r="B440" s="15">
        <v>4</v>
      </c>
      <c r="C440" s="15" t="s">
        <v>515</v>
      </c>
      <c r="D440" s="15" t="s">
        <v>526</v>
      </c>
      <c r="E440" s="15">
        <v>9</v>
      </c>
      <c r="F440" s="15">
        <v>15</v>
      </c>
      <c r="G440" s="15">
        <v>76</v>
      </c>
      <c r="H440" s="15" t="s">
        <v>539</v>
      </c>
      <c r="I440" s="15" t="s">
        <v>3027</v>
      </c>
      <c r="J440" s="15" t="s">
        <v>3027</v>
      </c>
      <c r="K440" s="15" t="s">
        <v>3027</v>
      </c>
      <c r="L440" s="15" t="s">
        <v>3027</v>
      </c>
      <c r="M440" s="15" t="s">
        <v>3027</v>
      </c>
      <c r="N440" s="15" t="s">
        <v>3027</v>
      </c>
      <c r="O440" s="75"/>
      <c r="P440" s="15" t="s">
        <v>522</v>
      </c>
      <c r="Q440" s="75"/>
      <c r="R440" s="15" t="s">
        <v>522</v>
      </c>
    </row>
    <row r="441" spans="2:18">
      <c r="B441" s="15">
        <v>4</v>
      </c>
      <c r="C441" s="15" t="s">
        <v>515</v>
      </c>
      <c r="D441" s="15" t="s">
        <v>526</v>
      </c>
      <c r="E441" s="15">
        <v>10</v>
      </c>
      <c r="F441" s="15">
        <v>15</v>
      </c>
      <c r="G441" s="15">
        <v>75</v>
      </c>
      <c r="H441" s="15" t="s">
        <v>539</v>
      </c>
      <c r="I441" s="15" t="s">
        <v>3027</v>
      </c>
      <c r="J441" s="15" t="s">
        <v>3027</v>
      </c>
      <c r="K441" s="15" t="s">
        <v>3027</v>
      </c>
      <c r="L441" s="15" t="s">
        <v>3027</v>
      </c>
      <c r="M441" s="15" t="s">
        <v>3027</v>
      </c>
      <c r="N441" s="15" t="s">
        <v>3027</v>
      </c>
      <c r="O441" s="75"/>
      <c r="P441" s="15" t="s">
        <v>522</v>
      </c>
      <c r="Q441" s="75"/>
      <c r="R441" s="15" t="s">
        <v>522</v>
      </c>
    </row>
    <row r="442" spans="2:18">
      <c r="B442" s="15">
        <v>4</v>
      </c>
      <c r="C442" s="15" t="s">
        <v>515</v>
      </c>
      <c r="D442" s="15" t="s">
        <v>526</v>
      </c>
      <c r="E442" s="15">
        <v>11</v>
      </c>
      <c r="F442" s="15">
        <v>15</v>
      </c>
      <c r="G442" s="15">
        <v>74</v>
      </c>
      <c r="H442" s="15" t="s">
        <v>539</v>
      </c>
      <c r="I442" s="15" t="s">
        <v>3027</v>
      </c>
      <c r="J442" s="15" t="s">
        <v>3027</v>
      </c>
      <c r="K442" s="15" t="s">
        <v>3027</v>
      </c>
      <c r="L442" s="15" t="s">
        <v>3027</v>
      </c>
      <c r="M442" s="15" t="s">
        <v>3027</v>
      </c>
      <c r="N442" s="15" t="s">
        <v>3027</v>
      </c>
      <c r="O442" s="75"/>
      <c r="P442" s="15" t="s">
        <v>522</v>
      </c>
      <c r="Q442" s="75"/>
      <c r="R442" s="15" t="s">
        <v>522</v>
      </c>
    </row>
    <row r="443" spans="2:18">
      <c r="B443" s="15">
        <v>4</v>
      </c>
      <c r="C443" s="15" t="s">
        <v>515</v>
      </c>
      <c r="D443" s="15" t="s">
        <v>526</v>
      </c>
      <c r="E443" s="15">
        <v>12</v>
      </c>
      <c r="F443" s="15">
        <v>15</v>
      </c>
      <c r="G443" s="15">
        <v>73</v>
      </c>
      <c r="H443" s="15" t="s">
        <v>539</v>
      </c>
      <c r="I443" s="15" t="s">
        <v>3027</v>
      </c>
      <c r="J443" s="15" t="s">
        <v>3027</v>
      </c>
      <c r="K443" s="15" t="s">
        <v>3027</v>
      </c>
      <c r="L443" s="15" t="s">
        <v>3027</v>
      </c>
      <c r="M443" s="15" t="s">
        <v>3027</v>
      </c>
      <c r="N443" s="15" t="s">
        <v>3027</v>
      </c>
      <c r="O443" s="75"/>
      <c r="P443" s="15" t="s">
        <v>522</v>
      </c>
      <c r="Q443" s="75"/>
      <c r="R443" s="15" t="s">
        <v>522</v>
      </c>
    </row>
    <row r="444" spans="2:18">
      <c r="B444" s="15">
        <v>4</v>
      </c>
      <c r="C444" s="15" t="s">
        <v>515</v>
      </c>
      <c r="D444" s="15" t="s">
        <v>526</v>
      </c>
      <c r="E444" s="15">
        <v>13</v>
      </c>
      <c r="F444" s="15">
        <v>15</v>
      </c>
      <c r="G444" s="15">
        <v>72</v>
      </c>
      <c r="H444" s="15" t="s">
        <v>539</v>
      </c>
      <c r="I444" s="15" t="s">
        <v>3027</v>
      </c>
      <c r="J444" s="15" t="s">
        <v>3027</v>
      </c>
      <c r="K444" s="15" t="s">
        <v>3027</v>
      </c>
      <c r="L444" s="15" t="s">
        <v>3027</v>
      </c>
      <c r="M444" s="15" t="s">
        <v>3027</v>
      </c>
      <c r="N444" s="15" t="s">
        <v>3027</v>
      </c>
      <c r="O444" s="75"/>
      <c r="P444" s="15" t="s">
        <v>522</v>
      </c>
      <c r="Q444" s="75"/>
      <c r="R444" s="15" t="s">
        <v>522</v>
      </c>
    </row>
    <row r="445" spans="2:18">
      <c r="B445" s="15">
        <v>4</v>
      </c>
      <c r="C445" s="15" t="s">
        <v>515</v>
      </c>
      <c r="D445" s="15" t="s">
        <v>526</v>
      </c>
      <c r="E445" s="15">
        <v>14</v>
      </c>
      <c r="F445" s="15">
        <v>15</v>
      </c>
      <c r="G445" s="15">
        <v>71</v>
      </c>
      <c r="H445" s="15" t="s">
        <v>539</v>
      </c>
      <c r="I445" s="15" t="s">
        <v>3027</v>
      </c>
      <c r="J445" s="15" t="s">
        <v>3027</v>
      </c>
      <c r="K445" s="15" t="s">
        <v>3027</v>
      </c>
      <c r="L445" s="15" t="s">
        <v>3027</v>
      </c>
      <c r="M445" s="15" t="s">
        <v>3027</v>
      </c>
      <c r="N445" s="15" t="s">
        <v>3027</v>
      </c>
      <c r="O445" s="75"/>
      <c r="P445" s="15" t="s">
        <v>522</v>
      </c>
      <c r="Q445" s="75"/>
      <c r="R445" s="15" t="s">
        <v>522</v>
      </c>
    </row>
    <row r="446" spans="2:18">
      <c r="B446" s="15">
        <v>4</v>
      </c>
      <c r="C446" s="15" t="s">
        <v>515</v>
      </c>
      <c r="D446" s="15" t="s">
        <v>526</v>
      </c>
      <c r="E446" s="15">
        <v>15</v>
      </c>
      <c r="F446" s="15">
        <v>15</v>
      </c>
      <c r="G446" s="15">
        <v>70</v>
      </c>
      <c r="H446" s="15" t="s">
        <v>539</v>
      </c>
      <c r="I446" s="15" t="s">
        <v>3027</v>
      </c>
      <c r="J446" s="15" t="s">
        <v>3027</v>
      </c>
      <c r="K446" s="15" t="s">
        <v>3027</v>
      </c>
      <c r="L446" s="15" t="s">
        <v>3027</v>
      </c>
      <c r="M446" s="15" t="s">
        <v>3027</v>
      </c>
      <c r="N446" s="15" t="s">
        <v>3027</v>
      </c>
      <c r="O446" s="75"/>
      <c r="P446" s="15" t="s">
        <v>522</v>
      </c>
      <c r="Q446" s="75"/>
      <c r="R446" s="15" t="s">
        <v>522</v>
      </c>
    </row>
    <row r="447" spans="2:18">
      <c r="B447" s="15">
        <v>4</v>
      </c>
      <c r="C447" s="15" t="s">
        <v>515</v>
      </c>
      <c r="D447" s="15" t="s">
        <v>526</v>
      </c>
      <c r="E447" s="15">
        <v>16</v>
      </c>
      <c r="F447" s="15">
        <v>15</v>
      </c>
      <c r="G447" s="15">
        <v>69</v>
      </c>
      <c r="H447" s="15" t="s">
        <v>539</v>
      </c>
      <c r="I447" s="15" t="s">
        <v>3027</v>
      </c>
      <c r="J447" s="15" t="s">
        <v>3027</v>
      </c>
      <c r="K447" s="15" t="s">
        <v>3027</v>
      </c>
      <c r="L447" s="15" t="s">
        <v>3027</v>
      </c>
      <c r="M447" s="15" t="s">
        <v>3027</v>
      </c>
      <c r="N447" s="15" t="s">
        <v>3027</v>
      </c>
      <c r="O447" s="75"/>
      <c r="P447" s="15" t="s">
        <v>522</v>
      </c>
      <c r="Q447" s="75"/>
      <c r="R447" s="15" t="s">
        <v>522</v>
      </c>
    </row>
    <row r="448" spans="2:18">
      <c r="B448" s="15">
        <v>4</v>
      </c>
      <c r="C448" s="15" t="s">
        <v>515</v>
      </c>
      <c r="D448" s="15" t="s">
        <v>526</v>
      </c>
      <c r="E448" s="15">
        <v>17</v>
      </c>
      <c r="F448" s="15">
        <v>15</v>
      </c>
      <c r="G448" s="15">
        <v>68</v>
      </c>
      <c r="H448" s="15" t="s">
        <v>539</v>
      </c>
      <c r="I448" s="15" t="s">
        <v>3027</v>
      </c>
      <c r="J448" s="15" t="s">
        <v>3027</v>
      </c>
      <c r="K448" s="15" t="s">
        <v>3027</v>
      </c>
      <c r="L448" s="15" t="s">
        <v>3027</v>
      </c>
      <c r="M448" s="15" t="s">
        <v>3027</v>
      </c>
      <c r="N448" s="15" t="s">
        <v>3027</v>
      </c>
      <c r="O448" s="75"/>
      <c r="P448" s="15" t="s">
        <v>522</v>
      </c>
      <c r="Q448" s="75"/>
      <c r="R448" s="15" t="s">
        <v>522</v>
      </c>
    </row>
    <row r="449" spans="2:18">
      <c r="B449" s="15">
        <v>4</v>
      </c>
      <c r="C449" s="15" t="s">
        <v>515</v>
      </c>
      <c r="D449" s="15" t="s">
        <v>526</v>
      </c>
      <c r="E449" s="15">
        <v>18</v>
      </c>
      <c r="F449" s="15">
        <v>15</v>
      </c>
      <c r="G449" s="15">
        <v>67</v>
      </c>
      <c r="H449" s="15" t="s">
        <v>539</v>
      </c>
      <c r="I449" s="15" t="s">
        <v>3027</v>
      </c>
      <c r="J449" s="15" t="s">
        <v>3027</v>
      </c>
      <c r="K449" s="15" t="s">
        <v>3027</v>
      </c>
      <c r="L449" s="15" t="s">
        <v>3027</v>
      </c>
      <c r="M449" s="15" t="s">
        <v>3027</v>
      </c>
      <c r="N449" s="15" t="s">
        <v>3027</v>
      </c>
      <c r="O449" s="75"/>
      <c r="P449" s="15" t="s">
        <v>522</v>
      </c>
      <c r="Q449" s="75"/>
      <c r="R449" s="15" t="s">
        <v>522</v>
      </c>
    </row>
    <row r="450" spans="2:18">
      <c r="B450" s="15">
        <v>4</v>
      </c>
      <c r="C450" s="15" t="s">
        <v>515</v>
      </c>
      <c r="D450" s="15" t="s">
        <v>526</v>
      </c>
      <c r="E450" s="15">
        <v>19</v>
      </c>
      <c r="F450" s="15">
        <v>15</v>
      </c>
      <c r="G450" s="15">
        <v>66</v>
      </c>
      <c r="H450" s="15" t="s">
        <v>539</v>
      </c>
      <c r="I450" s="15" t="s">
        <v>3027</v>
      </c>
      <c r="J450" s="15" t="s">
        <v>3027</v>
      </c>
      <c r="K450" s="15" t="s">
        <v>3027</v>
      </c>
      <c r="L450" s="15" t="s">
        <v>3027</v>
      </c>
      <c r="M450" s="15" t="s">
        <v>3027</v>
      </c>
      <c r="N450" s="15" t="s">
        <v>3027</v>
      </c>
      <c r="O450" s="75"/>
      <c r="P450" s="15" t="s">
        <v>522</v>
      </c>
      <c r="Q450" s="75"/>
      <c r="R450" s="15" t="s">
        <v>522</v>
      </c>
    </row>
    <row r="451" spans="2:18">
      <c r="B451" s="15">
        <v>4</v>
      </c>
      <c r="C451" s="15" t="s">
        <v>515</v>
      </c>
      <c r="D451" s="15" t="s">
        <v>526</v>
      </c>
      <c r="E451" s="15">
        <v>20</v>
      </c>
      <c r="F451" s="15">
        <v>15</v>
      </c>
      <c r="G451" s="15">
        <v>65</v>
      </c>
      <c r="H451" s="15" t="s">
        <v>539</v>
      </c>
      <c r="I451" s="15" t="s">
        <v>3027</v>
      </c>
      <c r="J451" s="15" t="s">
        <v>3027</v>
      </c>
      <c r="K451" s="15" t="s">
        <v>3027</v>
      </c>
      <c r="L451" s="15" t="s">
        <v>3027</v>
      </c>
      <c r="M451" s="15" t="s">
        <v>3027</v>
      </c>
      <c r="N451" s="15" t="s">
        <v>3027</v>
      </c>
      <c r="O451" s="75"/>
      <c r="P451" s="15" t="s">
        <v>522</v>
      </c>
      <c r="Q451" s="75"/>
      <c r="R451" s="15" t="s">
        <v>522</v>
      </c>
    </row>
    <row r="452" spans="2:18">
      <c r="B452" s="15">
        <v>4</v>
      </c>
      <c r="C452" s="15" t="s">
        <v>515</v>
      </c>
      <c r="D452" s="15" t="s">
        <v>526</v>
      </c>
      <c r="E452" s="15">
        <v>21</v>
      </c>
      <c r="F452" s="15">
        <v>15</v>
      </c>
      <c r="G452" s="15">
        <v>64</v>
      </c>
      <c r="H452" s="15" t="s">
        <v>539</v>
      </c>
      <c r="I452" s="15" t="s">
        <v>3027</v>
      </c>
      <c r="J452" s="15" t="s">
        <v>3027</v>
      </c>
      <c r="K452" s="15" t="s">
        <v>3027</v>
      </c>
      <c r="L452" s="15" t="s">
        <v>3027</v>
      </c>
      <c r="M452" s="15" t="s">
        <v>3027</v>
      </c>
      <c r="N452" s="15" t="s">
        <v>3027</v>
      </c>
      <c r="O452" s="75"/>
      <c r="P452" s="15" t="s">
        <v>522</v>
      </c>
      <c r="Q452" s="75"/>
      <c r="R452" s="15" t="s">
        <v>522</v>
      </c>
    </row>
    <row r="453" spans="2:18">
      <c r="B453" s="15">
        <v>4</v>
      </c>
      <c r="C453" s="15" t="s">
        <v>515</v>
      </c>
      <c r="D453" s="15" t="s">
        <v>526</v>
      </c>
      <c r="E453" s="15">
        <v>22</v>
      </c>
      <c r="F453" s="15">
        <v>15</v>
      </c>
      <c r="G453" s="15">
        <v>63</v>
      </c>
      <c r="H453" s="15" t="s">
        <v>539</v>
      </c>
      <c r="I453" s="15" t="s">
        <v>3027</v>
      </c>
      <c r="J453" s="15" t="s">
        <v>3027</v>
      </c>
      <c r="K453" s="15" t="s">
        <v>3027</v>
      </c>
      <c r="L453" s="15" t="s">
        <v>3027</v>
      </c>
      <c r="M453" s="15" t="s">
        <v>3027</v>
      </c>
      <c r="N453" s="15" t="s">
        <v>3027</v>
      </c>
      <c r="O453" s="75"/>
      <c r="P453" s="15" t="s">
        <v>522</v>
      </c>
      <c r="Q453" s="75"/>
      <c r="R453" s="15" t="s">
        <v>522</v>
      </c>
    </row>
    <row r="454" spans="2:18">
      <c r="B454" s="15">
        <v>4</v>
      </c>
      <c r="C454" s="15" t="s">
        <v>515</v>
      </c>
      <c r="D454" s="15" t="s">
        <v>526</v>
      </c>
      <c r="E454" s="15">
        <v>23</v>
      </c>
      <c r="F454" s="15">
        <v>15</v>
      </c>
      <c r="G454" s="15">
        <v>62</v>
      </c>
      <c r="H454" s="15" t="s">
        <v>539</v>
      </c>
      <c r="I454" s="15" t="s">
        <v>3027</v>
      </c>
      <c r="J454" s="15" t="s">
        <v>3027</v>
      </c>
      <c r="K454" s="15" t="s">
        <v>3027</v>
      </c>
      <c r="L454" s="15" t="s">
        <v>3027</v>
      </c>
      <c r="M454" s="15" t="s">
        <v>3027</v>
      </c>
      <c r="N454" s="15" t="s">
        <v>3027</v>
      </c>
      <c r="O454" s="75"/>
      <c r="P454" s="15" t="s">
        <v>522</v>
      </c>
      <c r="Q454" s="75"/>
      <c r="R454" s="15" t="s">
        <v>522</v>
      </c>
    </row>
    <row r="455" spans="2:18">
      <c r="B455" s="15">
        <v>4</v>
      </c>
      <c r="C455" s="15" t="s">
        <v>515</v>
      </c>
      <c r="D455" s="15" t="s">
        <v>526</v>
      </c>
      <c r="E455" s="15">
        <v>24</v>
      </c>
      <c r="F455" s="15">
        <v>15</v>
      </c>
      <c r="G455" s="15">
        <v>61</v>
      </c>
      <c r="H455" s="15" t="s">
        <v>539</v>
      </c>
      <c r="I455" s="15" t="s">
        <v>3027</v>
      </c>
      <c r="J455" s="15" t="s">
        <v>3027</v>
      </c>
      <c r="K455" s="15" t="s">
        <v>3027</v>
      </c>
      <c r="L455" s="15" t="s">
        <v>3027</v>
      </c>
      <c r="M455" s="15" t="s">
        <v>3027</v>
      </c>
      <c r="N455" s="15" t="s">
        <v>3027</v>
      </c>
      <c r="O455" s="75"/>
      <c r="P455" s="15" t="s">
        <v>522</v>
      </c>
      <c r="Q455" s="75"/>
      <c r="R455" s="15" t="s">
        <v>522</v>
      </c>
    </row>
    <row r="456" spans="2:18">
      <c r="B456" s="15">
        <v>4</v>
      </c>
      <c r="C456" s="15" t="s">
        <v>515</v>
      </c>
      <c r="D456" s="15" t="s">
        <v>526</v>
      </c>
      <c r="E456" s="15">
        <v>25</v>
      </c>
      <c r="F456" s="15">
        <v>15</v>
      </c>
      <c r="G456" s="15">
        <v>60</v>
      </c>
      <c r="H456" s="15" t="s">
        <v>539</v>
      </c>
      <c r="I456" s="15" t="s">
        <v>3027</v>
      </c>
      <c r="J456" s="15" t="s">
        <v>3027</v>
      </c>
      <c r="K456" s="15" t="s">
        <v>3027</v>
      </c>
      <c r="L456" s="15" t="s">
        <v>3027</v>
      </c>
      <c r="M456" s="15" t="s">
        <v>3027</v>
      </c>
      <c r="N456" s="15" t="s">
        <v>3027</v>
      </c>
      <c r="O456" s="75"/>
      <c r="P456" s="15" t="s">
        <v>522</v>
      </c>
      <c r="Q456" s="75"/>
      <c r="R456" s="15" t="s">
        <v>522</v>
      </c>
    </row>
    <row r="457" spans="2:18">
      <c r="B457" s="15">
        <v>4</v>
      </c>
      <c r="C457" s="15" t="s">
        <v>515</v>
      </c>
      <c r="D457" s="15" t="s">
        <v>526</v>
      </c>
      <c r="E457" s="15">
        <v>26</v>
      </c>
      <c r="F457" s="15">
        <v>15</v>
      </c>
      <c r="G457" s="15">
        <v>59</v>
      </c>
      <c r="H457" s="15" t="s">
        <v>539</v>
      </c>
      <c r="I457" s="15" t="s">
        <v>3027</v>
      </c>
      <c r="J457" s="15" t="s">
        <v>3027</v>
      </c>
      <c r="K457" s="15" t="s">
        <v>3027</v>
      </c>
      <c r="L457" s="15" t="s">
        <v>3027</v>
      </c>
      <c r="M457" s="15" t="s">
        <v>3027</v>
      </c>
      <c r="N457" s="15" t="s">
        <v>3027</v>
      </c>
      <c r="O457" s="75"/>
      <c r="P457" s="15" t="s">
        <v>522</v>
      </c>
      <c r="Q457" s="75"/>
      <c r="R457" s="15" t="s">
        <v>522</v>
      </c>
    </row>
    <row r="458" spans="2:18">
      <c r="B458" s="15">
        <v>4</v>
      </c>
      <c r="C458" s="15" t="s">
        <v>515</v>
      </c>
      <c r="D458" s="15" t="s">
        <v>526</v>
      </c>
      <c r="E458" s="15">
        <v>27</v>
      </c>
      <c r="F458" s="15">
        <v>15</v>
      </c>
      <c r="G458" s="15">
        <v>58</v>
      </c>
      <c r="H458" s="15" t="s">
        <v>539</v>
      </c>
      <c r="I458" s="15" t="s">
        <v>3027</v>
      </c>
      <c r="J458" s="15" t="s">
        <v>3027</v>
      </c>
      <c r="K458" s="15" t="s">
        <v>3027</v>
      </c>
      <c r="L458" s="15" t="s">
        <v>3027</v>
      </c>
      <c r="M458" s="15" t="s">
        <v>3027</v>
      </c>
      <c r="N458" s="15" t="s">
        <v>3027</v>
      </c>
      <c r="O458" s="75"/>
      <c r="P458" s="15" t="s">
        <v>522</v>
      </c>
      <c r="Q458" s="75"/>
      <c r="R458" s="15" t="s">
        <v>522</v>
      </c>
    </row>
    <row r="459" spans="2:18">
      <c r="B459" s="15">
        <v>4</v>
      </c>
      <c r="C459" s="15" t="s">
        <v>515</v>
      </c>
      <c r="D459" s="15" t="s">
        <v>526</v>
      </c>
      <c r="E459" s="15">
        <v>28</v>
      </c>
      <c r="F459" s="15">
        <v>15</v>
      </c>
      <c r="G459" s="15">
        <v>57</v>
      </c>
      <c r="H459" s="15" t="s">
        <v>539</v>
      </c>
      <c r="I459" s="15" t="s">
        <v>3027</v>
      </c>
      <c r="J459" s="15" t="s">
        <v>3027</v>
      </c>
      <c r="K459" s="15" t="s">
        <v>3027</v>
      </c>
      <c r="L459" s="15" t="s">
        <v>3027</v>
      </c>
      <c r="M459" s="15" t="s">
        <v>3027</v>
      </c>
      <c r="N459" s="15" t="s">
        <v>3027</v>
      </c>
      <c r="O459" s="75"/>
      <c r="P459" s="15" t="s">
        <v>522</v>
      </c>
      <c r="Q459" s="75"/>
      <c r="R459" s="15" t="s">
        <v>522</v>
      </c>
    </row>
    <row r="460" spans="2:18">
      <c r="B460" s="15">
        <v>4</v>
      </c>
      <c r="C460" s="15" t="s">
        <v>515</v>
      </c>
      <c r="D460" s="15" t="s">
        <v>526</v>
      </c>
      <c r="E460" s="15">
        <v>29</v>
      </c>
      <c r="F460" s="15">
        <v>15</v>
      </c>
      <c r="G460" s="15">
        <v>56</v>
      </c>
      <c r="H460" s="15" t="s">
        <v>539</v>
      </c>
      <c r="I460" s="15" t="s">
        <v>3027</v>
      </c>
      <c r="J460" s="15" t="s">
        <v>3027</v>
      </c>
      <c r="K460" s="15" t="s">
        <v>3027</v>
      </c>
      <c r="L460" s="15" t="s">
        <v>3027</v>
      </c>
      <c r="M460" s="15" t="s">
        <v>3027</v>
      </c>
      <c r="N460" s="15" t="s">
        <v>3027</v>
      </c>
      <c r="O460" s="75"/>
      <c r="P460" s="15" t="s">
        <v>522</v>
      </c>
      <c r="Q460" s="75"/>
      <c r="R460" s="15" t="s">
        <v>522</v>
      </c>
    </row>
    <row r="461" spans="2:18">
      <c r="B461" s="15">
        <v>4</v>
      </c>
      <c r="C461" s="15" t="s">
        <v>515</v>
      </c>
      <c r="D461" s="15" t="s">
        <v>526</v>
      </c>
      <c r="E461" s="15">
        <v>30</v>
      </c>
      <c r="F461" s="15">
        <v>15</v>
      </c>
      <c r="G461" s="15">
        <v>55</v>
      </c>
      <c r="H461" s="15" t="s">
        <v>539</v>
      </c>
      <c r="I461" s="15" t="s">
        <v>3027</v>
      </c>
      <c r="J461" s="15" t="s">
        <v>3027</v>
      </c>
      <c r="K461" s="15" t="s">
        <v>3027</v>
      </c>
      <c r="L461" s="15" t="s">
        <v>3027</v>
      </c>
      <c r="M461" s="15" t="s">
        <v>3027</v>
      </c>
      <c r="N461" s="15" t="s">
        <v>3027</v>
      </c>
      <c r="O461" s="75"/>
      <c r="P461" s="15" t="s">
        <v>522</v>
      </c>
      <c r="Q461" s="75"/>
      <c r="R461" s="15" t="s">
        <v>522</v>
      </c>
    </row>
    <row r="462" spans="2:18">
      <c r="B462" s="15">
        <v>4</v>
      </c>
      <c r="C462" s="15" t="s">
        <v>516</v>
      </c>
      <c r="D462" s="15" t="s">
        <v>526</v>
      </c>
      <c r="E462" s="15">
        <v>5</v>
      </c>
      <c r="F462" s="15">
        <v>15</v>
      </c>
      <c r="G462" s="15">
        <v>80</v>
      </c>
      <c r="H462" s="15" t="s">
        <v>539</v>
      </c>
      <c r="I462" s="15" t="s">
        <v>3027</v>
      </c>
      <c r="J462" s="15" t="s">
        <v>3027</v>
      </c>
      <c r="K462" s="15" t="s">
        <v>3027</v>
      </c>
      <c r="L462" s="15" t="s">
        <v>3027</v>
      </c>
      <c r="M462" s="15" t="s">
        <v>3027</v>
      </c>
      <c r="N462" s="15" t="s">
        <v>3027</v>
      </c>
      <c r="O462" s="75"/>
      <c r="P462" s="15" t="s">
        <v>522</v>
      </c>
      <c r="Q462" s="75"/>
      <c r="R462" s="15" t="s">
        <v>522</v>
      </c>
    </row>
    <row r="463" spans="2:18">
      <c r="B463" s="15">
        <v>4</v>
      </c>
      <c r="C463" s="15" t="s">
        <v>516</v>
      </c>
      <c r="D463" s="15" t="s">
        <v>526</v>
      </c>
      <c r="E463" s="15">
        <v>6</v>
      </c>
      <c r="F463" s="15">
        <v>15</v>
      </c>
      <c r="G463" s="15">
        <v>79</v>
      </c>
      <c r="H463" s="15" t="s">
        <v>539</v>
      </c>
      <c r="I463" s="15" t="s">
        <v>3027</v>
      </c>
      <c r="J463" s="15" t="s">
        <v>3027</v>
      </c>
      <c r="K463" s="15" t="s">
        <v>3027</v>
      </c>
      <c r="L463" s="15" t="s">
        <v>3027</v>
      </c>
      <c r="M463" s="15" t="s">
        <v>3027</v>
      </c>
      <c r="N463" s="15" t="s">
        <v>3027</v>
      </c>
      <c r="O463" s="75"/>
      <c r="P463" s="15" t="s">
        <v>522</v>
      </c>
      <c r="Q463" s="75"/>
      <c r="R463" s="15" t="s">
        <v>522</v>
      </c>
    </row>
    <row r="464" spans="2:18">
      <c r="B464" s="15">
        <v>4</v>
      </c>
      <c r="C464" s="15" t="s">
        <v>516</v>
      </c>
      <c r="D464" s="15" t="s">
        <v>526</v>
      </c>
      <c r="E464" s="15">
        <v>7</v>
      </c>
      <c r="F464" s="15">
        <v>15</v>
      </c>
      <c r="G464" s="15">
        <v>78</v>
      </c>
      <c r="H464" s="15" t="s">
        <v>539</v>
      </c>
      <c r="I464" s="15" t="s">
        <v>3027</v>
      </c>
      <c r="J464" s="15" t="s">
        <v>3027</v>
      </c>
      <c r="K464" s="15" t="s">
        <v>3027</v>
      </c>
      <c r="L464" s="15" t="s">
        <v>3027</v>
      </c>
      <c r="M464" s="15" t="s">
        <v>3027</v>
      </c>
      <c r="N464" s="15" t="s">
        <v>3027</v>
      </c>
      <c r="O464" s="75"/>
      <c r="P464" s="15" t="s">
        <v>522</v>
      </c>
      <c r="Q464" s="75"/>
      <c r="R464" s="15" t="s">
        <v>522</v>
      </c>
    </row>
    <row r="465" spans="2:18">
      <c r="B465" s="15">
        <v>4</v>
      </c>
      <c r="C465" s="15" t="s">
        <v>516</v>
      </c>
      <c r="D465" s="15" t="s">
        <v>526</v>
      </c>
      <c r="E465" s="15">
        <v>8</v>
      </c>
      <c r="F465" s="15">
        <v>15</v>
      </c>
      <c r="G465" s="15">
        <v>77</v>
      </c>
      <c r="H465" s="15" t="s">
        <v>539</v>
      </c>
      <c r="I465" s="15" t="s">
        <v>3027</v>
      </c>
      <c r="J465" s="15" t="s">
        <v>3027</v>
      </c>
      <c r="K465" s="15" t="s">
        <v>3027</v>
      </c>
      <c r="L465" s="15" t="s">
        <v>3027</v>
      </c>
      <c r="M465" s="15" t="s">
        <v>3027</v>
      </c>
      <c r="N465" s="15" t="s">
        <v>3027</v>
      </c>
      <c r="O465" s="75"/>
      <c r="P465" s="15" t="s">
        <v>522</v>
      </c>
      <c r="Q465" s="75"/>
      <c r="R465" s="15" t="s">
        <v>522</v>
      </c>
    </row>
    <row r="466" spans="2:18">
      <c r="B466" s="15">
        <v>4</v>
      </c>
      <c r="C466" s="15" t="s">
        <v>516</v>
      </c>
      <c r="D466" s="15" t="s">
        <v>526</v>
      </c>
      <c r="E466" s="15">
        <v>9</v>
      </c>
      <c r="F466" s="15">
        <v>15</v>
      </c>
      <c r="G466" s="15">
        <v>76</v>
      </c>
      <c r="H466" s="15" t="s">
        <v>539</v>
      </c>
      <c r="I466" s="15" t="s">
        <v>3027</v>
      </c>
      <c r="J466" s="15" t="s">
        <v>3027</v>
      </c>
      <c r="K466" s="15" t="s">
        <v>3027</v>
      </c>
      <c r="L466" s="15" t="s">
        <v>3027</v>
      </c>
      <c r="M466" s="15" t="s">
        <v>3027</v>
      </c>
      <c r="N466" s="15" t="s">
        <v>3027</v>
      </c>
      <c r="O466" s="75"/>
      <c r="P466" s="15" t="s">
        <v>522</v>
      </c>
      <c r="Q466" s="75"/>
      <c r="R466" s="15" t="s">
        <v>522</v>
      </c>
    </row>
    <row r="467" spans="2:18">
      <c r="B467" s="15">
        <v>4</v>
      </c>
      <c r="C467" s="15" t="s">
        <v>516</v>
      </c>
      <c r="D467" s="15" t="s">
        <v>526</v>
      </c>
      <c r="E467" s="15">
        <v>10</v>
      </c>
      <c r="F467" s="15">
        <v>15</v>
      </c>
      <c r="G467" s="15">
        <v>75</v>
      </c>
      <c r="H467" s="15" t="s">
        <v>539</v>
      </c>
      <c r="I467" s="15" t="s">
        <v>3027</v>
      </c>
      <c r="J467" s="15" t="s">
        <v>3027</v>
      </c>
      <c r="K467" s="15" t="s">
        <v>3027</v>
      </c>
      <c r="L467" s="15" t="s">
        <v>3027</v>
      </c>
      <c r="M467" s="15" t="s">
        <v>3027</v>
      </c>
      <c r="N467" s="15" t="s">
        <v>3027</v>
      </c>
      <c r="O467" s="75"/>
      <c r="P467" s="15" t="s">
        <v>522</v>
      </c>
      <c r="Q467" s="75"/>
      <c r="R467" s="15" t="s">
        <v>522</v>
      </c>
    </row>
    <row r="468" spans="2:18">
      <c r="B468" s="15">
        <v>4</v>
      </c>
      <c r="C468" s="15" t="s">
        <v>516</v>
      </c>
      <c r="D468" s="15" t="s">
        <v>526</v>
      </c>
      <c r="E468" s="15">
        <v>11</v>
      </c>
      <c r="F468" s="15">
        <v>15</v>
      </c>
      <c r="G468" s="15">
        <v>74</v>
      </c>
      <c r="H468" s="15" t="s">
        <v>539</v>
      </c>
      <c r="I468" s="15" t="s">
        <v>3027</v>
      </c>
      <c r="J468" s="15" t="s">
        <v>3027</v>
      </c>
      <c r="K468" s="15" t="s">
        <v>3027</v>
      </c>
      <c r="L468" s="15" t="s">
        <v>3027</v>
      </c>
      <c r="M468" s="15" t="s">
        <v>3027</v>
      </c>
      <c r="N468" s="15" t="s">
        <v>3027</v>
      </c>
      <c r="O468" s="75"/>
      <c r="P468" s="15" t="s">
        <v>522</v>
      </c>
      <c r="Q468" s="75"/>
      <c r="R468" s="15" t="s">
        <v>522</v>
      </c>
    </row>
    <row r="469" spans="2:18">
      <c r="B469" s="15">
        <v>4</v>
      </c>
      <c r="C469" s="15" t="s">
        <v>516</v>
      </c>
      <c r="D469" s="15" t="s">
        <v>526</v>
      </c>
      <c r="E469" s="15">
        <v>12</v>
      </c>
      <c r="F469" s="15">
        <v>15</v>
      </c>
      <c r="G469" s="15">
        <v>73</v>
      </c>
      <c r="H469" s="15" t="s">
        <v>539</v>
      </c>
      <c r="I469" s="15" t="s">
        <v>3027</v>
      </c>
      <c r="J469" s="15" t="s">
        <v>3027</v>
      </c>
      <c r="K469" s="15" t="s">
        <v>3027</v>
      </c>
      <c r="L469" s="15" t="s">
        <v>3027</v>
      </c>
      <c r="M469" s="15" t="s">
        <v>3027</v>
      </c>
      <c r="N469" s="15" t="s">
        <v>3027</v>
      </c>
      <c r="O469" s="75"/>
      <c r="P469" s="15" t="s">
        <v>522</v>
      </c>
      <c r="Q469" s="75"/>
      <c r="R469" s="15" t="s">
        <v>522</v>
      </c>
    </row>
    <row r="470" spans="2:18">
      <c r="B470" s="15">
        <v>4</v>
      </c>
      <c r="C470" s="15" t="s">
        <v>516</v>
      </c>
      <c r="D470" s="15" t="s">
        <v>526</v>
      </c>
      <c r="E470" s="15">
        <v>13</v>
      </c>
      <c r="F470" s="15">
        <v>15</v>
      </c>
      <c r="G470" s="15">
        <v>72</v>
      </c>
      <c r="H470" s="15" t="s">
        <v>539</v>
      </c>
      <c r="I470" s="15" t="s">
        <v>3027</v>
      </c>
      <c r="J470" s="15" t="s">
        <v>3027</v>
      </c>
      <c r="K470" s="15" t="s">
        <v>3027</v>
      </c>
      <c r="L470" s="15" t="s">
        <v>3027</v>
      </c>
      <c r="M470" s="15" t="s">
        <v>3027</v>
      </c>
      <c r="N470" s="15" t="s">
        <v>3027</v>
      </c>
      <c r="O470" s="75"/>
      <c r="P470" s="15" t="s">
        <v>522</v>
      </c>
      <c r="Q470" s="75"/>
      <c r="R470" s="15" t="s">
        <v>522</v>
      </c>
    </row>
    <row r="471" spans="2:18">
      <c r="B471" s="15">
        <v>4</v>
      </c>
      <c r="C471" s="15" t="s">
        <v>516</v>
      </c>
      <c r="D471" s="15" t="s">
        <v>526</v>
      </c>
      <c r="E471" s="15">
        <v>14</v>
      </c>
      <c r="F471" s="15">
        <v>15</v>
      </c>
      <c r="G471" s="15">
        <v>71</v>
      </c>
      <c r="H471" s="15" t="s">
        <v>539</v>
      </c>
      <c r="I471" s="15" t="s">
        <v>3027</v>
      </c>
      <c r="J471" s="15" t="s">
        <v>3027</v>
      </c>
      <c r="K471" s="15" t="s">
        <v>3027</v>
      </c>
      <c r="L471" s="15" t="s">
        <v>3027</v>
      </c>
      <c r="M471" s="15" t="s">
        <v>3027</v>
      </c>
      <c r="N471" s="15" t="s">
        <v>3027</v>
      </c>
      <c r="O471" s="75"/>
      <c r="P471" s="15" t="s">
        <v>522</v>
      </c>
      <c r="Q471" s="75"/>
      <c r="R471" s="15" t="s">
        <v>522</v>
      </c>
    </row>
    <row r="472" spans="2:18">
      <c r="B472" s="15">
        <v>4</v>
      </c>
      <c r="C472" s="15" t="s">
        <v>516</v>
      </c>
      <c r="D472" s="15" t="s">
        <v>526</v>
      </c>
      <c r="E472" s="15">
        <v>15</v>
      </c>
      <c r="F472" s="15">
        <v>15</v>
      </c>
      <c r="G472" s="15">
        <v>70</v>
      </c>
      <c r="H472" s="15" t="s">
        <v>539</v>
      </c>
      <c r="I472" s="15" t="s">
        <v>3027</v>
      </c>
      <c r="J472" s="15" t="s">
        <v>3027</v>
      </c>
      <c r="K472" s="15" t="s">
        <v>3027</v>
      </c>
      <c r="L472" s="15" t="s">
        <v>3027</v>
      </c>
      <c r="M472" s="15" t="s">
        <v>3027</v>
      </c>
      <c r="N472" s="15" t="s">
        <v>3027</v>
      </c>
      <c r="O472" s="75"/>
      <c r="P472" s="15" t="s">
        <v>522</v>
      </c>
      <c r="Q472" s="75"/>
      <c r="R472" s="15" t="s">
        <v>522</v>
      </c>
    </row>
    <row r="473" spans="2:18">
      <c r="B473" s="15">
        <v>4</v>
      </c>
      <c r="C473" s="15" t="s">
        <v>516</v>
      </c>
      <c r="D473" s="15" t="s">
        <v>526</v>
      </c>
      <c r="E473" s="15">
        <v>16</v>
      </c>
      <c r="F473" s="15">
        <v>15</v>
      </c>
      <c r="G473" s="15">
        <v>69</v>
      </c>
      <c r="H473" s="15" t="s">
        <v>539</v>
      </c>
      <c r="I473" s="15" t="s">
        <v>3027</v>
      </c>
      <c r="J473" s="15" t="s">
        <v>3027</v>
      </c>
      <c r="K473" s="15" t="s">
        <v>3027</v>
      </c>
      <c r="L473" s="15" t="s">
        <v>3027</v>
      </c>
      <c r="M473" s="15" t="s">
        <v>3027</v>
      </c>
      <c r="N473" s="15" t="s">
        <v>3027</v>
      </c>
      <c r="O473" s="75"/>
      <c r="P473" s="15" t="s">
        <v>522</v>
      </c>
      <c r="Q473" s="75"/>
      <c r="R473" s="15" t="s">
        <v>522</v>
      </c>
    </row>
    <row r="474" spans="2:18">
      <c r="B474" s="15">
        <v>4</v>
      </c>
      <c r="C474" s="15" t="s">
        <v>516</v>
      </c>
      <c r="D474" s="15" t="s">
        <v>526</v>
      </c>
      <c r="E474" s="15">
        <v>17</v>
      </c>
      <c r="F474" s="15">
        <v>15</v>
      </c>
      <c r="G474" s="15">
        <v>68</v>
      </c>
      <c r="H474" s="15" t="s">
        <v>539</v>
      </c>
      <c r="I474" s="15" t="s">
        <v>3027</v>
      </c>
      <c r="J474" s="15" t="s">
        <v>3027</v>
      </c>
      <c r="K474" s="15" t="s">
        <v>3027</v>
      </c>
      <c r="L474" s="15" t="s">
        <v>3027</v>
      </c>
      <c r="M474" s="15" t="s">
        <v>3027</v>
      </c>
      <c r="N474" s="15" t="s">
        <v>3027</v>
      </c>
      <c r="O474" s="75"/>
      <c r="P474" s="15" t="s">
        <v>522</v>
      </c>
      <c r="Q474" s="75"/>
      <c r="R474" s="15" t="s">
        <v>522</v>
      </c>
    </row>
    <row r="475" spans="2:18">
      <c r="B475" s="15">
        <v>4</v>
      </c>
      <c r="C475" s="15" t="s">
        <v>516</v>
      </c>
      <c r="D475" s="15" t="s">
        <v>526</v>
      </c>
      <c r="E475" s="15">
        <v>18</v>
      </c>
      <c r="F475" s="15">
        <v>15</v>
      </c>
      <c r="G475" s="15">
        <v>67</v>
      </c>
      <c r="H475" s="15" t="s">
        <v>539</v>
      </c>
      <c r="I475" s="15" t="s">
        <v>3027</v>
      </c>
      <c r="J475" s="15" t="s">
        <v>3027</v>
      </c>
      <c r="K475" s="15" t="s">
        <v>3027</v>
      </c>
      <c r="L475" s="15" t="s">
        <v>3027</v>
      </c>
      <c r="M475" s="15" t="s">
        <v>3027</v>
      </c>
      <c r="N475" s="15" t="s">
        <v>3027</v>
      </c>
      <c r="O475" s="75"/>
      <c r="P475" s="15" t="s">
        <v>522</v>
      </c>
      <c r="Q475" s="75"/>
      <c r="R475" s="15" t="s">
        <v>522</v>
      </c>
    </row>
    <row r="476" spans="2:18">
      <c r="B476" s="15">
        <v>4</v>
      </c>
      <c r="C476" s="15" t="s">
        <v>516</v>
      </c>
      <c r="D476" s="15" t="s">
        <v>526</v>
      </c>
      <c r="E476" s="15">
        <v>19</v>
      </c>
      <c r="F476" s="15">
        <v>15</v>
      </c>
      <c r="G476" s="15">
        <v>66</v>
      </c>
      <c r="H476" s="15" t="s">
        <v>539</v>
      </c>
      <c r="I476" s="15" t="s">
        <v>3027</v>
      </c>
      <c r="J476" s="15" t="s">
        <v>3027</v>
      </c>
      <c r="K476" s="15" t="s">
        <v>3027</v>
      </c>
      <c r="L476" s="15" t="s">
        <v>3027</v>
      </c>
      <c r="M476" s="15" t="s">
        <v>3027</v>
      </c>
      <c r="N476" s="15" t="s">
        <v>3027</v>
      </c>
      <c r="O476" s="75"/>
      <c r="P476" s="15" t="s">
        <v>522</v>
      </c>
      <c r="Q476" s="75"/>
      <c r="R476" s="15" t="s">
        <v>522</v>
      </c>
    </row>
    <row r="477" spans="2:18">
      <c r="B477" s="15">
        <v>4</v>
      </c>
      <c r="C477" s="15" t="s">
        <v>516</v>
      </c>
      <c r="D477" s="15" t="s">
        <v>526</v>
      </c>
      <c r="E477" s="15">
        <v>20</v>
      </c>
      <c r="F477" s="15">
        <v>15</v>
      </c>
      <c r="G477" s="15">
        <v>65</v>
      </c>
      <c r="H477" s="15" t="s">
        <v>539</v>
      </c>
      <c r="I477" s="15" t="s">
        <v>3027</v>
      </c>
      <c r="J477" s="15" t="s">
        <v>3027</v>
      </c>
      <c r="K477" s="15" t="s">
        <v>3027</v>
      </c>
      <c r="L477" s="15" t="s">
        <v>3027</v>
      </c>
      <c r="M477" s="15" t="s">
        <v>3027</v>
      </c>
      <c r="N477" s="15" t="s">
        <v>3027</v>
      </c>
      <c r="O477" s="75"/>
      <c r="P477" s="15" t="s">
        <v>522</v>
      </c>
      <c r="Q477" s="75"/>
      <c r="R477" s="15" t="s">
        <v>522</v>
      </c>
    </row>
    <row r="478" spans="2:18">
      <c r="B478" s="15">
        <v>4</v>
      </c>
      <c r="C478" s="15" t="s">
        <v>517</v>
      </c>
      <c r="D478" s="15" t="s">
        <v>526</v>
      </c>
      <c r="E478" s="15">
        <v>5</v>
      </c>
      <c r="F478" s="15">
        <v>15</v>
      </c>
      <c r="G478" s="15">
        <v>80</v>
      </c>
      <c r="H478" s="15" t="s">
        <v>539</v>
      </c>
      <c r="I478" s="15" t="s">
        <v>3027</v>
      </c>
      <c r="J478" s="15" t="s">
        <v>3027</v>
      </c>
      <c r="K478" s="15" t="s">
        <v>3027</v>
      </c>
      <c r="L478" s="15" t="s">
        <v>3027</v>
      </c>
      <c r="M478" s="15" t="s">
        <v>3027</v>
      </c>
      <c r="N478" s="15" t="s">
        <v>3027</v>
      </c>
      <c r="O478" s="75"/>
      <c r="P478" s="15" t="s">
        <v>522</v>
      </c>
      <c r="Q478" s="75"/>
      <c r="R478" s="15" t="s">
        <v>522</v>
      </c>
    </row>
    <row r="479" spans="2:18">
      <c r="B479" s="15">
        <v>4</v>
      </c>
      <c r="C479" s="15" t="s">
        <v>517</v>
      </c>
      <c r="D479" s="15" t="s">
        <v>526</v>
      </c>
      <c r="E479" s="15">
        <v>6</v>
      </c>
      <c r="F479" s="15">
        <v>15</v>
      </c>
      <c r="G479" s="15">
        <v>79</v>
      </c>
      <c r="H479" s="15" t="s">
        <v>539</v>
      </c>
      <c r="I479" s="15" t="s">
        <v>3027</v>
      </c>
      <c r="J479" s="15" t="s">
        <v>3027</v>
      </c>
      <c r="K479" s="15" t="s">
        <v>3027</v>
      </c>
      <c r="L479" s="15" t="s">
        <v>3027</v>
      </c>
      <c r="M479" s="15" t="s">
        <v>3027</v>
      </c>
      <c r="N479" s="15" t="s">
        <v>3027</v>
      </c>
      <c r="O479" s="75"/>
      <c r="P479" s="15" t="s">
        <v>522</v>
      </c>
      <c r="Q479" s="75"/>
      <c r="R479" s="15" t="s">
        <v>522</v>
      </c>
    </row>
    <row r="480" spans="2:18">
      <c r="B480" s="15">
        <v>4</v>
      </c>
      <c r="C480" s="15" t="s">
        <v>517</v>
      </c>
      <c r="D480" s="15" t="s">
        <v>526</v>
      </c>
      <c r="E480" s="15">
        <v>7</v>
      </c>
      <c r="F480" s="15">
        <v>15</v>
      </c>
      <c r="G480" s="15">
        <v>78</v>
      </c>
      <c r="H480" s="15" t="s">
        <v>539</v>
      </c>
      <c r="I480" s="15" t="s">
        <v>3027</v>
      </c>
      <c r="J480" s="15" t="s">
        <v>3027</v>
      </c>
      <c r="K480" s="15" t="s">
        <v>3027</v>
      </c>
      <c r="L480" s="15" t="s">
        <v>3027</v>
      </c>
      <c r="M480" s="15" t="s">
        <v>3027</v>
      </c>
      <c r="N480" s="15" t="s">
        <v>3027</v>
      </c>
      <c r="O480" s="75"/>
      <c r="P480" s="15" t="s">
        <v>522</v>
      </c>
      <c r="Q480" s="75"/>
      <c r="R480" s="15" t="s">
        <v>522</v>
      </c>
    </row>
    <row r="481" spans="2:18">
      <c r="B481" s="15">
        <v>4</v>
      </c>
      <c r="C481" s="15" t="s">
        <v>517</v>
      </c>
      <c r="D481" s="15" t="s">
        <v>526</v>
      </c>
      <c r="E481" s="15">
        <v>8</v>
      </c>
      <c r="F481" s="15">
        <v>15</v>
      </c>
      <c r="G481" s="15">
        <v>77</v>
      </c>
      <c r="H481" s="15" t="s">
        <v>539</v>
      </c>
      <c r="I481" s="15" t="s">
        <v>3027</v>
      </c>
      <c r="J481" s="15" t="s">
        <v>3027</v>
      </c>
      <c r="K481" s="15" t="s">
        <v>3027</v>
      </c>
      <c r="L481" s="15" t="s">
        <v>3027</v>
      </c>
      <c r="M481" s="15" t="s">
        <v>3027</v>
      </c>
      <c r="N481" s="15" t="s">
        <v>3027</v>
      </c>
      <c r="O481" s="75"/>
      <c r="P481" s="15" t="s">
        <v>522</v>
      </c>
      <c r="Q481" s="75"/>
      <c r="R481" s="15" t="s">
        <v>522</v>
      </c>
    </row>
    <row r="482" spans="2:18">
      <c r="B482" s="15">
        <v>4</v>
      </c>
      <c r="C482" s="15" t="s">
        <v>517</v>
      </c>
      <c r="D482" s="15" t="s">
        <v>526</v>
      </c>
      <c r="E482" s="15">
        <v>9</v>
      </c>
      <c r="F482" s="15">
        <v>15</v>
      </c>
      <c r="G482" s="15">
        <v>76</v>
      </c>
      <c r="H482" s="15" t="s">
        <v>539</v>
      </c>
      <c r="I482" s="15" t="s">
        <v>3027</v>
      </c>
      <c r="J482" s="15" t="s">
        <v>3027</v>
      </c>
      <c r="K482" s="15" t="s">
        <v>3027</v>
      </c>
      <c r="L482" s="15" t="s">
        <v>3027</v>
      </c>
      <c r="M482" s="15" t="s">
        <v>3027</v>
      </c>
      <c r="N482" s="15" t="s">
        <v>3027</v>
      </c>
      <c r="O482" s="75"/>
      <c r="P482" s="15" t="s">
        <v>522</v>
      </c>
      <c r="Q482" s="75"/>
      <c r="R482" s="15" t="s">
        <v>522</v>
      </c>
    </row>
    <row r="483" spans="2:18">
      <c r="B483" s="15">
        <v>4</v>
      </c>
      <c r="C483" s="15" t="s">
        <v>517</v>
      </c>
      <c r="D483" s="15" t="s">
        <v>526</v>
      </c>
      <c r="E483" s="15">
        <v>10</v>
      </c>
      <c r="F483" s="15">
        <v>15</v>
      </c>
      <c r="G483" s="15">
        <v>75</v>
      </c>
      <c r="H483" s="15" t="s">
        <v>539</v>
      </c>
      <c r="I483" s="15" t="s">
        <v>3027</v>
      </c>
      <c r="J483" s="15" t="s">
        <v>3027</v>
      </c>
      <c r="K483" s="15" t="s">
        <v>3027</v>
      </c>
      <c r="L483" s="15" t="s">
        <v>3027</v>
      </c>
      <c r="M483" s="15" t="s">
        <v>3027</v>
      </c>
      <c r="N483" s="15" t="s">
        <v>3027</v>
      </c>
      <c r="O483" s="75"/>
      <c r="P483" s="15" t="s">
        <v>522</v>
      </c>
      <c r="Q483" s="75"/>
      <c r="R483" s="15" t="s">
        <v>522</v>
      </c>
    </row>
    <row r="484" spans="2:18">
      <c r="B484" s="15">
        <v>4</v>
      </c>
      <c r="C484" s="15" t="s">
        <v>517</v>
      </c>
      <c r="D484" s="15" t="s">
        <v>526</v>
      </c>
      <c r="E484" s="15">
        <v>11</v>
      </c>
      <c r="F484" s="15">
        <v>15</v>
      </c>
      <c r="G484" s="15">
        <v>74</v>
      </c>
      <c r="H484" s="15" t="s">
        <v>539</v>
      </c>
      <c r="I484" s="15" t="s">
        <v>3027</v>
      </c>
      <c r="J484" s="15" t="s">
        <v>3027</v>
      </c>
      <c r="K484" s="15" t="s">
        <v>3027</v>
      </c>
      <c r="L484" s="15" t="s">
        <v>3027</v>
      </c>
      <c r="M484" s="15" t="s">
        <v>3027</v>
      </c>
      <c r="N484" s="15" t="s">
        <v>3027</v>
      </c>
      <c r="O484" s="75"/>
      <c r="P484" s="15" t="s">
        <v>522</v>
      </c>
      <c r="Q484" s="75"/>
      <c r="R484" s="15" t="s">
        <v>522</v>
      </c>
    </row>
    <row r="485" spans="2:18">
      <c r="B485" s="15">
        <v>4</v>
      </c>
      <c r="C485" s="15" t="s">
        <v>517</v>
      </c>
      <c r="D485" s="15" t="s">
        <v>526</v>
      </c>
      <c r="E485" s="15">
        <v>12</v>
      </c>
      <c r="F485" s="15">
        <v>15</v>
      </c>
      <c r="G485" s="15">
        <v>73</v>
      </c>
      <c r="H485" s="15" t="s">
        <v>539</v>
      </c>
      <c r="I485" s="15" t="s">
        <v>3027</v>
      </c>
      <c r="J485" s="15" t="s">
        <v>3027</v>
      </c>
      <c r="K485" s="15" t="s">
        <v>3027</v>
      </c>
      <c r="L485" s="15" t="s">
        <v>3027</v>
      </c>
      <c r="M485" s="15" t="s">
        <v>3027</v>
      </c>
      <c r="N485" s="15" t="s">
        <v>3027</v>
      </c>
      <c r="O485" s="75"/>
      <c r="P485" s="15" t="s">
        <v>522</v>
      </c>
      <c r="Q485" s="75"/>
      <c r="R485" s="15" t="s">
        <v>522</v>
      </c>
    </row>
    <row r="486" spans="2:18">
      <c r="B486" s="15">
        <v>4</v>
      </c>
      <c r="C486" s="15" t="s">
        <v>517</v>
      </c>
      <c r="D486" s="15" t="s">
        <v>526</v>
      </c>
      <c r="E486" s="15">
        <v>13</v>
      </c>
      <c r="F486" s="15">
        <v>15</v>
      </c>
      <c r="G486" s="15">
        <v>72</v>
      </c>
      <c r="H486" s="15" t="s">
        <v>539</v>
      </c>
      <c r="I486" s="15" t="s">
        <v>3027</v>
      </c>
      <c r="J486" s="15" t="s">
        <v>3027</v>
      </c>
      <c r="K486" s="15" t="s">
        <v>3027</v>
      </c>
      <c r="L486" s="15" t="s">
        <v>3027</v>
      </c>
      <c r="M486" s="15" t="s">
        <v>3027</v>
      </c>
      <c r="N486" s="15" t="s">
        <v>3027</v>
      </c>
      <c r="O486" s="75"/>
      <c r="P486" s="15" t="s">
        <v>522</v>
      </c>
      <c r="Q486" s="75"/>
      <c r="R486" s="15" t="s">
        <v>522</v>
      </c>
    </row>
    <row r="487" spans="2:18">
      <c r="B487" s="15">
        <v>4</v>
      </c>
      <c r="C487" s="15" t="s">
        <v>517</v>
      </c>
      <c r="D487" s="15" t="s">
        <v>526</v>
      </c>
      <c r="E487" s="15">
        <v>14</v>
      </c>
      <c r="F487" s="15">
        <v>15</v>
      </c>
      <c r="G487" s="15">
        <v>71</v>
      </c>
      <c r="H487" s="15" t="s">
        <v>539</v>
      </c>
      <c r="I487" s="15" t="s">
        <v>3027</v>
      </c>
      <c r="J487" s="15" t="s">
        <v>3027</v>
      </c>
      <c r="K487" s="15" t="s">
        <v>3027</v>
      </c>
      <c r="L487" s="15" t="s">
        <v>3027</v>
      </c>
      <c r="M487" s="15" t="s">
        <v>3027</v>
      </c>
      <c r="N487" s="15" t="s">
        <v>3027</v>
      </c>
      <c r="O487" s="75"/>
      <c r="P487" s="15" t="s">
        <v>522</v>
      </c>
      <c r="Q487" s="75"/>
      <c r="R487" s="15" t="s">
        <v>522</v>
      </c>
    </row>
    <row r="488" spans="2:18">
      <c r="B488" s="15">
        <v>4</v>
      </c>
      <c r="C488" s="15" t="s">
        <v>517</v>
      </c>
      <c r="D488" s="15" t="s">
        <v>526</v>
      </c>
      <c r="E488" s="15">
        <v>15</v>
      </c>
      <c r="F488" s="15">
        <v>15</v>
      </c>
      <c r="G488" s="15">
        <v>70</v>
      </c>
      <c r="H488" s="15" t="s">
        <v>539</v>
      </c>
      <c r="I488" s="15" t="s">
        <v>3027</v>
      </c>
      <c r="J488" s="15" t="s">
        <v>3027</v>
      </c>
      <c r="K488" s="15" t="s">
        <v>3027</v>
      </c>
      <c r="L488" s="15" t="s">
        <v>3027</v>
      </c>
      <c r="M488" s="15" t="s">
        <v>3027</v>
      </c>
      <c r="N488" s="15" t="s">
        <v>3027</v>
      </c>
      <c r="O488" s="75"/>
      <c r="P488" s="15" t="s">
        <v>522</v>
      </c>
      <c r="Q488" s="75"/>
      <c r="R488" s="15" t="s">
        <v>522</v>
      </c>
    </row>
    <row r="489" spans="2:18">
      <c r="B489" s="15">
        <v>4</v>
      </c>
      <c r="C489" s="15" t="s">
        <v>517</v>
      </c>
      <c r="D489" s="15" t="s">
        <v>526</v>
      </c>
      <c r="E489" s="15">
        <v>16</v>
      </c>
      <c r="F489" s="15">
        <v>15</v>
      </c>
      <c r="G489" s="15">
        <v>69</v>
      </c>
      <c r="H489" s="15" t="s">
        <v>539</v>
      </c>
      <c r="I489" s="15" t="s">
        <v>3027</v>
      </c>
      <c r="J489" s="15" t="s">
        <v>3027</v>
      </c>
      <c r="K489" s="15" t="s">
        <v>3027</v>
      </c>
      <c r="L489" s="15" t="s">
        <v>3027</v>
      </c>
      <c r="M489" s="15" t="s">
        <v>3027</v>
      </c>
      <c r="N489" s="15" t="s">
        <v>3027</v>
      </c>
      <c r="O489" s="75"/>
      <c r="P489" s="15" t="s">
        <v>522</v>
      </c>
      <c r="Q489" s="75"/>
      <c r="R489" s="15" t="s">
        <v>522</v>
      </c>
    </row>
    <row r="490" spans="2:18">
      <c r="B490" s="15">
        <v>4</v>
      </c>
      <c r="C490" s="15" t="s">
        <v>517</v>
      </c>
      <c r="D490" s="15" t="s">
        <v>526</v>
      </c>
      <c r="E490" s="15">
        <v>17</v>
      </c>
      <c r="F490" s="15">
        <v>15</v>
      </c>
      <c r="G490" s="15">
        <v>68</v>
      </c>
      <c r="H490" s="15" t="s">
        <v>539</v>
      </c>
      <c r="I490" s="15" t="s">
        <v>3027</v>
      </c>
      <c r="J490" s="15" t="s">
        <v>3027</v>
      </c>
      <c r="K490" s="15" t="s">
        <v>3027</v>
      </c>
      <c r="L490" s="15" t="s">
        <v>3027</v>
      </c>
      <c r="M490" s="15" t="s">
        <v>3027</v>
      </c>
      <c r="N490" s="15" t="s">
        <v>3027</v>
      </c>
      <c r="O490" s="75"/>
      <c r="P490" s="15" t="s">
        <v>522</v>
      </c>
      <c r="Q490" s="75"/>
      <c r="R490" s="15" t="s">
        <v>522</v>
      </c>
    </row>
    <row r="491" spans="2:18">
      <c r="B491" s="15">
        <v>4</v>
      </c>
      <c r="C491" s="15" t="s">
        <v>517</v>
      </c>
      <c r="D491" s="15" t="s">
        <v>526</v>
      </c>
      <c r="E491" s="15">
        <v>18</v>
      </c>
      <c r="F491" s="15">
        <v>15</v>
      </c>
      <c r="G491" s="15">
        <v>67</v>
      </c>
      <c r="H491" s="15" t="s">
        <v>539</v>
      </c>
      <c r="I491" s="15" t="s">
        <v>3027</v>
      </c>
      <c r="J491" s="15" t="s">
        <v>3027</v>
      </c>
      <c r="K491" s="15" t="s">
        <v>3027</v>
      </c>
      <c r="L491" s="15" t="s">
        <v>3027</v>
      </c>
      <c r="M491" s="15" t="s">
        <v>3027</v>
      </c>
      <c r="N491" s="15" t="s">
        <v>3027</v>
      </c>
      <c r="O491" s="75"/>
      <c r="P491" s="15" t="s">
        <v>522</v>
      </c>
      <c r="Q491" s="75"/>
      <c r="R491" s="15" t="s">
        <v>522</v>
      </c>
    </row>
    <row r="492" spans="2:18">
      <c r="B492" s="15">
        <v>4</v>
      </c>
      <c r="C492" s="15" t="s">
        <v>517</v>
      </c>
      <c r="D492" s="15" t="s">
        <v>526</v>
      </c>
      <c r="E492" s="15">
        <v>19</v>
      </c>
      <c r="F492" s="15">
        <v>15</v>
      </c>
      <c r="G492" s="15">
        <v>66</v>
      </c>
      <c r="H492" s="15" t="s">
        <v>539</v>
      </c>
      <c r="I492" s="15" t="s">
        <v>3027</v>
      </c>
      <c r="J492" s="15" t="s">
        <v>3027</v>
      </c>
      <c r="K492" s="15" t="s">
        <v>3027</v>
      </c>
      <c r="L492" s="15" t="s">
        <v>3027</v>
      </c>
      <c r="M492" s="15" t="s">
        <v>3027</v>
      </c>
      <c r="N492" s="15" t="s">
        <v>3027</v>
      </c>
      <c r="O492" s="75"/>
      <c r="P492" s="15" t="s">
        <v>522</v>
      </c>
      <c r="Q492" s="75"/>
      <c r="R492" s="15" t="s">
        <v>522</v>
      </c>
    </row>
    <row r="493" spans="2:18">
      <c r="B493" s="15">
        <v>4</v>
      </c>
      <c r="C493" s="15" t="s">
        <v>517</v>
      </c>
      <c r="D493" s="15" t="s">
        <v>526</v>
      </c>
      <c r="E493" s="15">
        <v>20</v>
      </c>
      <c r="F493" s="15">
        <v>15</v>
      </c>
      <c r="G493" s="15">
        <v>65</v>
      </c>
      <c r="H493" s="15" t="s">
        <v>539</v>
      </c>
      <c r="I493" s="15" t="s">
        <v>3027</v>
      </c>
      <c r="J493" s="15" t="s">
        <v>3027</v>
      </c>
      <c r="K493" s="15" t="s">
        <v>3027</v>
      </c>
      <c r="L493" s="15" t="s">
        <v>3027</v>
      </c>
      <c r="M493" s="15" t="s">
        <v>3027</v>
      </c>
      <c r="N493" s="15" t="s">
        <v>3027</v>
      </c>
      <c r="O493" s="75"/>
      <c r="P493" s="15" t="s">
        <v>522</v>
      </c>
      <c r="Q493" s="75"/>
      <c r="R493" s="15" t="s">
        <v>522</v>
      </c>
    </row>
  </sheetData>
  <phoneticPr fontId="3" type="noConversion"/>
  <hyperlinks>
    <hyperlink ref="A1" location="目錄!A1" display="回到目錄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9"/>
  <dimension ref="A1:S97"/>
  <sheetViews>
    <sheetView workbookViewId="0"/>
  </sheetViews>
  <sheetFormatPr defaultColWidth="11.1796875" defaultRowHeight="13.8"/>
  <cols>
    <col min="1" max="1" width="7.453125" style="10" bestFit="1" customWidth="1"/>
    <col min="2" max="2" width="4.36328125" style="14" bestFit="1" customWidth="1"/>
    <col min="3" max="3" width="11.6328125" style="10" bestFit="1" customWidth="1"/>
    <col min="4" max="4" width="9.1796875" style="10" bestFit="1" customWidth="1"/>
    <col min="5" max="5" width="7.54296875" style="14" bestFit="1" customWidth="1"/>
    <col min="6" max="6" width="10" style="15" bestFit="1" customWidth="1"/>
    <col min="7" max="7" width="10.6328125" style="10" bestFit="1" customWidth="1"/>
    <col min="8" max="8" width="30.7265625" style="15" bestFit="1" customWidth="1"/>
    <col min="9" max="9" width="10.08984375" style="15" bestFit="1" customWidth="1"/>
    <col min="10" max="10" width="4" style="15" bestFit="1" customWidth="1"/>
    <col min="11" max="12" width="3.6328125" style="14" bestFit="1" customWidth="1"/>
    <col min="13" max="13" width="16.7265625" style="14" bestFit="1" customWidth="1"/>
    <col min="14" max="15" width="6.6328125" style="14" customWidth="1"/>
    <col min="16" max="18" width="6.6328125" style="10" customWidth="1"/>
    <col min="19" max="22" width="14.453125" style="10" customWidth="1"/>
    <col min="23" max="16384" width="11.1796875" style="10"/>
  </cols>
  <sheetData>
    <row r="1" spans="1:19">
      <c r="A1" s="23" t="s">
        <v>36</v>
      </c>
      <c r="B1" s="5" t="s">
        <v>5</v>
      </c>
      <c r="C1" s="6" t="s">
        <v>3</v>
      </c>
      <c r="D1" s="6" t="s">
        <v>4</v>
      </c>
      <c r="E1" s="7" t="s">
        <v>6</v>
      </c>
      <c r="F1" s="9" t="s">
        <v>13</v>
      </c>
      <c r="G1" s="8" t="s">
        <v>7</v>
      </c>
      <c r="H1" s="9" t="s">
        <v>8</v>
      </c>
      <c r="I1" s="9" t="s">
        <v>467</v>
      </c>
      <c r="L1" s="72" t="s">
        <v>350</v>
      </c>
      <c r="M1" s="72" t="s">
        <v>3705</v>
      </c>
      <c r="N1" s="72" t="s">
        <v>470</v>
      </c>
      <c r="O1" s="72" t="s">
        <v>471</v>
      </c>
      <c r="P1" s="72" t="s">
        <v>472</v>
      </c>
      <c r="Q1" s="72" t="s">
        <v>473</v>
      </c>
      <c r="R1" s="72" t="s">
        <v>474</v>
      </c>
      <c r="S1" s="73" t="s">
        <v>475</v>
      </c>
    </row>
    <row r="2" spans="1:19">
      <c r="B2" s="14" t="s">
        <v>14</v>
      </c>
      <c r="C2" s="12" t="s">
        <v>165</v>
      </c>
      <c r="D2" s="12" t="s">
        <v>242</v>
      </c>
      <c r="E2" s="11"/>
      <c r="F2" s="10"/>
      <c r="G2" s="4" t="s">
        <v>166</v>
      </c>
      <c r="H2" s="16"/>
      <c r="I2" s="16"/>
      <c r="L2" s="36"/>
      <c r="M2" s="34"/>
      <c r="N2" s="36" t="str">
        <f>"EXEC sp_dropextendedproperty @name = N'MS_Description', @level0type=N'SCHEMA',@level0name=N'"&amp;$L$1&amp;"', @level1type=N'TABLE',@level1name=N'"&amp;$M$1&amp;"', @level2type=N'COLUMN',@level2name=N'"&amp;$C2&amp;"'"</f>
        <v>EXEC sp_dropextendedproperty @name = N'MS_Description', @level0type=N'SCHEMA',@level0name=N'dbo', @level1type=N'TABLE',@level1name=N'ChannelPackageAmtLimitAge', @level2type=N'COLUMN',@level2name=N'PackageCode'</v>
      </c>
      <c r="O2" s="36" t="str">
        <f>"EXEC sp_dropextendedproperty @name = N'Rule', @level0type=N'SCHEMA',@level0name=N'"&amp;$L$1&amp;"', @level1type=N'TABLE',@level1name=N'"&amp;$M$1&amp;"', @level2type=N'COLUMN',@level2name=N'"&amp;$C2&amp;"'"</f>
        <v>EXEC sp_dropextendedproperty @name = N'Rule', @level0type=N'SCHEMA',@level0name=N'dbo', @level1type=N'TABLE',@level1name=N'ChannelPackageAmtLimitAge', @level2type=N'COLUMN',@level2name=N'PackageCode'</v>
      </c>
      <c r="P2" s="36" t="str">
        <f>"EXEC sp_dropextendedproperty @name = N'Memo', @level0type=N'SCHEMA',@level0name=N'"&amp;$L$1&amp;"', @level1type=N'TABLE',@level1name=N'"&amp;$M$1&amp;"', @level2type=N'COLUMN',@level2name=N'"&amp;$C2&amp;"'"</f>
        <v>EXEC sp_dropextendedproperty @name = N'Memo', @level0type=N'SCHEMA',@level0name=N'dbo', @level1type=N'TABLE',@level1name=N'ChannelPackageAmtLimitAge', @level2type=N'COLUMN',@level2name=N'PackageCode'</v>
      </c>
      <c r="Q2" s="36" t="str">
        <f>"set @OldWording = N'"&amp;SUBSTITUTE($G2,CHAR(10),"")&amp;"'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@level2type=N'COLUMN',@level2name=N'"&amp;$C2&amp;"'"</f>
        <v>set @OldWording = N'套裝代碼' set @NewWording = REPLACE(@OldWording,'***',char(13)+char(10)) EXEC sys.sp_addextendedproperty @name=N'MS_Description', @value=@NewWording , @level0type=N'SCHEMA',@level0name=N'dbo', @level1type=N'TABLE',@level1name=N'ChannelPackageAmtLimitAge', @level2type=N'COLUMN',@level2name=N'PackageCode'</v>
      </c>
      <c r="R2" s="32" t="str">
        <f>"set @OldWording = N'"&amp;SUBSTITUTE($H2,CHAR(10),"")&amp;"'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@name=N'Rule', @value=@NewWording , @level0type=N'SCHEMA',@level0name=N'dbo', @level1type=N'TABLE',@level1name=N'ChannelPackageAmtLimitAge', @level2type=N'COLUMN',@level2name=N'PackageCode'</v>
      </c>
      <c r="S2" s="36" t="str">
        <f>"set @OldWording = N'"&amp;SUBSTITUTE($I2,CHAR(10),"")&amp;"' set @NewWording = REPLACE(@OldWording,'***',char(13)+char(10)) "&amp;"EXEC sys.sp_addextendedproperty @name=N'Memo', @value=@NewWording , @level0type=N'SCHEMA',@level0name=N'"&amp;$L$1&amp;"', @level1type=N'TABLE',@level1name=N'"&amp;$M$1&amp;"', @level2type=N'COLUMN',@level2name=N'"&amp;$C2&amp;"'"</f>
        <v>set @OldWording = N'' set @NewWording = REPLACE(@OldWording,'***',char(13)+char(10)) EXEC sys.sp_addextendedproperty @name=N'Memo', @value=@NewWording , @level0type=N'SCHEMA',@level0name=N'dbo', @level1type=N'TABLE',@level1name=N'ChannelPackageAmtLimitAge', @level2type=N'COLUMN',@level2name=N'PackageCode'</v>
      </c>
    </row>
    <row r="3" spans="1:19">
      <c r="B3" s="11" t="s">
        <v>14</v>
      </c>
      <c r="C3" s="13" t="s">
        <v>80</v>
      </c>
      <c r="D3" s="18" t="s">
        <v>111</v>
      </c>
      <c r="E3" s="11"/>
      <c r="F3" s="12"/>
      <c r="G3" s="12" t="s">
        <v>81</v>
      </c>
      <c r="H3" s="16"/>
      <c r="I3" s="16"/>
      <c r="L3" s="36"/>
      <c r="M3" s="34"/>
      <c r="N3" s="36"/>
      <c r="O3" s="36"/>
      <c r="P3" s="36"/>
      <c r="Q3" s="36"/>
      <c r="R3" s="32"/>
      <c r="S3" s="36"/>
    </row>
    <row r="4" spans="1:19" ht="27.6">
      <c r="B4" s="11" t="s">
        <v>14</v>
      </c>
      <c r="C4" s="15" t="s">
        <v>3728</v>
      </c>
      <c r="D4" s="15" t="s">
        <v>21</v>
      </c>
      <c r="F4" s="10"/>
      <c r="G4" s="10" t="s">
        <v>78</v>
      </c>
      <c r="H4" s="16" t="s">
        <v>3652</v>
      </c>
      <c r="I4" s="16"/>
    </row>
    <row r="5" spans="1:19">
      <c r="B5" s="11" t="s">
        <v>14</v>
      </c>
      <c r="C5" s="12" t="s">
        <v>86</v>
      </c>
      <c r="D5" s="12" t="s">
        <v>34</v>
      </c>
      <c r="F5" s="13"/>
      <c r="G5" s="12" t="s">
        <v>87</v>
      </c>
    </row>
    <row r="6" spans="1:19">
      <c r="B6" s="11" t="s">
        <v>14</v>
      </c>
      <c r="C6" s="12" t="s">
        <v>50</v>
      </c>
      <c r="D6" s="12" t="s">
        <v>51</v>
      </c>
      <c r="F6" s="13"/>
      <c r="G6" s="12" t="s">
        <v>52</v>
      </c>
      <c r="H6" s="16" t="s">
        <v>493</v>
      </c>
      <c r="I6" s="27" t="s">
        <v>267</v>
      </c>
    </row>
    <row r="7" spans="1:19">
      <c r="B7" s="11" t="s">
        <v>14</v>
      </c>
      <c r="C7" s="13" t="s">
        <v>53</v>
      </c>
      <c r="D7" s="18" t="s">
        <v>47</v>
      </c>
      <c r="E7" s="11"/>
      <c r="F7" s="12"/>
      <c r="G7" s="12" t="s">
        <v>49</v>
      </c>
      <c r="H7" s="16"/>
      <c r="I7" s="27" t="s">
        <v>278</v>
      </c>
    </row>
    <row r="8" spans="1:19">
      <c r="B8" s="11"/>
      <c r="C8" s="10" t="s">
        <v>603</v>
      </c>
      <c r="D8" s="18" t="s">
        <v>92</v>
      </c>
      <c r="E8" s="11" t="s">
        <v>91</v>
      </c>
      <c r="F8" s="12"/>
      <c r="G8" s="12" t="s">
        <v>481</v>
      </c>
      <c r="H8" s="16" t="s">
        <v>2997</v>
      </c>
      <c r="I8" s="16"/>
    </row>
    <row r="9" spans="1:19">
      <c r="B9" s="11"/>
      <c r="C9" s="10" t="s">
        <v>604</v>
      </c>
      <c r="D9" s="18" t="s">
        <v>92</v>
      </c>
      <c r="E9" s="11" t="s">
        <v>91</v>
      </c>
      <c r="F9" s="12"/>
    </row>
    <row r="10" spans="1:19">
      <c r="C10" s="10" t="s">
        <v>605</v>
      </c>
      <c r="D10" s="18" t="s">
        <v>92</v>
      </c>
      <c r="E10" s="11" t="s">
        <v>91</v>
      </c>
      <c r="F10" s="13"/>
      <c r="G10" s="12"/>
    </row>
    <row r="11" spans="1:19">
      <c r="C11" s="10" t="s">
        <v>606</v>
      </c>
      <c r="D11" s="18" t="s">
        <v>92</v>
      </c>
      <c r="E11" s="11" t="s">
        <v>91</v>
      </c>
      <c r="F11" s="13"/>
      <c r="G11" s="12"/>
    </row>
    <row r="12" spans="1:19">
      <c r="B12" s="11"/>
      <c r="C12" s="10" t="s">
        <v>607</v>
      </c>
      <c r="D12" s="18" t="s">
        <v>92</v>
      </c>
      <c r="E12" s="11" t="s">
        <v>91</v>
      </c>
      <c r="F12" s="13"/>
      <c r="G12" s="12"/>
    </row>
    <row r="13" spans="1:19">
      <c r="B13" s="11"/>
      <c r="C13" s="10" t="s">
        <v>608</v>
      </c>
      <c r="D13" s="18" t="s">
        <v>92</v>
      </c>
      <c r="E13" s="11" t="s">
        <v>91</v>
      </c>
      <c r="F13" s="13"/>
      <c r="G13" s="12"/>
    </row>
    <row r="14" spans="1:19">
      <c r="B14" s="11"/>
      <c r="C14" s="10" t="s">
        <v>609</v>
      </c>
      <c r="D14" s="18" t="s">
        <v>92</v>
      </c>
      <c r="E14" s="11" t="s">
        <v>91</v>
      </c>
      <c r="F14" s="13"/>
      <c r="G14" s="12"/>
    </row>
    <row r="15" spans="1:19">
      <c r="B15" s="11"/>
      <c r="C15" s="10" t="s">
        <v>610</v>
      </c>
      <c r="D15" s="18" t="s">
        <v>92</v>
      </c>
      <c r="E15" s="11" t="s">
        <v>91</v>
      </c>
      <c r="F15" s="13"/>
      <c r="G15" s="12"/>
    </row>
    <row r="16" spans="1:19">
      <c r="C16" s="10" t="s">
        <v>611</v>
      </c>
      <c r="D16" s="18" t="s">
        <v>92</v>
      </c>
      <c r="E16" s="11" t="s">
        <v>91</v>
      </c>
    </row>
    <row r="17" spans="2:9">
      <c r="B17" s="11"/>
      <c r="C17" s="10" t="s">
        <v>612</v>
      </c>
      <c r="D17" s="18" t="s">
        <v>92</v>
      </c>
      <c r="E17" s="11" t="s">
        <v>91</v>
      </c>
      <c r="G17" s="12"/>
      <c r="H17" s="13"/>
      <c r="I17" s="13"/>
    </row>
    <row r="18" spans="2:9">
      <c r="C18" s="10" t="s">
        <v>613</v>
      </c>
      <c r="D18" s="18" t="s">
        <v>92</v>
      </c>
      <c r="E18" s="11" t="s">
        <v>91</v>
      </c>
    </row>
    <row r="19" spans="2:9">
      <c r="C19" s="10" t="s">
        <v>614</v>
      </c>
      <c r="D19" s="18" t="s">
        <v>92</v>
      </c>
      <c r="E19" s="11" t="s">
        <v>91</v>
      </c>
    </row>
    <row r="20" spans="2:9">
      <c r="C20" s="10" t="s">
        <v>615</v>
      </c>
      <c r="D20" s="18" t="s">
        <v>92</v>
      </c>
      <c r="E20" s="11" t="s">
        <v>91</v>
      </c>
    </row>
    <row r="21" spans="2:9">
      <c r="C21" s="10" t="s">
        <v>616</v>
      </c>
      <c r="D21" s="18" t="s">
        <v>92</v>
      </c>
      <c r="E21" s="11" t="s">
        <v>91</v>
      </c>
    </row>
    <row r="22" spans="2:9">
      <c r="C22" s="10" t="s">
        <v>617</v>
      </c>
      <c r="D22" s="18" t="s">
        <v>92</v>
      </c>
      <c r="E22" s="11" t="s">
        <v>91</v>
      </c>
    </row>
    <row r="23" spans="2:9">
      <c r="C23" s="10" t="s">
        <v>618</v>
      </c>
      <c r="D23" s="18" t="s">
        <v>92</v>
      </c>
      <c r="E23" s="11" t="s">
        <v>91</v>
      </c>
    </row>
    <row r="24" spans="2:9">
      <c r="C24" s="10" t="s">
        <v>619</v>
      </c>
      <c r="D24" s="18" t="s">
        <v>92</v>
      </c>
      <c r="E24" s="11" t="s">
        <v>91</v>
      </c>
    </row>
    <row r="25" spans="2:9">
      <c r="C25" s="10" t="s">
        <v>620</v>
      </c>
      <c r="D25" s="18" t="s">
        <v>92</v>
      </c>
      <c r="E25" s="11" t="s">
        <v>91</v>
      </c>
    </row>
    <row r="26" spans="2:9">
      <c r="C26" s="10" t="s">
        <v>621</v>
      </c>
      <c r="D26" s="18" t="s">
        <v>92</v>
      </c>
      <c r="E26" s="11" t="s">
        <v>91</v>
      </c>
    </row>
    <row r="27" spans="2:9">
      <c r="C27" s="10" t="s">
        <v>622</v>
      </c>
      <c r="D27" s="18" t="s">
        <v>92</v>
      </c>
      <c r="E27" s="11" t="s">
        <v>91</v>
      </c>
    </row>
    <row r="28" spans="2:9">
      <c r="C28" s="10" t="s">
        <v>623</v>
      </c>
      <c r="D28" s="18" t="s">
        <v>92</v>
      </c>
      <c r="E28" s="11" t="s">
        <v>91</v>
      </c>
    </row>
    <row r="29" spans="2:9">
      <c r="C29" s="10" t="s">
        <v>624</v>
      </c>
      <c r="D29" s="18" t="s">
        <v>92</v>
      </c>
      <c r="E29" s="11" t="s">
        <v>91</v>
      </c>
    </row>
    <row r="30" spans="2:9">
      <c r="C30" s="10" t="s">
        <v>625</v>
      </c>
      <c r="D30" s="18" t="s">
        <v>92</v>
      </c>
      <c r="E30" s="11" t="s">
        <v>91</v>
      </c>
    </row>
    <row r="31" spans="2:9">
      <c r="C31" s="10" t="s">
        <v>626</v>
      </c>
      <c r="D31" s="18" t="s">
        <v>92</v>
      </c>
      <c r="E31" s="11" t="s">
        <v>91</v>
      </c>
    </row>
    <row r="32" spans="2:9">
      <c r="C32" s="10" t="s">
        <v>627</v>
      </c>
      <c r="D32" s="18" t="s">
        <v>92</v>
      </c>
      <c r="E32" s="11" t="s">
        <v>91</v>
      </c>
    </row>
    <row r="33" spans="3:5">
      <c r="C33" s="10" t="s">
        <v>628</v>
      </c>
      <c r="D33" s="18" t="s">
        <v>92</v>
      </c>
      <c r="E33" s="11" t="s">
        <v>91</v>
      </c>
    </row>
    <row r="34" spans="3:5">
      <c r="C34" s="10" t="s">
        <v>629</v>
      </c>
      <c r="D34" s="18" t="s">
        <v>92</v>
      </c>
      <c r="E34" s="11" t="s">
        <v>91</v>
      </c>
    </row>
    <row r="35" spans="3:5">
      <c r="C35" s="10" t="s">
        <v>630</v>
      </c>
      <c r="D35" s="18" t="s">
        <v>92</v>
      </c>
      <c r="E35" s="11" t="s">
        <v>91</v>
      </c>
    </row>
    <row r="36" spans="3:5">
      <c r="C36" s="10" t="s">
        <v>631</v>
      </c>
      <c r="D36" s="18" t="s">
        <v>92</v>
      </c>
      <c r="E36" s="11" t="s">
        <v>91</v>
      </c>
    </row>
    <row r="37" spans="3:5">
      <c r="C37" s="10" t="s">
        <v>632</v>
      </c>
      <c r="D37" s="18" t="s">
        <v>92</v>
      </c>
      <c r="E37" s="11" t="s">
        <v>91</v>
      </c>
    </row>
    <row r="38" spans="3:5">
      <c r="C38" s="10" t="s">
        <v>633</v>
      </c>
      <c r="D38" s="18" t="s">
        <v>92</v>
      </c>
      <c r="E38" s="11" t="s">
        <v>91</v>
      </c>
    </row>
    <row r="39" spans="3:5">
      <c r="C39" s="10" t="s">
        <v>634</v>
      </c>
      <c r="D39" s="18" t="s">
        <v>92</v>
      </c>
      <c r="E39" s="11" t="s">
        <v>91</v>
      </c>
    </row>
    <row r="40" spans="3:5">
      <c r="C40" s="10" t="s">
        <v>635</v>
      </c>
      <c r="D40" s="18" t="s">
        <v>92</v>
      </c>
      <c r="E40" s="11" t="s">
        <v>91</v>
      </c>
    </row>
    <row r="41" spans="3:5">
      <c r="C41" s="10" t="s">
        <v>636</v>
      </c>
      <c r="D41" s="18" t="s">
        <v>92</v>
      </c>
      <c r="E41" s="11" t="s">
        <v>91</v>
      </c>
    </row>
    <row r="42" spans="3:5">
      <c r="C42" s="10" t="s">
        <v>637</v>
      </c>
      <c r="D42" s="18" t="s">
        <v>92</v>
      </c>
      <c r="E42" s="11" t="s">
        <v>91</v>
      </c>
    </row>
    <row r="43" spans="3:5">
      <c r="C43" s="10" t="s">
        <v>638</v>
      </c>
      <c r="D43" s="18" t="s">
        <v>92</v>
      </c>
      <c r="E43" s="11" t="s">
        <v>91</v>
      </c>
    </row>
    <row r="44" spans="3:5">
      <c r="C44" s="10" t="s">
        <v>639</v>
      </c>
      <c r="D44" s="18" t="s">
        <v>92</v>
      </c>
      <c r="E44" s="11" t="s">
        <v>91</v>
      </c>
    </row>
    <row r="45" spans="3:5">
      <c r="C45" s="10" t="s">
        <v>640</v>
      </c>
      <c r="D45" s="18" t="s">
        <v>92</v>
      </c>
      <c r="E45" s="11" t="s">
        <v>91</v>
      </c>
    </row>
    <row r="46" spans="3:5">
      <c r="C46" s="10" t="s">
        <v>641</v>
      </c>
      <c r="D46" s="18" t="s">
        <v>92</v>
      </c>
      <c r="E46" s="11" t="s">
        <v>91</v>
      </c>
    </row>
    <row r="47" spans="3:5">
      <c r="C47" s="10" t="s">
        <v>642</v>
      </c>
      <c r="D47" s="18" t="s">
        <v>92</v>
      </c>
      <c r="E47" s="11" t="s">
        <v>91</v>
      </c>
    </row>
    <row r="48" spans="3:5">
      <c r="C48" s="10" t="s">
        <v>643</v>
      </c>
      <c r="D48" s="18" t="s">
        <v>92</v>
      </c>
      <c r="E48" s="11" t="s">
        <v>91</v>
      </c>
    </row>
    <row r="49" spans="3:5">
      <c r="C49" s="10" t="s">
        <v>644</v>
      </c>
      <c r="D49" s="18" t="s">
        <v>92</v>
      </c>
      <c r="E49" s="11" t="s">
        <v>91</v>
      </c>
    </row>
    <row r="50" spans="3:5">
      <c r="C50" s="10" t="s">
        <v>645</v>
      </c>
      <c r="D50" s="18" t="s">
        <v>92</v>
      </c>
      <c r="E50" s="11" t="s">
        <v>91</v>
      </c>
    </row>
    <row r="51" spans="3:5">
      <c r="C51" s="10" t="s">
        <v>646</v>
      </c>
      <c r="D51" s="18" t="s">
        <v>92</v>
      </c>
      <c r="E51" s="11" t="s">
        <v>91</v>
      </c>
    </row>
    <row r="52" spans="3:5">
      <c r="C52" s="10" t="s">
        <v>647</v>
      </c>
      <c r="D52" s="18" t="s">
        <v>92</v>
      </c>
      <c r="E52" s="11" t="s">
        <v>91</v>
      </c>
    </row>
    <row r="53" spans="3:5">
      <c r="C53" s="10" t="s">
        <v>648</v>
      </c>
      <c r="D53" s="18" t="s">
        <v>92</v>
      </c>
      <c r="E53" s="11" t="s">
        <v>91</v>
      </c>
    </row>
    <row r="54" spans="3:5">
      <c r="C54" s="10" t="s">
        <v>649</v>
      </c>
      <c r="D54" s="18" t="s">
        <v>92</v>
      </c>
      <c r="E54" s="11" t="s">
        <v>91</v>
      </c>
    </row>
    <row r="55" spans="3:5">
      <c r="C55" s="10" t="s">
        <v>650</v>
      </c>
      <c r="D55" s="18" t="s">
        <v>92</v>
      </c>
      <c r="E55" s="11" t="s">
        <v>91</v>
      </c>
    </row>
    <row r="56" spans="3:5">
      <c r="C56" s="10" t="s">
        <v>651</v>
      </c>
      <c r="D56" s="18" t="s">
        <v>92</v>
      </c>
      <c r="E56" s="11" t="s">
        <v>91</v>
      </c>
    </row>
    <row r="57" spans="3:5">
      <c r="C57" s="10" t="s">
        <v>652</v>
      </c>
      <c r="D57" s="18" t="s">
        <v>92</v>
      </c>
      <c r="E57" s="11" t="s">
        <v>91</v>
      </c>
    </row>
    <row r="58" spans="3:5">
      <c r="C58" s="10" t="s">
        <v>653</v>
      </c>
      <c r="D58" s="18" t="s">
        <v>92</v>
      </c>
      <c r="E58" s="11" t="s">
        <v>91</v>
      </c>
    </row>
    <row r="59" spans="3:5">
      <c r="C59" s="10" t="s">
        <v>654</v>
      </c>
      <c r="D59" s="18" t="s">
        <v>92</v>
      </c>
      <c r="E59" s="11" t="s">
        <v>91</v>
      </c>
    </row>
    <row r="60" spans="3:5">
      <c r="C60" s="10" t="s">
        <v>655</v>
      </c>
      <c r="D60" s="18" t="s">
        <v>92</v>
      </c>
      <c r="E60" s="11" t="s">
        <v>91</v>
      </c>
    </row>
    <row r="61" spans="3:5">
      <c r="C61" s="10" t="s">
        <v>656</v>
      </c>
      <c r="D61" s="18" t="s">
        <v>92</v>
      </c>
      <c r="E61" s="11" t="s">
        <v>91</v>
      </c>
    </row>
    <row r="62" spans="3:5">
      <c r="C62" s="10" t="s">
        <v>657</v>
      </c>
      <c r="D62" s="18" t="s">
        <v>92</v>
      </c>
      <c r="E62" s="11" t="s">
        <v>91</v>
      </c>
    </row>
    <row r="63" spans="3:5">
      <c r="C63" s="10" t="s">
        <v>658</v>
      </c>
      <c r="D63" s="18" t="s">
        <v>92</v>
      </c>
      <c r="E63" s="11" t="s">
        <v>91</v>
      </c>
    </row>
    <row r="64" spans="3:5">
      <c r="C64" s="10" t="s">
        <v>659</v>
      </c>
      <c r="D64" s="18" t="s">
        <v>92</v>
      </c>
      <c r="E64" s="11" t="s">
        <v>91</v>
      </c>
    </row>
    <row r="65" spans="3:5">
      <c r="C65" s="10" t="s">
        <v>660</v>
      </c>
      <c r="D65" s="18" t="s">
        <v>92</v>
      </c>
      <c r="E65" s="11" t="s">
        <v>91</v>
      </c>
    </row>
    <row r="66" spans="3:5">
      <c r="C66" s="10" t="s">
        <v>661</v>
      </c>
      <c r="D66" s="18" t="s">
        <v>92</v>
      </c>
      <c r="E66" s="11" t="s">
        <v>91</v>
      </c>
    </row>
    <row r="67" spans="3:5">
      <c r="C67" s="10" t="s">
        <v>662</v>
      </c>
      <c r="D67" s="18" t="s">
        <v>92</v>
      </c>
      <c r="E67" s="11" t="s">
        <v>91</v>
      </c>
    </row>
    <row r="68" spans="3:5">
      <c r="C68" s="10" t="s">
        <v>663</v>
      </c>
      <c r="D68" s="18" t="s">
        <v>92</v>
      </c>
      <c r="E68" s="11" t="s">
        <v>91</v>
      </c>
    </row>
    <row r="69" spans="3:5">
      <c r="C69" s="10" t="s">
        <v>664</v>
      </c>
      <c r="D69" s="18" t="s">
        <v>92</v>
      </c>
      <c r="E69" s="11" t="s">
        <v>91</v>
      </c>
    </row>
    <row r="70" spans="3:5">
      <c r="C70" s="10" t="s">
        <v>665</v>
      </c>
      <c r="D70" s="18" t="s">
        <v>92</v>
      </c>
      <c r="E70" s="11" t="s">
        <v>91</v>
      </c>
    </row>
    <row r="71" spans="3:5">
      <c r="C71" s="10" t="s">
        <v>666</v>
      </c>
      <c r="D71" s="18" t="s">
        <v>92</v>
      </c>
      <c r="E71" s="11" t="s">
        <v>91</v>
      </c>
    </row>
    <row r="72" spans="3:5">
      <c r="C72" s="10" t="s">
        <v>667</v>
      </c>
      <c r="D72" s="18" t="s">
        <v>92</v>
      </c>
      <c r="E72" s="11" t="s">
        <v>91</v>
      </c>
    </row>
    <row r="73" spans="3:5">
      <c r="C73" s="10" t="s">
        <v>668</v>
      </c>
      <c r="D73" s="18" t="s">
        <v>92</v>
      </c>
      <c r="E73" s="11" t="s">
        <v>91</v>
      </c>
    </row>
    <row r="74" spans="3:5">
      <c r="C74" s="10" t="s">
        <v>669</v>
      </c>
      <c r="D74" s="18" t="s">
        <v>92</v>
      </c>
      <c r="E74" s="11" t="s">
        <v>91</v>
      </c>
    </row>
    <row r="75" spans="3:5">
      <c r="C75" s="10" t="s">
        <v>670</v>
      </c>
      <c r="D75" s="18" t="s">
        <v>92</v>
      </c>
      <c r="E75" s="11" t="s">
        <v>91</v>
      </c>
    </row>
    <row r="76" spans="3:5">
      <c r="C76" s="10" t="s">
        <v>671</v>
      </c>
      <c r="D76" s="18" t="s">
        <v>92</v>
      </c>
      <c r="E76" s="11" t="s">
        <v>91</v>
      </c>
    </row>
    <row r="77" spans="3:5">
      <c r="C77" s="10" t="s">
        <v>672</v>
      </c>
      <c r="D77" s="18" t="s">
        <v>92</v>
      </c>
      <c r="E77" s="11" t="s">
        <v>91</v>
      </c>
    </row>
    <row r="78" spans="3:5">
      <c r="C78" s="10" t="s">
        <v>673</v>
      </c>
      <c r="D78" s="18" t="s">
        <v>92</v>
      </c>
      <c r="E78" s="11" t="s">
        <v>91</v>
      </c>
    </row>
    <row r="79" spans="3:5">
      <c r="C79" s="10" t="s">
        <v>674</v>
      </c>
      <c r="D79" s="18" t="s">
        <v>92</v>
      </c>
      <c r="E79" s="11" t="s">
        <v>91</v>
      </c>
    </row>
    <row r="80" spans="3:5">
      <c r="C80" s="10" t="s">
        <v>675</v>
      </c>
      <c r="D80" s="18" t="s">
        <v>92</v>
      </c>
      <c r="E80" s="11" t="s">
        <v>91</v>
      </c>
    </row>
    <row r="81" spans="3:7">
      <c r="C81" s="10" t="s">
        <v>676</v>
      </c>
      <c r="D81" s="18" t="s">
        <v>92</v>
      </c>
      <c r="E81" s="11" t="s">
        <v>91</v>
      </c>
    </row>
    <row r="82" spans="3:7">
      <c r="C82" s="10" t="s">
        <v>677</v>
      </c>
      <c r="D82" s="18" t="s">
        <v>92</v>
      </c>
      <c r="E82" s="11" t="s">
        <v>91</v>
      </c>
    </row>
    <row r="83" spans="3:7">
      <c r="C83" s="10" t="s">
        <v>678</v>
      </c>
      <c r="D83" s="18" t="s">
        <v>92</v>
      </c>
      <c r="E83" s="11" t="s">
        <v>91</v>
      </c>
    </row>
    <row r="84" spans="3:7">
      <c r="C84" s="10" t="s">
        <v>679</v>
      </c>
      <c r="D84" s="18" t="s">
        <v>92</v>
      </c>
      <c r="E84" s="11" t="s">
        <v>91</v>
      </c>
    </row>
    <row r="85" spans="3:7">
      <c r="C85" s="10" t="s">
        <v>680</v>
      </c>
      <c r="D85" s="18" t="s">
        <v>92</v>
      </c>
      <c r="E85" s="11" t="s">
        <v>91</v>
      </c>
    </row>
    <row r="86" spans="3:7">
      <c r="C86" s="10" t="s">
        <v>681</v>
      </c>
      <c r="D86" s="18" t="s">
        <v>92</v>
      </c>
      <c r="E86" s="11" t="s">
        <v>91</v>
      </c>
    </row>
    <row r="87" spans="3:7">
      <c r="C87" s="10" t="s">
        <v>682</v>
      </c>
      <c r="D87" s="18" t="s">
        <v>92</v>
      </c>
      <c r="E87" s="11" t="s">
        <v>91</v>
      </c>
    </row>
    <row r="88" spans="3:7">
      <c r="C88" s="10" t="s">
        <v>683</v>
      </c>
      <c r="D88" s="18" t="s">
        <v>92</v>
      </c>
      <c r="E88" s="11" t="s">
        <v>91</v>
      </c>
    </row>
    <row r="89" spans="3:7">
      <c r="C89" s="10" t="s">
        <v>684</v>
      </c>
      <c r="D89" s="18" t="s">
        <v>92</v>
      </c>
      <c r="E89" s="11" t="s">
        <v>91</v>
      </c>
    </row>
    <row r="90" spans="3:7">
      <c r="C90" s="10" t="s">
        <v>685</v>
      </c>
      <c r="D90" s="18" t="s">
        <v>92</v>
      </c>
      <c r="E90" s="11" t="s">
        <v>91</v>
      </c>
    </row>
    <row r="91" spans="3:7">
      <c r="C91" s="10" t="s">
        <v>686</v>
      </c>
      <c r="D91" s="18" t="s">
        <v>92</v>
      </c>
      <c r="E91" s="11" t="s">
        <v>91</v>
      </c>
    </row>
    <row r="92" spans="3:7">
      <c r="C92" s="10" t="s">
        <v>687</v>
      </c>
      <c r="D92" s="18" t="s">
        <v>92</v>
      </c>
      <c r="E92" s="11" t="s">
        <v>91</v>
      </c>
    </row>
    <row r="93" spans="3:7">
      <c r="C93" s="10" t="s">
        <v>688</v>
      </c>
      <c r="D93" s="18" t="s">
        <v>92</v>
      </c>
      <c r="E93" s="11" t="s">
        <v>91</v>
      </c>
    </row>
    <row r="94" spans="3:7">
      <c r="C94" s="12" t="s">
        <v>0</v>
      </c>
      <c r="D94" s="12" t="s">
        <v>11</v>
      </c>
      <c r="E94" s="11" t="s">
        <v>16</v>
      </c>
      <c r="F94" s="13" t="s">
        <v>20</v>
      </c>
      <c r="G94" s="12" t="s">
        <v>30</v>
      </c>
    </row>
    <row r="95" spans="3:7">
      <c r="C95" s="12" t="s">
        <v>1</v>
      </c>
      <c r="D95" s="12" t="s">
        <v>37</v>
      </c>
      <c r="E95" s="11"/>
      <c r="F95" s="13"/>
      <c r="G95" s="12" t="s">
        <v>31</v>
      </c>
    </row>
    <row r="96" spans="3:7">
      <c r="C96" s="12" t="s">
        <v>19</v>
      </c>
      <c r="D96" s="12" t="s">
        <v>11</v>
      </c>
      <c r="E96" s="11" t="s">
        <v>16</v>
      </c>
      <c r="F96" s="13" t="s">
        <v>20</v>
      </c>
      <c r="G96" s="12" t="s">
        <v>32</v>
      </c>
    </row>
    <row r="97" spans="3:7">
      <c r="C97" s="12" t="s">
        <v>2</v>
      </c>
      <c r="D97" s="12" t="s">
        <v>37</v>
      </c>
      <c r="E97" s="11"/>
      <c r="F97" s="13"/>
      <c r="G97" s="12" t="s">
        <v>33</v>
      </c>
    </row>
  </sheetData>
  <phoneticPr fontId="3" type="noConversion"/>
  <hyperlinks>
    <hyperlink ref="A1" location="目錄!A1" display="回到目錄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0"/>
  <dimension ref="A1:CS13"/>
  <sheetViews>
    <sheetView workbookViewId="0">
      <pane ySplit="1" topLeftCell="A2" activePane="bottomLeft" state="frozen"/>
      <selection activeCell="G22" sqref="G22"/>
      <selection pane="bottomLeft"/>
    </sheetView>
  </sheetViews>
  <sheetFormatPr defaultRowHeight="13.8"/>
  <cols>
    <col min="1" max="1" width="7.453125" style="15" bestFit="1" customWidth="1"/>
    <col min="2" max="2" width="11.81640625" style="15" bestFit="1" customWidth="1"/>
    <col min="3" max="3" width="8.54296875" style="15" bestFit="1" customWidth="1"/>
    <col min="4" max="4" width="7.90625" style="15" bestFit="1" customWidth="1"/>
    <col min="5" max="5" width="8.08984375" style="15" bestFit="1" customWidth="1"/>
    <col min="6" max="6" width="3.90625" style="15" bestFit="1" customWidth="1"/>
    <col min="7" max="7" width="12.08984375" style="15" bestFit="1" customWidth="1"/>
    <col min="8" max="8" width="5" style="15" bestFit="1" customWidth="1"/>
    <col min="9" max="17" width="4.90625" style="15" bestFit="1" customWidth="1"/>
    <col min="18" max="78" width="5.6328125" style="15" bestFit="1" customWidth="1"/>
    <col min="79" max="93" width="5.54296875" style="15" bestFit="1" customWidth="1"/>
    <col min="94" max="94" width="10" style="15" bestFit="1" customWidth="1"/>
    <col min="95" max="95" width="7" style="15" bestFit="1" customWidth="1"/>
    <col min="96" max="96" width="10.36328125" style="15" bestFit="1" customWidth="1"/>
    <col min="97" max="97" width="7.81640625" style="15" bestFit="1" customWidth="1"/>
    <col min="98" max="16384" width="8.7265625" style="15"/>
  </cols>
  <sheetData>
    <row r="1" spans="1:97">
      <c r="A1" s="23" t="s">
        <v>36</v>
      </c>
      <c r="B1" s="82" t="s">
        <v>3227</v>
      </c>
      <c r="C1" s="82" t="s">
        <v>171</v>
      </c>
      <c r="D1" s="82" t="s">
        <v>3728</v>
      </c>
      <c r="E1" s="82" t="s">
        <v>528</v>
      </c>
      <c r="F1" s="82" t="s">
        <v>3014</v>
      </c>
      <c r="G1" s="82" t="s">
        <v>3197</v>
      </c>
      <c r="H1" s="82" t="s">
        <v>3058</v>
      </c>
      <c r="I1" s="82" t="s">
        <v>3059</v>
      </c>
      <c r="J1" s="82" t="s">
        <v>605</v>
      </c>
      <c r="K1" s="82" t="s">
        <v>606</v>
      </c>
      <c r="L1" s="82" t="s">
        <v>607</v>
      </c>
      <c r="M1" s="82" t="s">
        <v>608</v>
      </c>
      <c r="N1" s="82" t="s">
        <v>609</v>
      </c>
      <c r="O1" s="82" t="s">
        <v>610</v>
      </c>
      <c r="P1" s="82" t="s">
        <v>611</v>
      </c>
      <c r="Q1" s="82" t="s">
        <v>612</v>
      </c>
      <c r="R1" s="82" t="s">
        <v>613</v>
      </c>
      <c r="S1" s="82" t="s">
        <v>614</v>
      </c>
      <c r="T1" s="82" t="s">
        <v>615</v>
      </c>
      <c r="U1" s="82" t="s">
        <v>616</v>
      </c>
      <c r="V1" s="82" t="s">
        <v>617</v>
      </c>
      <c r="W1" s="82" t="s">
        <v>618</v>
      </c>
      <c r="X1" s="82" t="s">
        <v>619</v>
      </c>
      <c r="Y1" s="82" t="s">
        <v>620</v>
      </c>
      <c r="Z1" s="82" t="s">
        <v>621</v>
      </c>
      <c r="AA1" s="82" t="s">
        <v>622</v>
      </c>
      <c r="AB1" s="82" t="s">
        <v>623</v>
      </c>
      <c r="AC1" s="82" t="s">
        <v>624</v>
      </c>
      <c r="AD1" s="82" t="s">
        <v>625</v>
      </c>
      <c r="AE1" s="82" t="s">
        <v>626</v>
      </c>
      <c r="AF1" s="82" t="s">
        <v>627</v>
      </c>
      <c r="AG1" s="82" t="s">
        <v>628</v>
      </c>
      <c r="AH1" s="82" t="s">
        <v>629</v>
      </c>
      <c r="AI1" s="82" t="s">
        <v>630</v>
      </c>
      <c r="AJ1" s="82" t="s">
        <v>631</v>
      </c>
      <c r="AK1" s="82" t="s">
        <v>632</v>
      </c>
      <c r="AL1" s="82" t="s">
        <v>633</v>
      </c>
      <c r="AM1" s="82" t="s">
        <v>634</v>
      </c>
      <c r="AN1" s="82" t="s">
        <v>635</v>
      </c>
      <c r="AO1" s="82" t="s">
        <v>636</v>
      </c>
      <c r="AP1" s="82" t="s">
        <v>637</v>
      </c>
      <c r="AQ1" s="82" t="s">
        <v>638</v>
      </c>
      <c r="AR1" s="82" t="s">
        <v>639</v>
      </c>
      <c r="AS1" s="82" t="s">
        <v>640</v>
      </c>
      <c r="AT1" s="82" t="s">
        <v>641</v>
      </c>
      <c r="AU1" s="82" t="s">
        <v>642</v>
      </c>
      <c r="AV1" s="82" t="s">
        <v>643</v>
      </c>
      <c r="AW1" s="82" t="s">
        <v>644</v>
      </c>
      <c r="AX1" s="82" t="s">
        <v>645</v>
      </c>
      <c r="AY1" s="82" t="s">
        <v>646</v>
      </c>
      <c r="AZ1" s="82" t="s">
        <v>647</v>
      </c>
      <c r="BA1" s="82" t="s">
        <v>648</v>
      </c>
      <c r="BB1" s="82" t="s">
        <v>649</v>
      </c>
      <c r="BC1" s="82" t="s">
        <v>650</v>
      </c>
      <c r="BD1" s="82" t="s">
        <v>651</v>
      </c>
      <c r="BE1" s="82" t="s">
        <v>652</v>
      </c>
      <c r="BF1" s="82" t="s">
        <v>653</v>
      </c>
      <c r="BG1" s="82" t="s">
        <v>654</v>
      </c>
      <c r="BH1" s="82" t="s">
        <v>655</v>
      </c>
      <c r="BI1" s="82" t="s">
        <v>656</v>
      </c>
      <c r="BJ1" s="82" t="s">
        <v>657</v>
      </c>
      <c r="BK1" s="82" t="s">
        <v>658</v>
      </c>
      <c r="BL1" s="82" t="s">
        <v>659</v>
      </c>
      <c r="BM1" s="82" t="s">
        <v>660</v>
      </c>
      <c r="BN1" s="82" t="s">
        <v>661</v>
      </c>
      <c r="BO1" s="82" t="s">
        <v>662</v>
      </c>
      <c r="BP1" s="82" t="s">
        <v>663</v>
      </c>
      <c r="BQ1" s="82" t="s">
        <v>664</v>
      </c>
      <c r="BR1" s="82" t="s">
        <v>665</v>
      </c>
      <c r="BS1" s="82" t="s">
        <v>666</v>
      </c>
      <c r="BT1" s="82" t="s">
        <v>667</v>
      </c>
      <c r="BU1" s="82" t="s">
        <v>668</v>
      </c>
      <c r="BV1" s="82" t="s">
        <v>669</v>
      </c>
      <c r="BW1" s="82" t="s">
        <v>670</v>
      </c>
      <c r="BX1" s="82" t="s">
        <v>671</v>
      </c>
      <c r="BY1" s="82" t="s">
        <v>672</v>
      </c>
      <c r="BZ1" s="82" t="s">
        <v>673</v>
      </c>
      <c r="CA1" s="82" t="s">
        <v>674</v>
      </c>
      <c r="CB1" s="82" t="s">
        <v>675</v>
      </c>
      <c r="CC1" s="82" t="s">
        <v>676</v>
      </c>
      <c r="CD1" s="82" t="s">
        <v>677</v>
      </c>
      <c r="CE1" s="82" t="s">
        <v>678</v>
      </c>
      <c r="CF1" s="82" t="s">
        <v>679</v>
      </c>
      <c r="CG1" s="82" t="s">
        <v>680</v>
      </c>
      <c r="CH1" s="82" t="s">
        <v>681</v>
      </c>
      <c r="CI1" s="82" t="s">
        <v>682</v>
      </c>
      <c r="CJ1" s="82" t="s">
        <v>683</v>
      </c>
      <c r="CK1" s="82" t="s">
        <v>684</v>
      </c>
      <c r="CL1" s="82" t="s">
        <v>685</v>
      </c>
      <c r="CM1" s="82" t="s">
        <v>686</v>
      </c>
      <c r="CN1" s="82" t="s">
        <v>687</v>
      </c>
      <c r="CO1" s="82" t="s">
        <v>688</v>
      </c>
      <c r="CP1" s="82" t="s">
        <v>0</v>
      </c>
      <c r="CQ1" s="82" t="s">
        <v>1</v>
      </c>
      <c r="CR1" s="82" t="s">
        <v>19</v>
      </c>
      <c r="CS1" s="82" t="s">
        <v>2</v>
      </c>
    </row>
    <row r="2" spans="1:97">
      <c r="B2" s="15">
        <v>1</v>
      </c>
      <c r="C2" s="1" t="s">
        <v>3215</v>
      </c>
      <c r="D2" s="1" t="s">
        <v>154</v>
      </c>
      <c r="E2" s="1">
        <v>8</v>
      </c>
      <c r="F2" s="1" t="s">
        <v>3216</v>
      </c>
      <c r="G2" s="1" t="s">
        <v>3217</v>
      </c>
      <c r="H2" s="1">
        <v>1200</v>
      </c>
      <c r="I2" s="1">
        <v>1200</v>
      </c>
      <c r="J2" s="1">
        <v>1200</v>
      </c>
      <c r="K2" s="1">
        <v>1200</v>
      </c>
      <c r="L2" s="1">
        <v>1200</v>
      </c>
      <c r="M2" s="1">
        <v>1200</v>
      </c>
      <c r="N2" s="1">
        <v>1200</v>
      </c>
      <c r="O2" s="1">
        <v>1200</v>
      </c>
      <c r="P2" s="1">
        <v>1200</v>
      </c>
      <c r="Q2" s="1">
        <v>1200</v>
      </c>
      <c r="R2" s="1">
        <v>1200</v>
      </c>
      <c r="S2" s="1">
        <v>1200</v>
      </c>
      <c r="T2" s="1">
        <v>1200</v>
      </c>
      <c r="U2" s="1">
        <v>1200</v>
      </c>
      <c r="V2" s="1">
        <v>1200</v>
      </c>
      <c r="W2" s="1">
        <v>1200</v>
      </c>
      <c r="X2" s="1">
        <v>1200</v>
      </c>
      <c r="Y2" s="1">
        <v>1200</v>
      </c>
      <c r="Z2" s="1">
        <v>1200</v>
      </c>
      <c r="AA2" s="1">
        <v>1200</v>
      </c>
      <c r="AB2" s="1">
        <v>1200</v>
      </c>
      <c r="AC2" s="1">
        <v>1200</v>
      </c>
      <c r="AD2" s="1">
        <v>1200</v>
      </c>
      <c r="AE2" s="1">
        <v>1200</v>
      </c>
      <c r="AF2" s="1">
        <v>1200</v>
      </c>
      <c r="AG2" s="1">
        <v>1200</v>
      </c>
      <c r="AH2" s="1">
        <v>1200</v>
      </c>
      <c r="AI2" s="1">
        <v>1200</v>
      </c>
      <c r="AJ2" s="1">
        <v>1200</v>
      </c>
      <c r="AK2" s="1">
        <v>1200</v>
      </c>
      <c r="AL2" s="1">
        <v>1200</v>
      </c>
      <c r="AM2" s="1">
        <v>1200</v>
      </c>
      <c r="AN2" s="1">
        <v>1200</v>
      </c>
      <c r="AO2" s="1">
        <v>1200</v>
      </c>
      <c r="AP2" s="1">
        <v>1200</v>
      </c>
      <c r="AQ2" s="1">
        <v>1200</v>
      </c>
      <c r="AR2" s="1">
        <v>1200</v>
      </c>
      <c r="AS2" s="1">
        <v>1200</v>
      </c>
      <c r="AT2" s="1">
        <v>1200</v>
      </c>
      <c r="AU2" s="1">
        <v>1200</v>
      </c>
      <c r="AV2" s="1">
        <v>1200</v>
      </c>
      <c r="AW2" s="1">
        <v>1200</v>
      </c>
      <c r="AX2" s="1">
        <v>1200</v>
      </c>
      <c r="AY2" s="1">
        <v>1200</v>
      </c>
      <c r="AZ2" s="1">
        <v>1200</v>
      </c>
      <c r="BA2" s="1">
        <v>1200</v>
      </c>
      <c r="BB2" s="1">
        <v>1200</v>
      </c>
      <c r="BC2" s="1">
        <v>1200</v>
      </c>
      <c r="BD2" s="1">
        <v>1200</v>
      </c>
      <c r="BE2" s="1">
        <v>1200</v>
      </c>
      <c r="BF2" s="1">
        <v>1200</v>
      </c>
      <c r="BG2" s="1">
        <v>1200</v>
      </c>
      <c r="BH2" s="1">
        <v>1200</v>
      </c>
      <c r="BI2" s="1">
        <v>1200</v>
      </c>
      <c r="BJ2" s="1">
        <v>1200</v>
      </c>
      <c r="BK2" s="1">
        <v>1200</v>
      </c>
      <c r="BL2" s="1">
        <v>1200</v>
      </c>
      <c r="BM2" s="1">
        <v>1200</v>
      </c>
      <c r="BN2" s="1">
        <v>1200</v>
      </c>
      <c r="BO2" s="1">
        <v>1200</v>
      </c>
      <c r="BP2" s="1">
        <v>1200</v>
      </c>
      <c r="BQ2" s="1">
        <v>1200</v>
      </c>
      <c r="BR2" s="1">
        <v>1200</v>
      </c>
      <c r="BS2" s="1">
        <v>1200</v>
      </c>
      <c r="BT2" s="1">
        <v>1200</v>
      </c>
      <c r="BU2" s="1">
        <v>1200</v>
      </c>
      <c r="BV2" s="1">
        <v>1200</v>
      </c>
      <c r="BW2" s="1">
        <v>1200</v>
      </c>
      <c r="BX2" s="1">
        <v>1200</v>
      </c>
      <c r="BY2" s="1">
        <v>1200</v>
      </c>
      <c r="BZ2" s="1">
        <v>1200</v>
      </c>
      <c r="CA2" s="1">
        <v>1200</v>
      </c>
      <c r="CB2" s="1">
        <v>1200</v>
      </c>
      <c r="CC2" s="1">
        <v>1200</v>
      </c>
      <c r="CD2" s="1">
        <v>1200</v>
      </c>
      <c r="CE2" s="1">
        <v>1200</v>
      </c>
      <c r="CF2" s="1">
        <v>1200</v>
      </c>
      <c r="CG2" s="1">
        <v>1200</v>
      </c>
      <c r="CH2" s="1" t="s">
        <v>546</v>
      </c>
      <c r="CI2" s="1" t="s">
        <v>546</v>
      </c>
      <c r="CJ2" s="1" t="s">
        <v>546</v>
      </c>
      <c r="CK2" s="1" t="s">
        <v>546</v>
      </c>
      <c r="CL2" s="1" t="s">
        <v>546</v>
      </c>
      <c r="CM2" s="1" t="s">
        <v>546</v>
      </c>
      <c r="CN2" s="1" t="s">
        <v>546</v>
      </c>
      <c r="CO2" s="1" t="s">
        <v>546</v>
      </c>
      <c r="CP2" s="1"/>
      <c r="CQ2" s="1" t="s">
        <v>523</v>
      </c>
      <c r="CR2" s="1"/>
      <c r="CS2" s="1" t="s">
        <v>523</v>
      </c>
    </row>
    <row r="3" spans="1:97">
      <c r="B3" s="15">
        <v>1</v>
      </c>
      <c r="C3" s="1" t="s">
        <v>3215</v>
      </c>
      <c r="D3" s="1" t="s">
        <v>154</v>
      </c>
      <c r="E3" s="1">
        <v>10</v>
      </c>
      <c r="F3" s="1" t="s">
        <v>3216</v>
      </c>
      <c r="G3" s="1" t="s">
        <v>3217</v>
      </c>
      <c r="H3" s="1">
        <v>1200</v>
      </c>
      <c r="I3" s="1">
        <v>1200</v>
      </c>
      <c r="J3" s="1">
        <v>1200</v>
      </c>
      <c r="K3" s="1">
        <v>1200</v>
      </c>
      <c r="L3" s="1">
        <v>1200</v>
      </c>
      <c r="M3" s="1">
        <v>1200</v>
      </c>
      <c r="N3" s="1">
        <v>1200</v>
      </c>
      <c r="O3" s="1">
        <v>1200</v>
      </c>
      <c r="P3" s="1">
        <v>1200</v>
      </c>
      <c r="Q3" s="1">
        <v>1200</v>
      </c>
      <c r="R3" s="1">
        <v>1200</v>
      </c>
      <c r="S3" s="1">
        <v>1200</v>
      </c>
      <c r="T3" s="1">
        <v>1200</v>
      </c>
      <c r="U3" s="1">
        <v>1200</v>
      </c>
      <c r="V3" s="1">
        <v>1200</v>
      </c>
      <c r="W3" s="1">
        <v>1200</v>
      </c>
      <c r="X3" s="1">
        <v>1200</v>
      </c>
      <c r="Y3" s="1">
        <v>1200</v>
      </c>
      <c r="Z3" s="1">
        <v>1200</v>
      </c>
      <c r="AA3" s="1">
        <v>1200</v>
      </c>
      <c r="AB3" s="1">
        <v>1200</v>
      </c>
      <c r="AC3" s="1">
        <v>1200</v>
      </c>
      <c r="AD3" s="1">
        <v>1200</v>
      </c>
      <c r="AE3" s="1">
        <v>1200</v>
      </c>
      <c r="AF3" s="1">
        <v>1200</v>
      </c>
      <c r="AG3" s="1">
        <v>1200</v>
      </c>
      <c r="AH3" s="1">
        <v>1200</v>
      </c>
      <c r="AI3" s="1">
        <v>1200</v>
      </c>
      <c r="AJ3" s="1">
        <v>1200</v>
      </c>
      <c r="AK3" s="1">
        <v>1200</v>
      </c>
      <c r="AL3" s="1">
        <v>1200</v>
      </c>
      <c r="AM3" s="1">
        <v>1200</v>
      </c>
      <c r="AN3" s="1">
        <v>1200</v>
      </c>
      <c r="AO3" s="1">
        <v>1200</v>
      </c>
      <c r="AP3" s="1">
        <v>1200</v>
      </c>
      <c r="AQ3" s="1">
        <v>1200</v>
      </c>
      <c r="AR3" s="1">
        <v>1200</v>
      </c>
      <c r="AS3" s="1">
        <v>1200</v>
      </c>
      <c r="AT3" s="1">
        <v>1200</v>
      </c>
      <c r="AU3" s="1">
        <v>1200</v>
      </c>
      <c r="AV3" s="1">
        <v>1200</v>
      </c>
      <c r="AW3" s="1">
        <v>1200</v>
      </c>
      <c r="AX3" s="1">
        <v>1200</v>
      </c>
      <c r="AY3" s="1">
        <v>1200</v>
      </c>
      <c r="AZ3" s="1">
        <v>1200</v>
      </c>
      <c r="BA3" s="1">
        <v>1200</v>
      </c>
      <c r="BB3" s="1">
        <v>1200</v>
      </c>
      <c r="BC3" s="1">
        <v>1200</v>
      </c>
      <c r="BD3" s="1">
        <v>1200</v>
      </c>
      <c r="BE3" s="1">
        <v>1200</v>
      </c>
      <c r="BF3" s="1">
        <v>1200</v>
      </c>
      <c r="BG3" s="1">
        <v>1200</v>
      </c>
      <c r="BH3" s="1">
        <v>1200</v>
      </c>
      <c r="BI3" s="1">
        <v>1200</v>
      </c>
      <c r="BJ3" s="1">
        <v>1200</v>
      </c>
      <c r="BK3" s="1">
        <v>1200</v>
      </c>
      <c r="BL3" s="1">
        <v>1200</v>
      </c>
      <c r="BM3" s="1">
        <v>1200</v>
      </c>
      <c r="BN3" s="1">
        <v>1200</v>
      </c>
      <c r="BO3" s="1">
        <v>1200</v>
      </c>
      <c r="BP3" s="1">
        <v>1200</v>
      </c>
      <c r="BQ3" s="1">
        <v>1200</v>
      </c>
      <c r="BR3" s="1">
        <v>1200</v>
      </c>
      <c r="BS3" s="1">
        <v>1200</v>
      </c>
      <c r="BT3" s="1">
        <v>1200</v>
      </c>
      <c r="BU3" s="1">
        <v>1200</v>
      </c>
      <c r="BV3" s="1">
        <v>1200</v>
      </c>
      <c r="BW3" s="1">
        <v>1200</v>
      </c>
      <c r="BX3" s="1">
        <v>1200</v>
      </c>
      <c r="BY3" s="1">
        <v>1200</v>
      </c>
      <c r="BZ3" s="1">
        <v>1200</v>
      </c>
      <c r="CA3" s="1" t="s">
        <v>546</v>
      </c>
      <c r="CB3" s="1" t="s">
        <v>546</v>
      </c>
      <c r="CC3" s="1" t="s">
        <v>546</v>
      </c>
      <c r="CD3" s="1" t="s">
        <v>546</v>
      </c>
      <c r="CE3" s="1" t="s">
        <v>546</v>
      </c>
      <c r="CF3" s="1" t="s">
        <v>546</v>
      </c>
      <c r="CG3" s="1" t="s">
        <v>546</v>
      </c>
      <c r="CH3" s="1" t="s">
        <v>546</v>
      </c>
      <c r="CI3" s="1" t="s">
        <v>546</v>
      </c>
      <c r="CJ3" s="1" t="s">
        <v>546</v>
      </c>
      <c r="CK3" s="1" t="s">
        <v>546</v>
      </c>
      <c r="CL3" s="1" t="s">
        <v>546</v>
      </c>
      <c r="CM3" s="1" t="s">
        <v>546</v>
      </c>
      <c r="CN3" s="1" t="s">
        <v>546</v>
      </c>
      <c r="CO3" s="1" t="s">
        <v>546</v>
      </c>
      <c r="CP3" s="1"/>
      <c r="CQ3" s="1" t="s">
        <v>523</v>
      </c>
      <c r="CR3" s="1"/>
      <c r="CS3" s="1" t="s">
        <v>523</v>
      </c>
    </row>
    <row r="4" spans="1:97">
      <c r="B4" s="15">
        <v>1</v>
      </c>
      <c r="C4" s="1" t="s">
        <v>3215</v>
      </c>
      <c r="D4" s="1" t="s">
        <v>154</v>
      </c>
      <c r="E4" s="1">
        <v>12</v>
      </c>
      <c r="F4" s="1" t="s">
        <v>3216</v>
      </c>
      <c r="G4" s="1" t="s">
        <v>3217</v>
      </c>
      <c r="H4" s="1">
        <v>1200</v>
      </c>
      <c r="I4" s="1">
        <v>1200</v>
      </c>
      <c r="J4" s="1">
        <v>1200</v>
      </c>
      <c r="K4" s="1">
        <v>1200</v>
      </c>
      <c r="L4" s="1">
        <v>1200</v>
      </c>
      <c r="M4" s="1">
        <v>1200</v>
      </c>
      <c r="N4" s="1">
        <v>1200</v>
      </c>
      <c r="O4" s="1">
        <v>1200</v>
      </c>
      <c r="P4" s="1">
        <v>1200</v>
      </c>
      <c r="Q4" s="1">
        <v>1200</v>
      </c>
      <c r="R4" s="1">
        <v>1200</v>
      </c>
      <c r="S4" s="1">
        <v>1200</v>
      </c>
      <c r="T4" s="1">
        <v>1200</v>
      </c>
      <c r="U4" s="1">
        <v>1200</v>
      </c>
      <c r="V4" s="1">
        <v>1200</v>
      </c>
      <c r="W4" s="1">
        <v>1200</v>
      </c>
      <c r="X4" s="1">
        <v>1200</v>
      </c>
      <c r="Y4" s="1">
        <v>1200</v>
      </c>
      <c r="Z4" s="1">
        <v>1200</v>
      </c>
      <c r="AA4" s="1">
        <v>1200</v>
      </c>
      <c r="AB4" s="1">
        <v>1200</v>
      </c>
      <c r="AC4" s="1">
        <v>1200</v>
      </c>
      <c r="AD4" s="1">
        <v>1200</v>
      </c>
      <c r="AE4" s="1">
        <v>1200</v>
      </c>
      <c r="AF4" s="1">
        <v>1200</v>
      </c>
      <c r="AG4" s="1">
        <v>1200</v>
      </c>
      <c r="AH4" s="1">
        <v>1200</v>
      </c>
      <c r="AI4" s="1">
        <v>1200</v>
      </c>
      <c r="AJ4" s="1">
        <v>1200</v>
      </c>
      <c r="AK4" s="1">
        <v>1200</v>
      </c>
      <c r="AL4" s="1">
        <v>1200</v>
      </c>
      <c r="AM4" s="1">
        <v>1200</v>
      </c>
      <c r="AN4" s="1">
        <v>1200</v>
      </c>
      <c r="AO4" s="1">
        <v>1200</v>
      </c>
      <c r="AP4" s="1">
        <v>1200</v>
      </c>
      <c r="AQ4" s="1">
        <v>1200</v>
      </c>
      <c r="AR4" s="1">
        <v>1200</v>
      </c>
      <c r="AS4" s="1">
        <v>1200</v>
      </c>
      <c r="AT4" s="1">
        <v>1200</v>
      </c>
      <c r="AU4" s="1">
        <v>1200</v>
      </c>
      <c r="AV4" s="1">
        <v>1200</v>
      </c>
      <c r="AW4" s="1">
        <v>1200</v>
      </c>
      <c r="AX4" s="1">
        <v>1200</v>
      </c>
      <c r="AY4" s="1">
        <v>1200</v>
      </c>
      <c r="AZ4" s="1">
        <v>1200</v>
      </c>
      <c r="BA4" s="1">
        <v>1200</v>
      </c>
      <c r="BB4" s="1">
        <v>1200</v>
      </c>
      <c r="BC4" s="1">
        <v>1200</v>
      </c>
      <c r="BD4" s="1">
        <v>1200</v>
      </c>
      <c r="BE4" s="1">
        <v>1200</v>
      </c>
      <c r="BF4" s="1">
        <v>1200</v>
      </c>
      <c r="BG4" s="1">
        <v>1200</v>
      </c>
      <c r="BH4" s="1">
        <v>1200</v>
      </c>
      <c r="BI4" s="1">
        <v>1200</v>
      </c>
      <c r="BJ4" s="1">
        <v>1200</v>
      </c>
      <c r="BK4" s="1">
        <v>1200</v>
      </c>
      <c r="BL4" s="1">
        <v>1200</v>
      </c>
      <c r="BM4" s="1">
        <v>1200</v>
      </c>
      <c r="BN4" s="1">
        <v>1200</v>
      </c>
      <c r="BO4" s="1">
        <v>1200</v>
      </c>
      <c r="BP4" s="1">
        <v>1200</v>
      </c>
      <c r="BQ4" s="1">
        <v>1200</v>
      </c>
      <c r="BR4" s="1">
        <v>1200</v>
      </c>
      <c r="BS4" s="1">
        <v>1200</v>
      </c>
      <c r="BT4" s="1">
        <v>1200</v>
      </c>
      <c r="BU4" s="1">
        <v>1200</v>
      </c>
      <c r="BV4" s="1">
        <v>1200</v>
      </c>
      <c r="BW4" s="1">
        <v>1200</v>
      </c>
      <c r="BX4" s="1">
        <v>1200</v>
      </c>
      <c r="BY4" s="1">
        <v>1200</v>
      </c>
      <c r="BZ4" s="1">
        <v>1200</v>
      </c>
      <c r="CA4" s="1" t="s">
        <v>546</v>
      </c>
      <c r="CB4" s="1" t="s">
        <v>546</v>
      </c>
      <c r="CC4" s="1" t="s">
        <v>546</v>
      </c>
      <c r="CD4" s="1" t="s">
        <v>546</v>
      </c>
      <c r="CE4" s="1" t="s">
        <v>546</v>
      </c>
      <c r="CF4" s="1" t="s">
        <v>546</v>
      </c>
      <c r="CG4" s="1" t="s">
        <v>546</v>
      </c>
      <c r="CH4" s="1" t="s">
        <v>546</v>
      </c>
      <c r="CI4" s="1" t="s">
        <v>546</v>
      </c>
      <c r="CJ4" s="1" t="s">
        <v>546</v>
      </c>
      <c r="CK4" s="1" t="s">
        <v>546</v>
      </c>
      <c r="CL4" s="1" t="s">
        <v>546</v>
      </c>
      <c r="CM4" s="1" t="s">
        <v>546</v>
      </c>
      <c r="CN4" s="1" t="s">
        <v>546</v>
      </c>
      <c r="CO4" s="1" t="s">
        <v>546</v>
      </c>
      <c r="CP4" s="1"/>
      <c r="CQ4" s="1" t="s">
        <v>523</v>
      </c>
      <c r="CR4" s="1"/>
      <c r="CS4" s="1" t="s">
        <v>523</v>
      </c>
    </row>
    <row r="5" spans="1:97">
      <c r="B5" s="15">
        <v>1</v>
      </c>
      <c r="C5" s="1" t="s">
        <v>3215</v>
      </c>
      <c r="D5" s="1" t="s">
        <v>154</v>
      </c>
      <c r="E5" s="1">
        <v>20</v>
      </c>
      <c r="F5" s="1" t="s">
        <v>3216</v>
      </c>
      <c r="G5" s="1" t="s">
        <v>3217</v>
      </c>
      <c r="H5" s="1">
        <v>1000</v>
      </c>
      <c r="I5" s="1">
        <v>1000</v>
      </c>
      <c r="J5" s="1">
        <v>1000</v>
      </c>
      <c r="K5" s="1">
        <v>1000</v>
      </c>
      <c r="L5" s="1">
        <v>1000</v>
      </c>
      <c r="M5" s="1">
        <v>1000</v>
      </c>
      <c r="N5" s="1">
        <v>1000</v>
      </c>
      <c r="O5" s="1">
        <v>1000</v>
      </c>
      <c r="P5" s="1">
        <v>1000</v>
      </c>
      <c r="Q5" s="1">
        <v>1000</v>
      </c>
      <c r="R5" s="1">
        <v>1000</v>
      </c>
      <c r="S5" s="1">
        <v>1000</v>
      </c>
      <c r="T5" s="1">
        <v>1000</v>
      </c>
      <c r="U5" s="1">
        <v>1000</v>
      </c>
      <c r="V5" s="1">
        <v>1000</v>
      </c>
      <c r="W5" s="1">
        <v>1000</v>
      </c>
      <c r="X5" s="1">
        <v>1000</v>
      </c>
      <c r="Y5" s="1">
        <v>1000</v>
      </c>
      <c r="Z5" s="1">
        <v>1000</v>
      </c>
      <c r="AA5" s="1">
        <v>1000</v>
      </c>
      <c r="AB5" s="1">
        <v>1000</v>
      </c>
      <c r="AC5" s="1">
        <v>1000</v>
      </c>
      <c r="AD5" s="1">
        <v>1000</v>
      </c>
      <c r="AE5" s="1">
        <v>1000</v>
      </c>
      <c r="AF5" s="1">
        <v>1000</v>
      </c>
      <c r="AG5" s="1">
        <v>1000</v>
      </c>
      <c r="AH5" s="1">
        <v>1000</v>
      </c>
      <c r="AI5" s="1">
        <v>1000</v>
      </c>
      <c r="AJ5" s="1">
        <v>1000</v>
      </c>
      <c r="AK5" s="1">
        <v>1000</v>
      </c>
      <c r="AL5" s="1">
        <v>1000</v>
      </c>
      <c r="AM5" s="1">
        <v>1000</v>
      </c>
      <c r="AN5" s="1">
        <v>1000</v>
      </c>
      <c r="AO5" s="1">
        <v>1000</v>
      </c>
      <c r="AP5" s="1">
        <v>1000</v>
      </c>
      <c r="AQ5" s="1">
        <v>1000</v>
      </c>
      <c r="AR5" s="1">
        <v>1000</v>
      </c>
      <c r="AS5" s="1">
        <v>1000</v>
      </c>
      <c r="AT5" s="1">
        <v>1000</v>
      </c>
      <c r="AU5" s="1">
        <v>1000</v>
      </c>
      <c r="AV5" s="1">
        <v>1000</v>
      </c>
      <c r="AW5" s="1">
        <v>1000</v>
      </c>
      <c r="AX5" s="1">
        <v>1000</v>
      </c>
      <c r="AY5" s="1">
        <v>1000</v>
      </c>
      <c r="AZ5" s="1">
        <v>1000</v>
      </c>
      <c r="BA5" s="1">
        <v>1000</v>
      </c>
      <c r="BB5" s="1">
        <v>1000</v>
      </c>
      <c r="BC5" s="1">
        <v>1000</v>
      </c>
      <c r="BD5" s="1">
        <v>1000</v>
      </c>
      <c r="BE5" s="1">
        <v>1000</v>
      </c>
      <c r="BF5" s="1">
        <v>1000</v>
      </c>
      <c r="BG5" s="1">
        <v>1000</v>
      </c>
      <c r="BH5" s="1">
        <v>1000</v>
      </c>
      <c r="BI5" s="1">
        <v>1000</v>
      </c>
      <c r="BJ5" s="1">
        <v>1000</v>
      </c>
      <c r="BK5" s="1">
        <v>1000</v>
      </c>
      <c r="BL5" s="1">
        <v>1000</v>
      </c>
      <c r="BM5" s="1">
        <v>1000</v>
      </c>
      <c r="BN5" s="1">
        <v>1000</v>
      </c>
      <c r="BO5" s="1">
        <v>1000</v>
      </c>
      <c r="BP5" s="1">
        <v>1000</v>
      </c>
      <c r="BQ5" s="1">
        <v>1000</v>
      </c>
      <c r="BR5" s="1">
        <v>1000</v>
      </c>
      <c r="BS5" s="1">
        <v>1000</v>
      </c>
      <c r="BT5" s="1">
        <v>1000</v>
      </c>
      <c r="BU5" s="1">
        <v>1000</v>
      </c>
      <c r="BV5" s="1" t="s">
        <v>546</v>
      </c>
      <c r="BW5" s="1" t="s">
        <v>546</v>
      </c>
      <c r="BX5" s="1" t="s">
        <v>546</v>
      </c>
      <c r="BY5" s="1" t="s">
        <v>546</v>
      </c>
      <c r="BZ5" s="1" t="s">
        <v>546</v>
      </c>
      <c r="CA5" s="1" t="s">
        <v>546</v>
      </c>
      <c r="CB5" s="1" t="s">
        <v>546</v>
      </c>
      <c r="CC5" s="1" t="s">
        <v>546</v>
      </c>
      <c r="CD5" s="1" t="s">
        <v>546</v>
      </c>
      <c r="CE5" s="1" t="s">
        <v>546</v>
      </c>
      <c r="CF5" s="1" t="s">
        <v>546</v>
      </c>
      <c r="CG5" s="1" t="s">
        <v>546</v>
      </c>
      <c r="CH5" s="1" t="s">
        <v>546</v>
      </c>
      <c r="CI5" s="1" t="s">
        <v>546</v>
      </c>
      <c r="CJ5" s="1" t="s">
        <v>546</v>
      </c>
      <c r="CK5" s="1" t="s">
        <v>546</v>
      </c>
      <c r="CL5" s="1" t="s">
        <v>546</v>
      </c>
      <c r="CM5" s="1" t="s">
        <v>546</v>
      </c>
      <c r="CN5" s="1" t="s">
        <v>546</v>
      </c>
      <c r="CO5" s="1" t="s">
        <v>546</v>
      </c>
      <c r="CP5" s="1"/>
      <c r="CQ5" s="1" t="s">
        <v>523</v>
      </c>
      <c r="CR5" s="1"/>
      <c r="CS5" s="1" t="s">
        <v>523</v>
      </c>
    </row>
    <row r="6" spans="1:97">
      <c r="C6" s="1"/>
      <c r="D6" s="1"/>
      <c r="E6" s="1"/>
      <c r="F6" s="1"/>
      <c r="G6" s="1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5"/>
      <c r="AQ6" s="105"/>
      <c r="AR6" s="105"/>
      <c r="AS6" s="105"/>
      <c r="AT6" s="105"/>
      <c r="AU6" s="105"/>
      <c r="AV6" s="105"/>
      <c r="AW6" s="105"/>
      <c r="AX6" s="105"/>
      <c r="AY6" s="105"/>
      <c r="AZ6" s="105"/>
      <c r="BA6" s="105"/>
      <c r="BB6" s="105"/>
      <c r="BC6" s="105"/>
      <c r="BD6" s="105"/>
      <c r="BE6" s="105"/>
      <c r="BF6" s="105"/>
      <c r="BG6" s="105"/>
      <c r="BH6" s="105"/>
      <c r="BI6" s="105"/>
      <c r="BJ6" s="105"/>
      <c r="BK6" s="105"/>
      <c r="BL6" s="105"/>
      <c r="BM6" s="105"/>
      <c r="BN6" s="105"/>
      <c r="BO6" s="105"/>
      <c r="BP6" s="105"/>
      <c r="BQ6" s="105"/>
      <c r="BR6" s="105"/>
      <c r="BS6" s="105"/>
      <c r="BT6" s="105"/>
      <c r="BU6" s="105"/>
      <c r="BV6" s="105"/>
      <c r="BW6" s="105"/>
      <c r="BX6" s="105"/>
      <c r="BY6" s="105"/>
      <c r="BZ6" s="105"/>
      <c r="CA6" s="105"/>
      <c r="CB6" s="105"/>
      <c r="CC6" s="105"/>
      <c r="CD6" s="105"/>
      <c r="CE6" s="105"/>
      <c r="CF6" s="105"/>
      <c r="CG6" s="105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>
      <c r="C7" s="1"/>
      <c r="D7" s="1"/>
      <c r="E7" s="1"/>
      <c r="F7" s="1"/>
      <c r="G7" s="1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5"/>
      <c r="AQ7" s="105"/>
      <c r="AR7" s="105"/>
      <c r="AS7" s="105"/>
      <c r="AT7" s="105"/>
      <c r="AU7" s="105"/>
      <c r="AV7" s="105"/>
      <c r="AW7" s="105"/>
      <c r="AX7" s="105"/>
      <c r="AY7" s="105"/>
      <c r="AZ7" s="105"/>
      <c r="BA7" s="105"/>
      <c r="BB7" s="105"/>
      <c r="BC7" s="105"/>
      <c r="BD7" s="105"/>
      <c r="BE7" s="105"/>
      <c r="BF7" s="105"/>
      <c r="BG7" s="105"/>
      <c r="BH7" s="105"/>
      <c r="BI7" s="105"/>
      <c r="BJ7" s="105"/>
      <c r="BK7" s="105"/>
      <c r="BL7" s="105"/>
      <c r="BM7" s="105"/>
      <c r="BN7" s="105"/>
      <c r="BO7" s="105"/>
      <c r="BP7" s="105"/>
      <c r="BQ7" s="105"/>
      <c r="BR7" s="105"/>
      <c r="BS7" s="105"/>
      <c r="BT7" s="105"/>
      <c r="BU7" s="105"/>
      <c r="BV7" s="105"/>
      <c r="BW7" s="105"/>
      <c r="BX7" s="105"/>
      <c r="BY7" s="105"/>
      <c r="BZ7" s="105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</row>
    <row r="8" spans="1:97">
      <c r="C8" s="1"/>
      <c r="D8" s="1"/>
      <c r="E8" s="1"/>
      <c r="F8" s="1"/>
      <c r="G8" s="1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5"/>
      <c r="AO8" s="105"/>
      <c r="AP8" s="105"/>
      <c r="AQ8" s="105"/>
      <c r="AR8" s="105"/>
      <c r="AS8" s="105"/>
      <c r="AT8" s="105"/>
      <c r="AU8" s="105"/>
      <c r="AV8" s="105"/>
      <c r="AW8" s="105"/>
      <c r="AX8" s="105"/>
      <c r="AY8" s="105"/>
      <c r="AZ8" s="105"/>
      <c r="BA8" s="105"/>
      <c r="BB8" s="105"/>
      <c r="BC8" s="105"/>
      <c r="BD8" s="105"/>
      <c r="BE8" s="105"/>
      <c r="BF8" s="105"/>
      <c r="BG8" s="105"/>
      <c r="BH8" s="105"/>
      <c r="BI8" s="105"/>
      <c r="BJ8" s="105"/>
      <c r="BK8" s="105"/>
      <c r="BL8" s="105"/>
      <c r="BM8" s="105"/>
      <c r="BN8" s="105"/>
      <c r="BO8" s="105"/>
      <c r="BP8" s="105"/>
      <c r="BQ8" s="105"/>
      <c r="BR8" s="105"/>
      <c r="BS8" s="105"/>
      <c r="BT8" s="105"/>
      <c r="BU8" s="105"/>
      <c r="BV8" s="105"/>
      <c r="BW8" s="105"/>
      <c r="BX8" s="105"/>
      <c r="BY8" s="105"/>
      <c r="BZ8" s="105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</row>
    <row r="9" spans="1:97">
      <c r="C9" s="1"/>
      <c r="D9" s="1"/>
      <c r="E9" s="1"/>
      <c r="F9" s="1"/>
      <c r="G9" s="1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5"/>
      <c r="BK9" s="105"/>
      <c r="BL9" s="105"/>
      <c r="BM9" s="105"/>
      <c r="BN9" s="105"/>
      <c r="BO9" s="105"/>
      <c r="BP9" s="105"/>
      <c r="BQ9" s="105"/>
      <c r="BR9" s="105"/>
      <c r="BS9" s="105"/>
      <c r="BT9" s="105"/>
      <c r="BU9" s="105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</row>
    <row r="10" spans="1:97">
      <c r="C10" s="1"/>
      <c r="D10" s="1"/>
      <c r="E10" s="1"/>
      <c r="F10" s="1"/>
      <c r="G10" s="1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5"/>
      <c r="BF10" s="105"/>
      <c r="BG10" s="105"/>
      <c r="BH10" s="105"/>
      <c r="BI10" s="105"/>
      <c r="BJ10" s="105"/>
      <c r="BK10" s="105"/>
      <c r="BL10" s="105"/>
      <c r="BM10" s="105"/>
      <c r="BN10" s="105"/>
      <c r="BO10" s="105"/>
      <c r="BP10" s="105"/>
      <c r="BQ10" s="105"/>
      <c r="BR10" s="105"/>
      <c r="BS10" s="105"/>
      <c r="BT10" s="105"/>
      <c r="BU10" s="105"/>
      <c r="BV10" s="105"/>
      <c r="BW10" s="105"/>
      <c r="BX10" s="105"/>
      <c r="BY10" s="105"/>
      <c r="BZ10" s="105"/>
      <c r="CA10" s="105"/>
      <c r="CB10" s="105"/>
      <c r="CC10" s="105"/>
      <c r="CD10" s="105"/>
      <c r="CE10" s="105"/>
      <c r="CF10" s="105"/>
      <c r="CG10" s="105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</row>
    <row r="11" spans="1:97">
      <c r="C11" s="1"/>
      <c r="D11" s="1"/>
      <c r="E11" s="1"/>
      <c r="F11" s="1"/>
      <c r="G11" s="1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  <c r="BE11" s="105"/>
      <c r="BF11" s="105"/>
      <c r="BG11" s="105"/>
      <c r="BH11" s="105"/>
      <c r="BI11" s="105"/>
      <c r="BJ11" s="105"/>
      <c r="BK11" s="105"/>
      <c r="BL11" s="105"/>
      <c r="BM11" s="105"/>
      <c r="BN11" s="105"/>
      <c r="BO11" s="105"/>
      <c r="BP11" s="105"/>
      <c r="BQ11" s="105"/>
      <c r="BR11" s="105"/>
      <c r="BS11" s="105"/>
      <c r="BT11" s="105"/>
      <c r="BU11" s="105"/>
      <c r="BV11" s="105"/>
      <c r="BW11" s="105"/>
      <c r="BX11" s="105"/>
      <c r="BY11" s="105"/>
      <c r="BZ11" s="105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</row>
    <row r="12" spans="1:97">
      <c r="C12" s="1"/>
      <c r="D12" s="1"/>
      <c r="E12" s="1"/>
      <c r="F12" s="1"/>
      <c r="G12" s="1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5"/>
      <c r="AQ12" s="105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  <c r="BD12" s="105"/>
      <c r="BE12" s="105"/>
      <c r="BF12" s="105"/>
      <c r="BG12" s="105"/>
      <c r="BH12" s="105"/>
      <c r="BI12" s="105"/>
      <c r="BJ12" s="105"/>
      <c r="BK12" s="105"/>
      <c r="BL12" s="105"/>
      <c r="BM12" s="105"/>
      <c r="BN12" s="105"/>
      <c r="BO12" s="105"/>
      <c r="BP12" s="105"/>
      <c r="BQ12" s="105"/>
      <c r="BR12" s="105"/>
      <c r="BS12" s="105"/>
      <c r="BT12" s="105"/>
      <c r="BU12" s="105"/>
      <c r="BV12" s="105"/>
      <c r="BW12" s="105"/>
      <c r="BX12" s="105"/>
      <c r="BY12" s="105"/>
      <c r="BZ12" s="105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</row>
    <row r="13" spans="1:97">
      <c r="C13" s="1"/>
      <c r="D13" s="1"/>
      <c r="E13" s="1"/>
      <c r="F13" s="1"/>
      <c r="G13" s="1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5"/>
      <c r="AQ13" s="105"/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  <c r="BB13" s="105"/>
      <c r="BC13" s="105"/>
      <c r="BD13" s="105"/>
      <c r="BE13" s="105"/>
      <c r="BF13" s="105"/>
      <c r="BG13" s="105"/>
      <c r="BH13" s="105"/>
      <c r="BI13" s="105"/>
      <c r="BJ13" s="105"/>
      <c r="BK13" s="105"/>
      <c r="BL13" s="105"/>
      <c r="BM13" s="105"/>
      <c r="BN13" s="105"/>
      <c r="BO13" s="105"/>
      <c r="BP13" s="105"/>
      <c r="BQ13" s="105"/>
      <c r="BR13" s="105"/>
      <c r="BS13" s="105"/>
      <c r="BT13" s="105"/>
      <c r="BU13" s="105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</row>
  </sheetData>
  <phoneticPr fontId="3" type="noConversion"/>
  <hyperlinks>
    <hyperlink ref="A1" location="目錄!A1" display="回到目錄"/>
  </hyperlink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2"/>
  <dimension ref="A1:U12"/>
  <sheetViews>
    <sheetView workbookViewId="0">
      <selection activeCell="G6" sqref="G6"/>
    </sheetView>
  </sheetViews>
  <sheetFormatPr defaultColWidth="11.1796875" defaultRowHeight="13.8"/>
  <cols>
    <col min="1" max="1" width="7.453125" style="44" bestFit="1" customWidth="1"/>
    <col min="2" max="2" width="4.36328125" style="52" bestFit="1" customWidth="1"/>
    <col min="3" max="3" width="16.453125" style="39" bestFit="1" customWidth="1"/>
    <col min="4" max="4" width="11.08984375" style="39" bestFit="1" customWidth="1"/>
    <col min="5" max="5" width="7.54296875" style="52" bestFit="1" customWidth="1"/>
    <col min="6" max="7" width="11.54296875" style="44" bestFit="1" customWidth="1"/>
    <col min="8" max="8" width="24.453125" style="39" bestFit="1" customWidth="1"/>
    <col min="9" max="9" width="10.08984375" style="39" bestFit="1" customWidth="1"/>
    <col min="10" max="10" width="3.6328125" style="52" customWidth="1"/>
    <col min="11" max="11" width="6.1796875" style="39" customWidth="1"/>
    <col min="12" max="12" width="4.26953125" style="44" bestFit="1" customWidth="1"/>
    <col min="13" max="13" width="14.90625" style="44" bestFit="1" customWidth="1"/>
    <col min="14" max="16384" width="11.1796875" style="44"/>
  </cols>
  <sheetData>
    <row r="1" spans="1:21" s="42" customFormat="1">
      <c r="A1" s="43" t="s">
        <v>36</v>
      </c>
      <c r="B1" s="56" t="s">
        <v>5</v>
      </c>
      <c r="C1" s="57" t="s">
        <v>3</v>
      </c>
      <c r="D1" s="57" t="s">
        <v>4</v>
      </c>
      <c r="E1" s="58" t="s">
        <v>6</v>
      </c>
      <c r="F1" s="59" t="s">
        <v>13</v>
      </c>
      <c r="G1" s="59" t="s">
        <v>7</v>
      </c>
      <c r="H1" s="3" t="s">
        <v>8</v>
      </c>
      <c r="I1" s="3" t="s">
        <v>105</v>
      </c>
      <c r="J1" s="53"/>
      <c r="K1" s="54"/>
      <c r="L1" s="72" t="s">
        <v>240</v>
      </c>
      <c r="M1" s="72" t="s">
        <v>2978</v>
      </c>
      <c r="N1" s="72" t="s">
        <v>470</v>
      </c>
      <c r="O1" s="72" t="s">
        <v>471</v>
      </c>
      <c r="P1" s="72" t="s">
        <v>472</v>
      </c>
      <c r="Q1" s="72" t="s">
        <v>473</v>
      </c>
      <c r="R1" s="72" t="s">
        <v>474</v>
      </c>
      <c r="S1" s="73" t="s">
        <v>475</v>
      </c>
    </row>
    <row r="2" spans="1:21" s="10" customFormat="1">
      <c r="B2" s="11" t="s">
        <v>14</v>
      </c>
      <c r="C2" s="12" t="s">
        <v>3752</v>
      </c>
      <c r="D2" s="12" t="s">
        <v>3529</v>
      </c>
      <c r="E2" s="11"/>
      <c r="G2" s="4" t="s">
        <v>157</v>
      </c>
      <c r="H2" s="34"/>
      <c r="I2" s="39" t="s">
        <v>3530</v>
      </c>
      <c r="J2" s="29"/>
      <c r="K2" s="29"/>
      <c r="L2" s="36"/>
      <c r="M2" s="36"/>
      <c r="N2" s="36"/>
      <c r="O2" s="36"/>
      <c r="P2" s="36"/>
      <c r="Q2" s="36"/>
      <c r="R2" s="32"/>
      <c r="S2" s="36"/>
      <c r="T2" s="32"/>
      <c r="U2" s="32"/>
    </row>
    <row r="3" spans="1:21" s="10" customFormat="1">
      <c r="B3" s="11" t="s">
        <v>14</v>
      </c>
      <c r="C3" s="13" t="s">
        <v>3751</v>
      </c>
      <c r="D3" s="13" t="s">
        <v>215</v>
      </c>
      <c r="E3" s="11"/>
      <c r="G3" s="12" t="s">
        <v>158</v>
      </c>
      <c r="H3" s="34"/>
      <c r="I3" s="27"/>
      <c r="J3" s="29"/>
      <c r="K3" s="29"/>
      <c r="L3" s="36"/>
      <c r="M3" s="36"/>
      <c r="N3" s="36"/>
      <c r="O3" s="36"/>
      <c r="P3" s="36"/>
      <c r="Q3" s="36"/>
      <c r="R3" s="32"/>
      <c r="S3" s="36"/>
      <c r="T3" s="32"/>
      <c r="U3" s="32"/>
    </row>
    <row r="4" spans="1:21">
      <c r="B4" s="52" t="s">
        <v>14</v>
      </c>
      <c r="C4" s="60" t="s">
        <v>80</v>
      </c>
      <c r="D4" s="61" t="s">
        <v>24</v>
      </c>
      <c r="E4" s="62"/>
      <c r="F4" s="49"/>
      <c r="G4" s="49" t="s">
        <v>81</v>
      </c>
      <c r="L4" s="36"/>
      <c r="M4" s="34"/>
      <c r="N4" s="36" t="str">
        <f>"EXEC sp_dropextendedproperty @name = N'MS_Description', @level0type=N'SCHEMA',@level0name=N'"&amp;$L$1&amp;"', @level1type=N'TABLE',@level1name=N'"&amp;$M$1&amp;"', @level2type=N'COLUMN',@level2name=N'"&amp;$C4&amp;"'"</f>
        <v>EXEC sp_dropextendedproperty @name = N'MS_Description', @level0type=N'SCHEMA',@level0name=N'dbo', @level1type=N'TABLE',@level1name=N'LifeInsCommRate', @level2type=N'COLUMN',@level2name=N'PlanCode'</v>
      </c>
      <c r="O4" s="36" t="str">
        <f>"EXEC sp_dropextendedproperty @name = N'Rule', @level0type=N'SCHEMA',@level0name=N'"&amp;$L$1&amp;"', @level1type=N'TABLE',@level1name=N'"&amp;$M$1&amp;"', @level2type=N'COLUMN',@level2name=N'"&amp;$C4&amp;"'"</f>
        <v>EXEC sp_dropextendedproperty @name = N'Rule', @level0type=N'SCHEMA',@level0name=N'dbo', @level1type=N'TABLE',@level1name=N'LifeInsCommRate', @level2type=N'COLUMN',@level2name=N'PlanCode'</v>
      </c>
      <c r="P4" s="36" t="str">
        <f>"EXEC sp_dropextendedproperty @name = N'Memo', @level0type=N'SCHEMA',@level0name=N'"&amp;$L$1&amp;"', @level1type=N'TABLE',@level1name=N'"&amp;$M$1&amp;"', @level2type=N'COLUMN',@level2name=N'"&amp;$C4&amp;"'"</f>
        <v>EXEC sp_dropextendedproperty @name = N'Memo', @level0type=N'SCHEMA',@level0name=N'dbo', @level1type=N'TABLE',@level1name=N'LifeInsCommRate', @level2type=N'COLUMN',@level2name=N'PlanCode'</v>
      </c>
      <c r="Q4" s="36" t="str">
        <f>"set @OldWording = N'"&amp;SUBSTITUTE($G4,CHAR(10),"")&amp;"' set @NewWording = REPLACE(@OldWording,'***',char(13)+char(10)) "&amp;"EXEC sys.sp_addextendedproperty @name=N'MS_Description', @value=@NewWording , @level0type=N'SCHEMA',@level0name=N'"&amp;$L$1&amp;"', @level1type=N'TABLE',@level1name=N'"&amp;$M$1&amp;"', @level2type=N'COLUMN',@level2name=N'"&amp;$C4&amp;"'"</f>
        <v>set @OldWording = N'險種代碼' set @NewWording = REPLACE(@OldWording,'***',char(13)+char(10)) EXEC sys.sp_addextendedproperty @name=N'MS_Description', @value=@NewWording , @level0type=N'SCHEMA',@level0name=N'dbo', @level1type=N'TABLE',@level1name=N'LifeInsCommRate', @level2type=N'COLUMN',@level2name=N'PlanCode'</v>
      </c>
      <c r="R4" s="32" t="str">
        <f>"set @OldWording = N'"&amp;SUBSTITUTE($H4,CHAR(10),"")&amp;"' set @NewWording = REPLACE(@OldWording,'***',char(13)+char(10)) "&amp;"EXEC sys.sp_addextendedproperty @name=N'Rule', @value=@NewWording , @level0type=N'SCHEMA',@level0name=N'"&amp;$L$1&amp;"', @level1type=N'TABLE',@level1name=N'"&amp;$M$1&amp;"', @level2type=N'COLUMN',@level2name=N'"&amp;$C4&amp;"'"</f>
        <v>set @OldWording = N'' set @NewWording = REPLACE(@OldWording,'***',char(13)+char(10)) EXEC sys.sp_addextendedproperty @name=N'Rule', @value=@NewWording , @level0type=N'SCHEMA',@level0name=N'dbo', @level1type=N'TABLE',@level1name=N'LifeInsCommRate', @level2type=N'COLUMN',@level2name=N'PlanCode'</v>
      </c>
      <c r="S4" s="36" t="str">
        <f>"set @OldWording = N'"&amp;SUBSTITUTE($I2,CHAR(10),"")&amp;"' set @NewWording = REPLACE(@OldWording,'***',char(13)+char(10)) "&amp;"EXEC sys.sp_addextendedproperty @name=N'Memo', @value=@NewWording , @level0type=N'SCHEMA',@level0name=N'"&amp;$L$1&amp;"', @level1type=N'TABLE',@level1name=N'"&amp;$M$1&amp;"', @level2type=N'COLUMN',@level2name=N'"&amp;$C4&amp;"'"</f>
        <v>set @OldWording = N'PPL.000.032' set @NewWording = REPLACE(@OldWording,'***',char(13)+char(10)) EXEC sys.sp_addextendedproperty @name=N'Memo', @value=@NewWording , @level0type=N'SCHEMA',@level0name=N'dbo', @level1type=N'TABLE',@level1name=N'LifeInsCommRate', @level2type=N'COLUMN',@level2name=N'PlanCode'</v>
      </c>
    </row>
    <row r="5" spans="1:21">
      <c r="B5" s="52" t="s">
        <v>4080</v>
      </c>
      <c r="C5" s="60" t="s">
        <v>4072</v>
      </c>
      <c r="D5" s="12" t="s">
        <v>34</v>
      </c>
      <c r="E5" s="62"/>
      <c r="F5" s="49"/>
      <c r="G5" s="49" t="s">
        <v>4079</v>
      </c>
      <c r="L5" s="36"/>
      <c r="M5" s="34"/>
      <c r="N5" s="36"/>
      <c r="O5" s="36"/>
      <c r="P5" s="36"/>
      <c r="Q5" s="36"/>
      <c r="R5" s="32"/>
      <c r="S5" s="36"/>
    </row>
    <row r="6" spans="1:21">
      <c r="B6" s="52" t="s">
        <v>4081</v>
      </c>
      <c r="C6" s="60" t="s">
        <v>4074</v>
      </c>
      <c r="D6" s="12" t="s">
        <v>34</v>
      </c>
      <c r="E6" s="62"/>
      <c r="F6" s="49"/>
      <c r="G6" s="49" t="s">
        <v>4077</v>
      </c>
      <c r="L6" s="36"/>
      <c r="M6" s="34"/>
      <c r="N6" s="36"/>
      <c r="O6" s="36"/>
      <c r="P6" s="36"/>
      <c r="Q6" s="36"/>
      <c r="R6" s="32"/>
      <c r="S6" s="36"/>
    </row>
    <row r="7" spans="1:21">
      <c r="C7" s="60" t="s">
        <v>4076</v>
      </c>
      <c r="D7" s="12" t="s">
        <v>34</v>
      </c>
      <c r="E7" s="62"/>
      <c r="F7" s="49"/>
      <c r="G7" s="49" t="s">
        <v>4078</v>
      </c>
      <c r="L7" s="36"/>
      <c r="M7" s="34"/>
      <c r="N7" s="36"/>
      <c r="O7" s="36"/>
      <c r="P7" s="36"/>
      <c r="Q7" s="36"/>
      <c r="R7" s="32"/>
      <c r="S7" s="36"/>
    </row>
    <row r="8" spans="1:21">
      <c r="C8" s="39" t="s">
        <v>2980</v>
      </c>
      <c r="D8" s="39" t="s">
        <v>44</v>
      </c>
      <c r="G8" s="49" t="s">
        <v>2979</v>
      </c>
      <c r="H8" s="55"/>
      <c r="I8" s="15"/>
    </row>
    <row r="9" spans="1:21">
      <c r="C9" s="49" t="s">
        <v>69</v>
      </c>
      <c r="D9" s="49" t="s">
        <v>11</v>
      </c>
      <c r="E9" s="62" t="s">
        <v>16</v>
      </c>
      <c r="F9" s="60" t="s">
        <v>20</v>
      </c>
      <c r="G9" s="49" t="s">
        <v>30</v>
      </c>
    </row>
    <row r="10" spans="1:21">
      <c r="C10" s="49" t="s">
        <v>1</v>
      </c>
      <c r="D10" s="49" t="s">
        <v>37</v>
      </c>
      <c r="E10" s="62"/>
      <c r="F10" s="60"/>
      <c r="G10" s="49" t="s">
        <v>31</v>
      </c>
    </row>
    <row r="11" spans="1:21">
      <c r="C11" s="49" t="s">
        <v>19</v>
      </c>
      <c r="D11" s="49" t="s">
        <v>11</v>
      </c>
      <c r="E11" s="62" t="s">
        <v>16</v>
      </c>
      <c r="F11" s="60" t="s">
        <v>20</v>
      </c>
      <c r="G11" s="49" t="s">
        <v>32</v>
      </c>
    </row>
    <row r="12" spans="1:21">
      <c r="C12" s="49" t="s">
        <v>70</v>
      </c>
      <c r="D12" s="49" t="s">
        <v>37</v>
      </c>
      <c r="E12" s="62"/>
      <c r="F12" s="60"/>
      <c r="G12" s="49" t="s">
        <v>33</v>
      </c>
    </row>
  </sheetData>
  <phoneticPr fontId="3" type="noConversion"/>
  <hyperlinks>
    <hyperlink ref="A1" location="目錄!A1" display="回到目錄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6"/>
  <dimension ref="A1:L130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" width="7.453125" style="1" bestFit="1" customWidth="1"/>
    <col min="2" max="2" width="11.54296875" style="1" bestFit="1" customWidth="1"/>
    <col min="3" max="3" width="8.6328125" style="1" customWidth="1"/>
    <col min="4" max="4" width="8.54296875" style="1" bestFit="1" customWidth="1"/>
    <col min="5" max="7" width="8.54296875" style="1" customWidth="1"/>
    <col min="8" max="8" width="9.6328125" style="1" bestFit="1" customWidth="1"/>
    <col min="9" max="9" width="10" style="1" bestFit="1" customWidth="1"/>
    <col min="10" max="10" width="7" style="1" bestFit="1" customWidth="1"/>
    <col min="11" max="11" width="10.36328125" style="1" bestFit="1" customWidth="1"/>
    <col min="12" max="12" width="7.81640625" style="1" bestFit="1" customWidth="1"/>
    <col min="13" max="16384" width="8.7265625" style="1"/>
  </cols>
  <sheetData>
    <row r="1" spans="1:12">
      <c r="A1" s="63" t="s">
        <v>36</v>
      </c>
      <c r="B1" s="80" t="s">
        <v>3752</v>
      </c>
      <c r="C1" s="80" t="s">
        <v>3751</v>
      </c>
      <c r="D1" s="80" t="s">
        <v>171</v>
      </c>
      <c r="E1" s="80" t="s">
        <v>528</v>
      </c>
      <c r="F1" s="80" t="s">
        <v>4073</v>
      </c>
      <c r="G1" s="80" t="s">
        <v>4075</v>
      </c>
      <c r="H1" s="80" t="s">
        <v>3527</v>
      </c>
      <c r="I1" s="80" t="s">
        <v>0</v>
      </c>
      <c r="J1" s="80" t="s">
        <v>1</v>
      </c>
      <c r="K1" s="80" t="s">
        <v>19</v>
      </c>
      <c r="L1" s="80" t="s">
        <v>2</v>
      </c>
    </row>
    <row r="2" spans="1:12">
      <c r="B2" s="1" t="s">
        <v>4082</v>
      </c>
      <c r="C2" s="1" t="s">
        <v>526</v>
      </c>
      <c r="D2" s="1" t="s">
        <v>503</v>
      </c>
      <c r="E2" s="1">
        <v>6</v>
      </c>
      <c r="F2" s="1">
        <v>0</v>
      </c>
      <c r="G2" s="1">
        <v>70</v>
      </c>
      <c r="H2" s="1">
        <v>0.1</v>
      </c>
      <c r="J2" s="1" t="s">
        <v>523</v>
      </c>
      <c r="L2" s="1" t="s">
        <v>523</v>
      </c>
    </row>
    <row r="3" spans="1:12">
      <c r="B3" s="1" t="s">
        <v>4082</v>
      </c>
      <c r="C3" s="1" t="s">
        <v>526</v>
      </c>
      <c r="D3" s="1" t="s">
        <v>503</v>
      </c>
      <c r="E3" s="1">
        <v>10</v>
      </c>
      <c r="F3" s="1">
        <v>0</v>
      </c>
      <c r="G3" s="1">
        <v>65</v>
      </c>
      <c r="H3" s="1">
        <v>0.18</v>
      </c>
      <c r="J3" s="1" t="s">
        <v>523</v>
      </c>
      <c r="L3" s="1" t="s">
        <v>523</v>
      </c>
    </row>
    <row r="4" spans="1:12">
      <c r="B4" s="1" t="s">
        <v>4082</v>
      </c>
      <c r="C4" s="1" t="s">
        <v>526</v>
      </c>
      <c r="D4" s="1" t="s">
        <v>503</v>
      </c>
      <c r="E4" s="1">
        <v>20</v>
      </c>
      <c r="F4" s="1">
        <v>0</v>
      </c>
      <c r="G4" s="1">
        <v>55</v>
      </c>
      <c r="H4" s="1">
        <v>0.36</v>
      </c>
      <c r="J4" s="1" t="s">
        <v>523</v>
      </c>
      <c r="L4" s="1" t="s">
        <v>523</v>
      </c>
    </row>
    <row r="5" spans="1:12">
      <c r="B5" s="1" t="s">
        <v>4082</v>
      </c>
      <c r="C5" s="1" t="s">
        <v>526</v>
      </c>
      <c r="D5" s="1" t="s">
        <v>504</v>
      </c>
      <c r="E5" s="1">
        <v>10</v>
      </c>
      <c r="F5" s="1">
        <v>30</v>
      </c>
      <c r="G5" s="1">
        <v>70</v>
      </c>
      <c r="H5" s="1">
        <v>0.31</v>
      </c>
      <c r="J5" s="1" t="s">
        <v>523</v>
      </c>
      <c r="L5" s="1" t="s">
        <v>523</v>
      </c>
    </row>
    <row r="6" spans="1:12">
      <c r="B6" s="1" t="s">
        <v>4082</v>
      </c>
      <c r="C6" s="1" t="s">
        <v>526</v>
      </c>
      <c r="D6" s="1" t="s">
        <v>504</v>
      </c>
      <c r="E6" s="1">
        <v>20</v>
      </c>
      <c r="F6" s="1">
        <v>20</v>
      </c>
      <c r="G6" s="1">
        <v>60</v>
      </c>
      <c r="H6" s="1">
        <v>0.36</v>
      </c>
      <c r="J6" s="1" t="s">
        <v>523</v>
      </c>
      <c r="L6" s="1" t="s">
        <v>523</v>
      </c>
    </row>
    <row r="7" spans="1:12">
      <c r="B7" s="1" t="s">
        <v>4082</v>
      </c>
      <c r="C7" s="1" t="s">
        <v>526</v>
      </c>
      <c r="D7" s="1" t="s">
        <v>504</v>
      </c>
      <c r="E7" s="1">
        <v>30</v>
      </c>
      <c r="F7" s="1">
        <v>15</v>
      </c>
      <c r="G7" s="1">
        <v>50</v>
      </c>
      <c r="H7" s="1">
        <v>0.4</v>
      </c>
      <c r="J7" s="1" t="s">
        <v>523</v>
      </c>
      <c r="L7" s="1" t="s">
        <v>523</v>
      </c>
    </row>
    <row r="8" spans="1:12" s="107" customFormat="1">
      <c r="B8" s="107" t="s">
        <v>4082</v>
      </c>
      <c r="C8" s="107" t="s">
        <v>526</v>
      </c>
      <c r="D8" s="107" t="s">
        <v>4083</v>
      </c>
      <c r="E8" s="107">
        <v>1</v>
      </c>
      <c r="F8" s="107">
        <v>15</v>
      </c>
      <c r="G8" s="107">
        <v>60</v>
      </c>
      <c r="H8" s="107">
        <v>0.36</v>
      </c>
      <c r="J8" s="107" t="s">
        <v>523</v>
      </c>
      <c r="L8" s="107" t="s">
        <v>523</v>
      </c>
    </row>
    <row r="9" spans="1:12">
      <c r="B9" s="1" t="s">
        <v>4082</v>
      </c>
      <c r="C9" s="1" t="s">
        <v>526</v>
      </c>
      <c r="D9" s="1" t="s">
        <v>173</v>
      </c>
      <c r="E9" s="1">
        <v>1</v>
      </c>
      <c r="F9" s="1">
        <v>0</v>
      </c>
      <c r="G9" s="1">
        <v>60</v>
      </c>
      <c r="H9" s="1">
        <v>0.36</v>
      </c>
      <c r="J9" s="1" t="s">
        <v>523</v>
      </c>
      <c r="L9" s="1" t="s">
        <v>523</v>
      </c>
    </row>
    <row r="10" spans="1:12">
      <c r="B10" s="1" t="s">
        <v>4082</v>
      </c>
      <c r="C10" s="1" t="s">
        <v>526</v>
      </c>
      <c r="D10" s="1" t="s">
        <v>505</v>
      </c>
      <c r="E10" s="1">
        <v>1</v>
      </c>
      <c r="F10" s="1">
        <v>0</v>
      </c>
      <c r="G10" s="1">
        <v>65</v>
      </c>
      <c r="H10" s="1">
        <v>0.23</v>
      </c>
      <c r="J10" s="1" t="s">
        <v>523</v>
      </c>
      <c r="L10" s="1" t="s">
        <v>523</v>
      </c>
    </row>
    <row r="11" spans="1:12">
      <c r="B11" s="1" t="s">
        <v>4082</v>
      </c>
      <c r="C11" s="1" t="s">
        <v>526</v>
      </c>
      <c r="D11" s="1" t="s">
        <v>506</v>
      </c>
      <c r="E11" s="1">
        <v>1</v>
      </c>
      <c r="F11" s="1">
        <v>0</v>
      </c>
      <c r="G11" s="1">
        <v>65</v>
      </c>
      <c r="H11" s="1">
        <v>0.22</v>
      </c>
      <c r="J11" s="1" t="s">
        <v>523</v>
      </c>
      <c r="L11" s="1" t="s">
        <v>523</v>
      </c>
    </row>
    <row r="12" spans="1:12">
      <c r="B12" s="1" t="s">
        <v>4082</v>
      </c>
      <c r="C12" s="1" t="s">
        <v>526</v>
      </c>
      <c r="D12" s="1" t="s">
        <v>174</v>
      </c>
      <c r="E12" s="1">
        <v>1</v>
      </c>
      <c r="F12" s="1">
        <v>0</v>
      </c>
      <c r="G12" s="1">
        <v>65</v>
      </c>
      <c r="H12" s="1">
        <v>0.22</v>
      </c>
      <c r="J12" s="1" t="s">
        <v>523</v>
      </c>
      <c r="L12" s="1" t="s">
        <v>523</v>
      </c>
    </row>
    <row r="13" spans="1:12">
      <c r="B13" s="1" t="s">
        <v>4082</v>
      </c>
      <c r="C13" s="1" t="s">
        <v>526</v>
      </c>
      <c r="D13" s="1" t="s">
        <v>176</v>
      </c>
      <c r="E13" s="1">
        <v>10</v>
      </c>
      <c r="F13" s="1">
        <v>0</v>
      </c>
      <c r="G13" s="1">
        <v>14</v>
      </c>
      <c r="H13" s="1">
        <v>0.16</v>
      </c>
      <c r="J13" s="1" t="s">
        <v>523</v>
      </c>
      <c r="L13" s="1" t="s">
        <v>523</v>
      </c>
    </row>
    <row r="14" spans="1:12">
      <c r="B14" s="1" t="s">
        <v>4082</v>
      </c>
      <c r="C14" s="1" t="s">
        <v>526</v>
      </c>
      <c r="D14" s="1" t="s">
        <v>176</v>
      </c>
      <c r="E14" s="1">
        <v>10</v>
      </c>
      <c r="F14" s="1">
        <v>15</v>
      </c>
      <c r="G14" s="1">
        <v>65</v>
      </c>
      <c r="H14" s="1">
        <v>0.18</v>
      </c>
      <c r="J14" s="1" t="s">
        <v>523</v>
      </c>
      <c r="L14" s="1" t="s">
        <v>523</v>
      </c>
    </row>
    <row r="15" spans="1:12">
      <c r="B15" s="1" t="s">
        <v>4082</v>
      </c>
      <c r="C15" s="1" t="s">
        <v>526</v>
      </c>
      <c r="D15" s="1" t="s">
        <v>176</v>
      </c>
      <c r="E15" s="1">
        <v>15</v>
      </c>
      <c r="F15" s="1">
        <v>0</v>
      </c>
      <c r="G15" s="1">
        <v>14</v>
      </c>
      <c r="H15" s="1">
        <v>0.24</v>
      </c>
      <c r="J15" s="1" t="s">
        <v>523</v>
      </c>
      <c r="L15" s="1" t="s">
        <v>523</v>
      </c>
    </row>
    <row r="16" spans="1:12">
      <c r="B16" s="1" t="s">
        <v>4082</v>
      </c>
      <c r="C16" s="1" t="s">
        <v>526</v>
      </c>
      <c r="D16" s="1" t="s">
        <v>176</v>
      </c>
      <c r="E16" s="1">
        <v>15</v>
      </c>
      <c r="F16" s="1">
        <v>15</v>
      </c>
      <c r="G16" s="1">
        <v>60</v>
      </c>
      <c r="H16" s="1">
        <v>0.27</v>
      </c>
      <c r="J16" s="1" t="s">
        <v>523</v>
      </c>
      <c r="L16" s="1" t="s">
        <v>523</v>
      </c>
    </row>
    <row r="17" spans="2:12">
      <c r="B17" s="1" t="s">
        <v>4082</v>
      </c>
      <c r="C17" s="1" t="s">
        <v>526</v>
      </c>
      <c r="D17" s="1" t="s">
        <v>176</v>
      </c>
      <c r="E17" s="1">
        <v>20</v>
      </c>
      <c r="F17" s="1">
        <v>0</v>
      </c>
      <c r="G17" s="1">
        <v>14</v>
      </c>
      <c r="H17" s="1">
        <v>0.31</v>
      </c>
      <c r="J17" s="1" t="s">
        <v>523</v>
      </c>
      <c r="L17" s="1" t="s">
        <v>523</v>
      </c>
    </row>
    <row r="18" spans="2:12">
      <c r="B18" s="1" t="s">
        <v>4082</v>
      </c>
      <c r="C18" s="1" t="s">
        <v>526</v>
      </c>
      <c r="D18" s="1" t="s">
        <v>176</v>
      </c>
      <c r="E18" s="1">
        <v>20</v>
      </c>
      <c r="F18" s="1">
        <v>15</v>
      </c>
      <c r="G18" s="1">
        <v>55</v>
      </c>
      <c r="H18" s="1">
        <v>0.36</v>
      </c>
      <c r="J18" s="1" t="s">
        <v>523</v>
      </c>
      <c r="L18" s="1" t="s">
        <v>523</v>
      </c>
    </row>
    <row r="19" spans="2:12">
      <c r="B19" s="1" t="s">
        <v>4082</v>
      </c>
      <c r="C19" s="1" t="s">
        <v>526</v>
      </c>
      <c r="D19" s="1" t="s">
        <v>177</v>
      </c>
      <c r="E19" s="1">
        <v>10</v>
      </c>
      <c r="F19" s="1">
        <v>0</v>
      </c>
      <c r="G19" s="1">
        <v>65</v>
      </c>
      <c r="H19" s="1">
        <v>0.18</v>
      </c>
      <c r="J19" s="1" t="s">
        <v>523</v>
      </c>
      <c r="L19" s="1" t="s">
        <v>523</v>
      </c>
    </row>
    <row r="20" spans="2:12">
      <c r="B20" s="1" t="s">
        <v>4082</v>
      </c>
      <c r="C20" s="1" t="s">
        <v>526</v>
      </c>
      <c r="D20" s="1" t="s">
        <v>177</v>
      </c>
      <c r="E20" s="1">
        <v>15</v>
      </c>
      <c r="F20" s="1">
        <v>0</v>
      </c>
      <c r="G20" s="1">
        <v>65</v>
      </c>
      <c r="H20" s="1">
        <v>0.27</v>
      </c>
      <c r="J20" s="1" t="s">
        <v>523</v>
      </c>
      <c r="L20" s="1" t="s">
        <v>523</v>
      </c>
    </row>
    <row r="21" spans="2:12">
      <c r="B21" s="1" t="s">
        <v>4082</v>
      </c>
      <c r="C21" s="1" t="s">
        <v>526</v>
      </c>
      <c r="D21" s="1" t="s">
        <v>177</v>
      </c>
      <c r="E21" s="1">
        <v>20</v>
      </c>
      <c r="F21" s="1">
        <v>0</v>
      </c>
      <c r="G21" s="1">
        <v>60</v>
      </c>
      <c r="H21" s="1">
        <v>0.36</v>
      </c>
      <c r="J21" s="1" t="s">
        <v>523</v>
      </c>
      <c r="L21" s="1" t="s">
        <v>523</v>
      </c>
    </row>
    <row r="22" spans="2:12">
      <c r="B22" s="1" t="s">
        <v>4082</v>
      </c>
      <c r="C22" s="1" t="s">
        <v>526</v>
      </c>
      <c r="D22" s="1" t="s">
        <v>507</v>
      </c>
      <c r="E22" s="1">
        <v>1</v>
      </c>
      <c r="F22" s="1">
        <v>0</v>
      </c>
      <c r="G22" s="1">
        <v>70</v>
      </c>
      <c r="H22" s="1">
        <v>0.215</v>
      </c>
      <c r="J22" s="1" t="s">
        <v>523</v>
      </c>
      <c r="L22" s="1" t="s">
        <v>523</v>
      </c>
    </row>
    <row r="23" spans="2:12">
      <c r="B23" s="1" t="s">
        <v>4082</v>
      </c>
      <c r="C23" s="1" t="s">
        <v>526</v>
      </c>
      <c r="D23" s="1" t="s">
        <v>508</v>
      </c>
      <c r="E23" s="1">
        <v>1</v>
      </c>
      <c r="F23" s="1">
        <v>0</v>
      </c>
      <c r="G23" s="1">
        <v>65</v>
      </c>
      <c r="H23" s="1">
        <v>0.22</v>
      </c>
      <c r="J23" s="1" t="s">
        <v>523</v>
      </c>
      <c r="L23" s="1" t="s">
        <v>523</v>
      </c>
    </row>
    <row r="24" spans="2:12">
      <c r="B24" s="1" t="s">
        <v>4082</v>
      </c>
      <c r="C24" s="1" t="s">
        <v>526</v>
      </c>
      <c r="D24" s="1" t="s">
        <v>509</v>
      </c>
      <c r="E24" s="1">
        <v>1</v>
      </c>
      <c r="F24" s="1">
        <v>0</v>
      </c>
      <c r="G24" s="1">
        <v>65</v>
      </c>
      <c r="H24" s="1">
        <v>0.22</v>
      </c>
      <c r="J24" s="1" t="s">
        <v>523</v>
      </c>
      <c r="L24" s="1" t="s">
        <v>523</v>
      </c>
    </row>
    <row r="25" spans="2:12">
      <c r="B25" s="1" t="s">
        <v>4082</v>
      </c>
      <c r="C25" s="1" t="s">
        <v>526</v>
      </c>
      <c r="D25" s="1" t="s">
        <v>510</v>
      </c>
      <c r="E25" s="1">
        <v>10</v>
      </c>
      <c r="F25" s="1">
        <v>0</v>
      </c>
      <c r="G25" s="1">
        <v>55</v>
      </c>
      <c r="H25" s="1">
        <v>9.5000000000000001E-2</v>
      </c>
      <c r="J25" s="1" t="s">
        <v>523</v>
      </c>
      <c r="L25" s="1" t="s">
        <v>523</v>
      </c>
    </row>
    <row r="26" spans="2:12">
      <c r="B26" s="1" t="s">
        <v>4082</v>
      </c>
      <c r="C26" s="1" t="s">
        <v>526</v>
      </c>
      <c r="D26" s="1" t="s">
        <v>510</v>
      </c>
      <c r="E26" s="1">
        <v>20</v>
      </c>
      <c r="F26" s="1">
        <v>0</v>
      </c>
      <c r="G26" s="1">
        <v>50</v>
      </c>
      <c r="H26" s="1">
        <v>0.155</v>
      </c>
      <c r="J26" s="1" t="s">
        <v>523</v>
      </c>
      <c r="L26" s="1" t="s">
        <v>523</v>
      </c>
    </row>
    <row r="27" spans="2:12">
      <c r="B27" s="1" t="s">
        <v>4082</v>
      </c>
      <c r="C27" s="1" t="s">
        <v>526</v>
      </c>
      <c r="D27" s="1" t="s">
        <v>527</v>
      </c>
      <c r="E27" s="1">
        <v>10</v>
      </c>
      <c r="F27" s="1">
        <v>0</v>
      </c>
      <c r="G27" s="1">
        <v>65</v>
      </c>
      <c r="H27" s="1">
        <v>0.215</v>
      </c>
      <c r="J27" s="1" t="s">
        <v>523</v>
      </c>
      <c r="L27" s="1" t="s">
        <v>523</v>
      </c>
    </row>
    <row r="28" spans="2:12">
      <c r="B28" s="1" t="s">
        <v>4082</v>
      </c>
      <c r="C28" s="1" t="s">
        <v>526</v>
      </c>
      <c r="D28" s="1" t="s">
        <v>527</v>
      </c>
      <c r="E28" s="1">
        <v>20</v>
      </c>
      <c r="F28" s="1">
        <v>0</v>
      </c>
      <c r="G28" s="1">
        <v>55</v>
      </c>
      <c r="H28" s="1">
        <v>0.36499999999999999</v>
      </c>
      <c r="J28" s="1" t="s">
        <v>523</v>
      </c>
      <c r="L28" s="1" t="s">
        <v>523</v>
      </c>
    </row>
    <row r="29" spans="2:12">
      <c r="B29" s="1" t="s">
        <v>4082</v>
      </c>
      <c r="C29" s="1" t="s">
        <v>526</v>
      </c>
      <c r="D29" s="1" t="s">
        <v>527</v>
      </c>
      <c r="E29" s="1">
        <v>30</v>
      </c>
      <c r="F29" s="1">
        <v>0</v>
      </c>
      <c r="G29" s="1">
        <v>45</v>
      </c>
      <c r="H29" s="1">
        <v>0.36499999999999999</v>
      </c>
      <c r="J29" s="1" t="s">
        <v>523</v>
      </c>
      <c r="L29" s="1" t="s">
        <v>523</v>
      </c>
    </row>
    <row r="30" spans="2:12">
      <c r="B30" s="1" t="s">
        <v>4082</v>
      </c>
      <c r="C30" s="1" t="s">
        <v>526</v>
      </c>
      <c r="D30" s="1" t="s">
        <v>511</v>
      </c>
      <c r="E30" s="1">
        <v>10</v>
      </c>
      <c r="F30" s="1">
        <v>0</v>
      </c>
      <c r="G30" s="1">
        <v>49</v>
      </c>
      <c r="H30" s="1">
        <v>0.16</v>
      </c>
      <c r="J30" s="1" t="s">
        <v>523</v>
      </c>
      <c r="L30" s="1" t="s">
        <v>523</v>
      </c>
    </row>
    <row r="31" spans="2:12">
      <c r="B31" s="1" t="s">
        <v>4082</v>
      </c>
      <c r="C31" s="1" t="s">
        <v>526</v>
      </c>
      <c r="D31" s="1" t="s">
        <v>511</v>
      </c>
      <c r="E31" s="1">
        <v>10</v>
      </c>
      <c r="F31" s="1">
        <v>50</v>
      </c>
      <c r="G31" s="1">
        <v>60</v>
      </c>
      <c r="H31" s="1">
        <v>0.1</v>
      </c>
      <c r="J31" s="1" t="s">
        <v>523</v>
      </c>
      <c r="L31" s="1" t="s">
        <v>523</v>
      </c>
    </row>
    <row r="32" spans="2:12">
      <c r="B32" s="1" t="s">
        <v>4082</v>
      </c>
      <c r="C32" s="1" t="s">
        <v>526</v>
      </c>
      <c r="D32" s="1" t="s">
        <v>511</v>
      </c>
      <c r="E32" s="1">
        <v>20</v>
      </c>
      <c r="F32" s="1">
        <v>0</v>
      </c>
      <c r="G32" s="1">
        <v>49</v>
      </c>
      <c r="H32" s="1">
        <v>0.32</v>
      </c>
      <c r="J32" s="1" t="s">
        <v>523</v>
      </c>
      <c r="L32" s="1" t="s">
        <v>523</v>
      </c>
    </row>
    <row r="33" spans="2:12">
      <c r="B33" s="1" t="s">
        <v>4082</v>
      </c>
      <c r="C33" s="1" t="s">
        <v>526</v>
      </c>
      <c r="D33" s="1" t="s">
        <v>511</v>
      </c>
      <c r="E33" s="1">
        <v>20</v>
      </c>
      <c r="F33" s="1">
        <v>50</v>
      </c>
      <c r="G33" s="1">
        <v>60</v>
      </c>
      <c r="H33" s="1">
        <v>0.24</v>
      </c>
      <c r="J33" s="1" t="s">
        <v>523</v>
      </c>
      <c r="L33" s="1" t="s">
        <v>523</v>
      </c>
    </row>
    <row r="34" spans="2:12">
      <c r="B34" s="1" t="s">
        <v>4082</v>
      </c>
      <c r="C34" s="1" t="s">
        <v>526</v>
      </c>
      <c r="D34" s="1" t="s">
        <v>511</v>
      </c>
      <c r="E34" s="1">
        <v>30</v>
      </c>
      <c r="F34" s="1">
        <v>0</v>
      </c>
      <c r="G34" s="1">
        <v>45</v>
      </c>
      <c r="H34" s="1">
        <v>0.33</v>
      </c>
      <c r="J34" s="1" t="s">
        <v>523</v>
      </c>
      <c r="L34" s="1" t="s">
        <v>523</v>
      </c>
    </row>
    <row r="35" spans="2:12">
      <c r="B35" s="1" t="s">
        <v>4082</v>
      </c>
      <c r="C35" s="1" t="s">
        <v>526</v>
      </c>
      <c r="D35" s="1" t="s">
        <v>511</v>
      </c>
      <c r="E35" s="1">
        <v>30</v>
      </c>
      <c r="F35" s="1">
        <v>46</v>
      </c>
      <c r="G35" s="1">
        <v>55</v>
      </c>
      <c r="H35" s="1">
        <v>0.25</v>
      </c>
      <c r="J35" s="1" t="s">
        <v>523</v>
      </c>
      <c r="L35" s="1" t="s">
        <v>523</v>
      </c>
    </row>
    <row r="36" spans="2:12">
      <c r="B36" s="1" t="s">
        <v>4082</v>
      </c>
      <c r="C36" s="1" t="s">
        <v>526</v>
      </c>
      <c r="D36" s="1" t="s">
        <v>512</v>
      </c>
      <c r="E36" s="1">
        <v>1</v>
      </c>
      <c r="F36" s="1">
        <v>0</v>
      </c>
      <c r="G36" s="1">
        <v>65</v>
      </c>
      <c r="H36" s="1">
        <v>0.36</v>
      </c>
      <c r="J36" s="1" t="s">
        <v>523</v>
      </c>
      <c r="L36" s="1" t="s">
        <v>523</v>
      </c>
    </row>
    <row r="37" spans="2:12">
      <c r="B37" s="1" t="s">
        <v>4082</v>
      </c>
      <c r="C37" s="1" t="s">
        <v>526</v>
      </c>
      <c r="D37" s="1" t="s">
        <v>502</v>
      </c>
      <c r="E37" s="1">
        <v>1</v>
      </c>
      <c r="F37" s="1">
        <v>0</v>
      </c>
      <c r="G37" s="1">
        <v>65</v>
      </c>
      <c r="H37" s="1">
        <v>0.36</v>
      </c>
      <c r="J37" s="1" t="s">
        <v>523</v>
      </c>
      <c r="L37" s="1" t="s">
        <v>523</v>
      </c>
    </row>
    <row r="38" spans="2:12">
      <c r="B38" s="1" t="s">
        <v>4082</v>
      </c>
      <c r="C38" s="1" t="s">
        <v>526</v>
      </c>
      <c r="D38" s="1" t="s">
        <v>513</v>
      </c>
      <c r="E38" s="1">
        <v>1</v>
      </c>
      <c r="F38" s="1">
        <v>0</v>
      </c>
      <c r="G38" s="1">
        <v>70</v>
      </c>
      <c r="H38" s="1">
        <v>0.18</v>
      </c>
      <c r="J38" s="1" t="s">
        <v>523</v>
      </c>
      <c r="L38" s="1" t="s">
        <v>523</v>
      </c>
    </row>
    <row r="39" spans="2:12">
      <c r="B39" s="1" t="s">
        <v>4082</v>
      </c>
      <c r="C39" s="1" t="s">
        <v>526</v>
      </c>
      <c r="D39" s="1" t="s">
        <v>514</v>
      </c>
      <c r="E39" s="1">
        <v>5</v>
      </c>
      <c r="F39" s="1">
        <v>0</v>
      </c>
      <c r="G39" s="1">
        <v>80</v>
      </c>
      <c r="H39" s="1">
        <v>0.13</v>
      </c>
      <c r="J39" s="1" t="s">
        <v>523</v>
      </c>
      <c r="L39" s="1" t="s">
        <v>523</v>
      </c>
    </row>
    <row r="40" spans="2:12">
      <c r="B40" s="1" t="s">
        <v>4082</v>
      </c>
      <c r="C40" s="1" t="s">
        <v>526</v>
      </c>
      <c r="D40" s="1" t="s">
        <v>514</v>
      </c>
      <c r="E40" s="1">
        <v>6</v>
      </c>
      <c r="F40" s="1">
        <v>0</v>
      </c>
      <c r="G40" s="1">
        <v>79</v>
      </c>
      <c r="H40" s="1">
        <v>0.13</v>
      </c>
      <c r="J40" s="1" t="s">
        <v>523</v>
      </c>
      <c r="L40" s="1" t="s">
        <v>523</v>
      </c>
    </row>
    <row r="41" spans="2:12">
      <c r="B41" s="1" t="s">
        <v>4082</v>
      </c>
      <c r="C41" s="1" t="s">
        <v>526</v>
      </c>
      <c r="D41" s="1" t="s">
        <v>514</v>
      </c>
      <c r="E41" s="1">
        <v>7</v>
      </c>
      <c r="F41" s="1">
        <v>0</v>
      </c>
      <c r="G41" s="1">
        <v>78</v>
      </c>
      <c r="H41" s="1">
        <v>0.13</v>
      </c>
      <c r="J41" s="1" t="s">
        <v>523</v>
      </c>
      <c r="L41" s="1" t="s">
        <v>523</v>
      </c>
    </row>
    <row r="42" spans="2:12">
      <c r="B42" s="1" t="s">
        <v>4082</v>
      </c>
      <c r="C42" s="1" t="s">
        <v>526</v>
      </c>
      <c r="D42" s="1" t="s">
        <v>514</v>
      </c>
      <c r="E42" s="1">
        <v>8</v>
      </c>
      <c r="F42" s="1">
        <v>0</v>
      </c>
      <c r="G42" s="1">
        <v>77</v>
      </c>
      <c r="H42" s="1">
        <v>0.13</v>
      </c>
      <c r="J42" s="1" t="s">
        <v>523</v>
      </c>
      <c r="L42" s="1" t="s">
        <v>523</v>
      </c>
    </row>
    <row r="43" spans="2:12">
      <c r="B43" s="1" t="s">
        <v>4082</v>
      </c>
      <c r="C43" s="1" t="s">
        <v>526</v>
      </c>
      <c r="D43" s="1" t="s">
        <v>514</v>
      </c>
      <c r="E43" s="1">
        <v>9</v>
      </c>
      <c r="F43" s="1">
        <v>0</v>
      </c>
      <c r="G43" s="1">
        <v>76</v>
      </c>
      <c r="H43" s="1">
        <v>0.13</v>
      </c>
      <c r="J43" s="1" t="s">
        <v>523</v>
      </c>
      <c r="L43" s="1" t="s">
        <v>523</v>
      </c>
    </row>
    <row r="44" spans="2:12">
      <c r="B44" s="1" t="s">
        <v>4082</v>
      </c>
      <c r="C44" s="1" t="s">
        <v>526</v>
      </c>
      <c r="D44" s="1" t="s">
        <v>514</v>
      </c>
      <c r="E44" s="1">
        <v>10</v>
      </c>
      <c r="F44" s="1">
        <v>0</v>
      </c>
      <c r="G44" s="1">
        <v>75</v>
      </c>
      <c r="H44" s="1">
        <v>0.2</v>
      </c>
      <c r="J44" s="1" t="s">
        <v>523</v>
      </c>
      <c r="L44" s="1" t="s">
        <v>523</v>
      </c>
    </row>
    <row r="45" spans="2:12">
      <c r="B45" s="1" t="s">
        <v>4082</v>
      </c>
      <c r="C45" s="1" t="s">
        <v>526</v>
      </c>
      <c r="D45" s="1" t="s">
        <v>514</v>
      </c>
      <c r="E45" s="1">
        <v>11</v>
      </c>
      <c r="F45" s="1">
        <v>0</v>
      </c>
      <c r="G45" s="1">
        <v>74</v>
      </c>
      <c r="H45" s="1">
        <v>0.2</v>
      </c>
      <c r="J45" s="1" t="s">
        <v>523</v>
      </c>
      <c r="L45" s="1" t="s">
        <v>523</v>
      </c>
    </row>
    <row r="46" spans="2:12">
      <c r="B46" s="1" t="s">
        <v>4082</v>
      </c>
      <c r="C46" s="1" t="s">
        <v>526</v>
      </c>
      <c r="D46" s="1" t="s">
        <v>514</v>
      </c>
      <c r="E46" s="1">
        <v>12</v>
      </c>
      <c r="F46" s="1">
        <v>0</v>
      </c>
      <c r="G46" s="1">
        <v>73</v>
      </c>
      <c r="H46" s="1">
        <v>0.2</v>
      </c>
      <c r="J46" s="1" t="s">
        <v>523</v>
      </c>
      <c r="L46" s="1" t="s">
        <v>523</v>
      </c>
    </row>
    <row r="47" spans="2:12">
      <c r="B47" s="1" t="s">
        <v>4082</v>
      </c>
      <c r="C47" s="1" t="s">
        <v>526</v>
      </c>
      <c r="D47" s="1" t="s">
        <v>514</v>
      </c>
      <c r="E47" s="1">
        <v>13</v>
      </c>
      <c r="F47" s="1">
        <v>0</v>
      </c>
      <c r="G47" s="1">
        <v>72</v>
      </c>
      <c r="H47" s="1">
        <v>0.2</v>
      </c>
      <c r="J47" s="1" t="s">
        <v>523</v>
      </c>
      <c r="L47" s="1" t="s">
        <v>523</v>
      </c>
    </row>
    <row r="48" spans="2:12">
      <c r="B48" s="1" t="s">
        <v>4082</v>
      </c>
      <c r="C48" s="1" t="s">
        <v>526</v>
      </c>
      <c r="D48" s="1" t="s">
        <v>514</v>
      </c>
      <c r="E48" s="1">
        <v>14</v>
      </c>
      <c r="F48" s="1">
        <v>0</v>
      </c>
      <c r="G48" s="1">
        <v>71</v>
      </c>
      <c r="H48" s="1">
        <v>0.2</v>
      </c>
      <c r="J48" s="1" t="s">
        <v>523</v>
      </c>
      <c r="L48" s="1" t="s">
        <v>523</v>
      </c>
    </row>
    <row r="49" spans="2:12">
      <c r="B49" s="1" t="s">
        <v>4082</v>
      </c>
      <c r="C49" s="1" t="s">
        <v>526</v>
      </c>
      <c r="D49" s="1" t="s">
        <v>514</v>
      </c>
      <c r="E49" s="1">
        <v>15</v>
      </c>
      <c r="F49" s="1">
        <v>0</v>
      </c>
      <c r="G49" s="1">
        <v>70</v>
      </c>
      <c r="H49" s="1">
        <v>0.2</v>
      </c>
      <c r="J49" s="1" t="s">
        <v>523</v>
      </c>
      <c r="L49" s="1" t="s">
        <v>523</v>
      </c>
    </row>
    <row r="50" spans="2:12">
      <c r="B50" s="1" t="s">
        <v>4082</v>
      </c>
      <c r="C50" s="1" t="s">
        <v>526</v>
      </c>
      <c r="D50" s="1" t="s">
        <v>514</v>
      </c>
      <c r="E50" s="1">
        <v>16</v>
      </c>
      <c r="F50" s="1">
        <v>0</v>
      </c>
      <c r="G50" s="1">
        <v>69</v>
      </c>
      <c r="H50" s="1">
        <v>0.2</v>
      </c>
      <c r="J50" s="1" t="s">
        <v>523</v>
      </c>
      <c r="L50" s="1" t="s">
        <v>523</v>
      </c>
    </row>
    <row r="51" spans="2:12">
      <c r="B51" s="1" t="s">
        <v>4082</v>
      </c>
      <c r="C51" s="1" t="s">
        <v>526</v>
      </c>
      <c r="D51" s="1" t="s">
        <v>514</v>
      </c>
      <c r="E51" s="1">
        <v>17</v>
      </c>
      <c r="F51" s="1">
        <v>0</v>
      </c>
      <c r="G51" s="1">
        <v>68</v>
      </c>
      <c r="H51" s="1">
        <v>0.2</v>
      </c>
      <c r="J51" s="1" t="s">
        <v>523</v>
      </c>
      <c r="L51" s="1" t="s">
        <v>523</v>
      </c>
    </row>
    <row r="52" spans="2:12">
      <c r="B52" s="1" t="s">
        <v>4082</v>
      </c>
      <c r="C52" s="1" t="s">
        <v>526</v>
      </c>
      <c r="D52" s="1" t="s">
        <v>514</v>
      </c>
      <c r="E52" s="1">
        <v>18</v>
      </c>
      <c r="F52" s="1">
        <v>0</v>
      </c>
      <c r="G52" s="1">
        <v>67</v>
      </c>
      <c r="H52" s="1">
        <v>0.2</v>
      </c>
      <c r="J52" s="1" t="s">
        <v>523</v>
      </c>
      <c r="L52" s="1" t="s">
        <v>523</v>
      </c>
    </row>
    <row r="53" spans="2:12">
      <c r="B53" s="1" t="s">
        <v>4082</v>
      </c>
      <c r="C53" s="1" t="s">
        <v>526</v>
      </c>
      <c r="D53" s="1" t="s">
        <v>514</v>
      </c>
      <c r="E53" s="1">
        <v>19</v>
      </c>
      <c r="F53" s="1">
        <v>0</v>
      </c>
      <c r="G53" s="1">
        <v>66</v>
      </c>
      <c r="H53" s="1">
        <v>0.2</v>
      </c>
      <c r="J53" s="1" t="s">
        <v>523</v>
      </c>
      <c r="L53" s="1" t="s">
        <v>523</v>
      </c>
    </row>
    <row r="54" spans="2:12">
      <c r="B54" s="1" t="s">
        <v>4082</v>
      </c>
      <c r="C54" s="1" t="s">
        <v>526</v>
      </c>
      <c r="D54" s="1" t="s">
        <v>514</v>
      </c>
      <c r="E54" s="1">
        <v>20</v>
      </c>
      <c r="F54" s="1">
        <v>0</v>
      </c>
      <c r="G54" s="1">
        <v>65</v>
      </c>
      <c r="H54" s="1">
        <v>0.2</v>
      </c>
      <c r="J54" s="1" t="s">
        <v>523</v>
      </c>
      <c r="L54" s="1" t="s">
        <v>523</v>
      </c>
    </row>
    <row r="55" spans="2:12">
      <c r="B55" s="1" t="s">
        <v>4082</v>
      </c>
      <c r="C55" s="1" t="s">
        <v>526</v>
      </c>
      <c r="D55" s="1" t="s">
        <v>514</v>
      </c>
      <c r="E55" s="1">
        <v>21</v>
      </c>
      <c r="F55" s="1">
        <v>0</v>
      </c>
      <c r="G55" s="1">
        <v>64</v>
      </c>
      <c r="H55" s="1">
        <v>0.2</v>
      </c>
      <c r="J55" s="1" t="s">
        <v>523</v>
      </c>
      <c r="L55" s="1" t="s">
        <v>523</v>
      </c>
    </row>
    <row r="56" spans="2:12">
      <c r="B56" s="1" t="s">
        <v>4082</v>
      </c>
      <c r="C56" s="1" t="s">
        <v>526</v>
      </c>
      <c r="D56" s="1" t="s">
        <v>514</v>
      </c>
      <c r="E56" s="1">
        <v>22</v>
      </c>
      <c r="F56" s="1">
        <v>0</v>
      </c>
      <c r="G56" s="1">
        <v>63</v>
      </c>
      <c r="H56" s="1">
        <v>0.2</v>
      </c>
      <c r="J56" s="1" t="s">
        <v>523</v>
      </c>
      <c r="L56" s="1" t="s">
        <v>523</v>
      </c>
    </row>
    <row r="57" spans="2:12">
      <c r="B57" s="1" t="s">
        <v>4082</v>
      </c>
      <c r="C57" s="1" t="s">
        <v>526</v>
      </c>
      <c r="D57" s="1" t="s">
        <v>514</v>
      </c>
      <c r="E57" s="1">
        <v>23</v>
      </c>
      <c r="F57" s="1">
        <v>0</v>
      </c>
      <c r="G57" s="1">
        <v>62</v>
      </c>
      <c r="H57" s="1">
        <v>0.2</v>
      </c>
      <c r="J57" s="1" t="s">
        <v>523</v>
      </c>
      <c r="L57" s="1" t="s">
        <v>523</v>
      </c>
    </row>
    <row r="58" spans="2:12">
      <c r="B58" s="1" t="s">
        <v>4082</v>
      </c>
      <c r="C58" s="1" t="s">
        <v>526</v>
      </c>
      <c r="D58" s="1" t="s">
        <v>514</v>
      </c>
      <c r="E58" s="1">
        <v>24</v>
      </c>
      <c r="F58" s="1">
        <v>0</v>
      </c>
      <c r="G58" s="1">
        <v>61</v>
      </c>
      <c r="H58" s="1">
        <v>0.2</v>
      </c>
      <c r="J58" s="1" t="s">
        <v>523</v>
      </c>
      <c r="L58" s="1" t="s">
        <v>523</v>
      </c>
    </row>
    <row r="59" spans="2:12">
      <c r="B59" s="1" t="s">
        <v>4082</v>
      </c>
      <c r="C59" s="1" t="s">
        <v>526</v>
      </c>
      <c r="D59" s="1" t="s">
        <v>514</v>
      </c>
      <c r="E59" s="1">
        <v>25</v>
      </c>
      <c r="F59" s="1">
        <v>0</v>
      </c>
      <c r="G59" s="1">
        <v>60</v>
      </c>
      <c r="H59" s="1">
        <v>0.22</v>
      </c>
      <c r="J59" s="1" t="s">
        <v>523</v>
      </c>
      <c r="L59" s="1" t="s">
        <v>523</v>
      </c>
    </row>
    <row r="60" spans="2:12">
      <c r="B60" s="1" t="s">
        <v>4082</v>
      </c>
      <c r="C60" s="1" t="s">
        <v>526</v>
      </c>
      <c r="D60" s="1" t="s">
        <v>514</v>
      </c>
      <c r="E60" s="1">
        <v>26</v>
      </c>
      <c r="F60" s="1">
        <v>0</v>
      </c>
      <c r="G60" s="1">
        <v>59</v>
      </c>
      <c r="H60" s="1">
        <v>0.22</v>
      </c>
      <c r="J60" s="1" t="s">
        <v>523</v>
      </c>
      <c r="L60" s="1" t="s">
        <v>523</v>
      </c>
    </row>
    <row r="61" spans="2:12">
      <c r="B61" s="1" t="s">
        <v>4082</v>
      </c>
      <c r="C61" s="1" t="s">
        <v>526</v>
      </c>
      <c r="D61" s="1" t="s">
        <v>514</v>
      </c>
      <c r="E61" s="1">
        <v>27</v>
      </c>
      <c r="F61" s="1">
        <v>0</v>
      </c>
      <c r="G61" s="1">
        <v>58</v>
      </c>
      <c r="H61" s="1">
        <v>0.22</v>
      </c>
      <c r="J61" s="1" t="s">
        <v>523</v>
      </c>
      <c r="L61" s="1" t="s">
        <v>523</v>
      </c>
    </row>
    <row r="62" spans="2:12">
      <c r="B62" s="1" t="s">
        <v>4082</v>
      </c>
      <c r="C62" s="1" t="s">
        <v>526</v>
      </c>
      <c r="D62" s="1" t="s">
        <v>514</v>
      </c>
      <c r="E62" s="1">
        <v>28</v>
      </c>
      <c r="F62" s="1">
        <v>0</v>
      </c>
      <c r="G62" s="1">
        <v>57</v>
      </c>
      <c r="H62" s="1">
        <v>0.22</v>
      </c>
      <c r="J62" s="1" t="s">
        <v>523</v>
      </c>
      <c r="L62" s="1" t="s">
        <v>523</v>
      </c>
    </row>
    <row r="63" spans="2:12">
      <c r="B63" s="1" t="s">
        <v>4082</v>
      </c>
      <c r="C63" s="1" t="s">
        <v>526</v>
      </c>
      <c r="D63" s="1" t="s">
        <v>514</v>
      </c>
      <c r="E63" s="1">
        <v>29</v>
      </c>
      <c r="F63" s="1">
        <v>0</v>
      </c>
      <c r="G63" s="1">
        <v>56</v>
      </c>
      <c r="H63" s="1">
        <v>0.22</v>
      </c>
      <c r="J63" s="1" t="s">
        <v>523</v>
      </c>
      <c r="L63" s="1" t="s">
        <v>523</v>
      </c>
    </row>
    <row r="64" spans="2:12">
      <c r="B64" s="1" t="s">
        <v>4082</v>
      </c>
      <c r="C64" s="1" t="s">
        <v>526</v>
      </c>
      <c r="D64" s="1" t="s">
        <v>514</v>
      </c>
      <c r="E64" s="1">
        <v>30</v>
      </c>
      <c r="F64" s="1">
        <v>0</v>
      </c>
      <c r="G64" s="1">
        <v>55</v>
      </c>
      <c r="H64" s="1">
        <v>0.22</v>
      </c>
      <c r="J64" s="1" t="s">
        <v>523</v>
      </c>
      <c r="L64" s="1" t="s">
        <v>523</v>
      </c>
    </row>
    <row r="65" spans="2:12">
      <c r="B65" s="1" t="s">
        <v>4082</v>
      </c>
      <c r="C65" s="1" t="s">
        <v>526</v>
      </c>
      <c r="D65" s="1" t="s">
        <v>515</v>
      </c>
      <c r="E65" s="1">
        <v>5</v>
      </c>
      <c r="F65" s="1">
        <v>0</v>
      </c>
      <c r="G65" s="1">
        <v>80</v>
      </c>
      <c r="H65" s="1">
        <v>0.13</v>
      </c>
      <c r="J65" s="1" t="s">
        <v>523</v>
      </c>
      <c r="L65" s="1" t="s">
        <v>523</v>
      </c>
    </row>
    <row r="66" spans="2:12">
      <c r="B66" s="1" t="s">
        <v>4082</v>
      </c>
      <c r="C66" s="1" t="s">
        <v>526</v>
      </c>
      <c r="D66" s="1" t="s">
        <v>515</v>
      </c>
      <c r="E66" s="1">
        <v>6</v>
      </c>
      <c r="F66" s="1">
        <v>0</v>
      </c>
      <c r="G66" s="1">
        <v>79</v>
      </c>
      <c r="H66" s="1">
        <v>0.13</v>
      </c>
      <c r="J66" s="1" t="s">
        <v>523</v>
      </c>
      <c r="L66" s="1" t="s">
        <v>523</v>
      </c>
    </row>
    <row r="67" spans="2:12">
      <c r="B67" s="1" t="s">
        <v>4082</v>
      </c>
      <c r="C67" s="1" t="s">
        <v>526</v>
      </c>
      <c r="D67" s="1" t="s">
        <v>515</v>
      </c>
      <c r="E67" s="1">
        <v>7</v>
      </c>
      <c r="F67" s="1">
        <v>0</v>
      </c>
      <c r="G67" s="1">
        <v>78</v>
      </c>
      <c r="H67" s="1">
        <v>0.13</v>
      </c>
      <c r="J67" s="1" t="s">
        <v>523</v>
      </c>
      <c r="L67" s="1" t="s">
        <v>523</v>
      </c>
    </row>
    <row r="68" spans="2:12">
      <c r="B68" s="1" t="s">
        <v>4082</v>
      </c>
      <c r="C68" s="1" t="s">
        <v>526</v>
      </c>
      <c r="D68" s="1" t="s">
        <v>515</v>
      </c>
      <c r="E68" s="1">
        <v>8</v>
      </c>
      <c r="F68" s="1">
        <v>0</v>
      </c>
      <c r="G68" s="1">
        <v>77</v>
      </c>
      <c r="H68" s="1">
        <v>0.13</v>
      </c>
      <c r="J68" s="1" t="s">
        <v>523</v>
      </c>
      <c r="L68" s="1" t="s">
        <v>523</v>
      </c>
    </row>
    <row r="69" spans="2:12">
      <c r="B69" s="1" t="s">
        <v>4082</v>
      </c>
      <c r="C69" s="1" t="s">
        <v>526</v>
      </c>
      <c r="D69" s="1" t="s">
        <v>515</v>
      </c>
      <c r="E69" s="1">
        <v>9</v>
      </c>
      <c r="F69" s="1">
        <v>0</v>
      </c>
      <c r="G69" s="1">
        <v>76</v>
      </c>
      <c r="H69" s="1">
        <v>0.13</v>
      </c>
      <c r="J69" s="1" t="s">
        <v>523</v>
      </c>
      <c r="L69" s="1" t="s">
        <v>523</v>
      </c>
    </row>
    <row r="70" spans="2:12">
      <c r="B70" s="1" t="s">
        <v>4082</v>
      </c>
      <c r="C70" s="1" t="s">
        <v>526</v>
      </c>
      <c r="D70" s="1" t="s">
        <v>515</v>
      </c>
      <c r="E70" s="1">
        <v>10</v>
      </c>
      <c r="F70" s="1">
        <v>0</v>
      </c>
      <c r="G70" s="1">
        <v>75</v>
      </c>
      <c r="H70" s="1">
        <v>0.2</v>
      </c>
      <c r="J70" s="1" t="s">
        <v>523</v>
      </c>
      <c r="L70" s="1" t="s">
        <v>523</v>
      </c>
    </row>
    <row r="71" spans="2:12">
      <c r="B71" s="1" t="s">
        <v>4082</v>
      </c>
      <c r="C71" s="1" t="s">
        <v>526</v>
      </c>
      <c r="D71" s="1" t="s">
        <v>515</v>
      </c>
      <c r="E71" s="1">
        <v>11</v>
      </c>
      <c r="F71" s="1">
        <v>0</v>
      </c>
      <c r="G71" s="1">
        <v>74</v>
      </c>
      <c r="H71" s="1">
        <v>0.2</v>
      </c>
      <c r="J71" s="1" t="s">
        <v>523</v>
      </c>
      <c r="L71" s="1" t="s">
        <v>523</v>
      </c>
    </row>
    <row r="72" spans="2:12">
      <c r="B72" s="1" t="s">
        <v>4082</v>
      </c>
      <c r="C72" s="1" t="s">
        <v>526</v>
      </c>
      <c r="D72" s="1" t="s">
        <v>515</v>
      </c>
      <c r="E72" s="1">
        <v>12</v>
      </c>
      <c r="F72" s="1">
        <v>0</v>
      </c>
      <c r="G72" s="1">
        <v>73</v>
      </c>
      <c r="H72" s="1">
        <v>0.2</v>
      </c>
      <c r="J72" s="1" t="s">
        <v>523</v>
      </c>
      <c r="L72" s="1" t="s">
        <v>523</v>
      </c>
    </row>
    <row r="73" spans="2:12">
      <c r="B73" s="1" t="s">
        <v>4082</v>
      </c>
      <c r="C73" s="1" t="s">
        <v>526</v>
      </c>
      <c r="D73" s="1" t="s">
        <v>515</v>
      </c>
      <c r="E73" s="1">
        <v>13</v>
      </c>
      <c r="F73" s="1">
        <v>0</v>
      </c>
      <c r="G73" s="1">
        <v>72</v>
      </c>
      <c r="H73" s="1">
        <v>0.2</v>
      </c>
      <c r="J73" s="1" t="s">
        <v>523</v>
      </c>
      <c r="L73" s="1" t="s">
        <v>523</v>
      </c>
    </row>
    <row r="74" spans="2:12">
      <c r="B74" s="1" t="s">
        <v>4082</v>
      </c>
      <c r="C74" s="1" t="s">
        <v>526</v>
      </c>
      <c r="D74" s="1" t="s">
        <v>515</v>
      </c>
      <c r="E74" s="1">
        <v>14</v>
      </c>
      <c r="F74" s="1">
        <v>0</v>
      </c>
      <c r="G74" s="1">
        <v>71</v>
      </c>
      <c r="H74" s="1">
        <v>0.2</v>
      </c>
      <c r="J74" s="1" t="s">
        <v>523</v>
      </c>
      <c r="L74" s="1" t="s">
        <v>523</v>
      </c>
    </row>
    <row r="75" spans="2:12">
      <c r="B75" s="1" t="s">
        <v>4082</v>
      </c>
      <c r="C75" s="1" t="s">
        <v>526</v>
      </c>
      <c r="D75" s="1" t="s">
        <v>515</v>
      </c>
      <c r="E75" s="1">
        <v>15</v>
      </c>
      <c r="F75" s="1">
        <v>0</v>
      </c>
      <c r="G75" s="1">
        <v>70</v>
      </c>
      <c r="H75" s="1">
        <v>0.2</v>
      </c>
      <c r="J75" s="1" t="s">
        <v>523</v>
      </c>
      <c r="L75" s="1" t="s">
        <v>523</v>
      </c>
    </row>
    <row r="76" spans="2:12">
      <c r="B76" s="1" t="s">
        <v>4082</v>
      </c>
      <c r="C76" s="1" t="s">
        <v>526</v>
      </c>
      <c r="D76" s="1" t="s">
        <v>515</v>
      </c>
      <c r="E76" s="1">
        <v>16</v>
      </c>
      <c r="F76" s="1">
        <v>0</v>
      </c>
      <c r="G76" s="1">
        <v>69</v>
      </c>
      <c r="H76" s="1">
        <v>0.2</v>
      </c>
      <c r="J76" s="1" t="s">
        <v>523</v>
      </c>
      <c r="L76" s="1" t="s">
        <v>523</v>
      </c>
    </row>
    <row r="77" spans="2:12">
      <c r="B77" s="1" t="s">
        <v>4082</v>
      </c>
      <c r="C77" s="1" t="s">
        <v>526</v>
      </c>
      <c r="D77" s="1" t="s">
        <v>515</v>
      </c>
      <c r="E77" s="1">
        <v>17</v>
      </c>
      <c r="F77" s="1">
        <v>0</v>
      </c>
      <c r="G77" s="1">
        <v>68</v>
      </c>
      <c r="H77" s="1">
        <v>0.2</v>
      </c>
      <c r="J77" s="1" t="s">
        <v>523</v>
      </c>
      <c r="L77" s="1" t="s">
        <v>523</v>
      </c>
    </row>
    <row r="78" spans="2:12">
      <c r="B78" s="1" t="s">
        <v>4082</v>
      </c>
      <c r="C78" s="1" t="s">
        <v>526</v>
      </c>
      <c r="D78" s="1" t="s">
        <v>515</v>
      </c>
      <c r="E78" s="1">
        <v>18</v>
      </c>
      <c r="F78" s="1">
        <v>0</v>
      </c>
      <c r="G78" s="1">
        <v>67</v>
      </c>
      <c r="H78" s="1">
        <v>0.2</v>
      </c>
      <c r="J78" s="1" t="s">
        <v>523</v>
      </c>
      <c r="L78" s="1" t="s">
        <v>523</v>
      </c>
    </row>
    <row r="79" spans="2:12">
      <c r="B79" s="1" t="s">
        <v>4082</v>
      </c>
      <c r="C79" s="1" t="s">
        <v>526</v>
      </c>
      <c r="D79" s="1" t="s">
        <v>515</v>
      </c>
      <c r="E79" s="1">
        <v>19</v>
      </c>
      <c r="F79" s="1">
        <v>0</v>
      </c>
      <c r="G79" s="1">
        <v>66</v>
      </c>
      <c r="H79" s="1">
        <v>0.2</v>
      </c>
      <c r="J79" s="1" t="s">
        <v>523</v>
      </c>
      <c r="L79" s="1" t="s">
        <v>523</v>
      </c>
    </row>
    <row r="80" spans="2:12">
      <c r="B80" s="1" t="s">
        <v>4082</v>
      </c>
      <c r="C80" s="1" t="s">
        <v>526</v>
      </c>
      <c r="D80" s="1" t="s">
        <v>515</v>
      </c>
      <c r="E80" s="1">
        <v>20</v>
      </c>
      <c r="F80" s="1">
        <v>0</v>
      </c>
      <c r="G80" s="1">
        <v>65</v>
      </c>
      <c r="H80" s="1">
        <v>0.2</v>
      </c>
      <c r="J80" s="1" t="s">
        <v>523</v>
      </c>
      <c r="L80" s="1" t="s">
        <v>523</v>
      </c>
    </row>
    <row r="81" spans="2:12">
      <c r="B81" s="1" t="s">
        <v>4082</v>
      </c>
      <c r="C81" s="1" t="s">
        <v>526</v>
      </c>
      <c r="D81" s="1" t="s">
        <v>515</v>
      </c>
      <c r="E81" s="1">
        <v>21</v>
      </c>
      <c r="F81" s="1">
        <v>0</v>
      </c>
      <c r="G81" s="1">
        <v>64</v>
      </c>
      <c r="H81" s="1">
        <v>0.2</v>
      </c>
      <c r="J81" s="1" t="s">
        <v>523</v>
      </c>
      <c r="L81" s="1" t="s">
        <v>523</v>
      </c>
    </row>
    <row r="82" spans="2:12">
      <c r="B82" s="1" t="s">
        <v>4082</v>
      </c>
      <c r="C82" s="1" t="s">
        <v>526</v>
      </c>
      <c r="D82" s="1" t="s">
        <v>515</v>
      </c>
      <c r="E82" s="1">
        <v>22</v>
      </c>
      <c r="F82" s="1">
        <v>0</v>
      </c>
      <c r="G82" s="1">
        <v>63</v>
      </c>
      <c r="H82" s="1">
        <v>0.2</v>
      </c>
      <c r="J82" s="1" t="s">
        <v>523</v>
      </c>
      <c r="L82" s="1" t="s">
        <v>523</v>
      </c>
    </row>
    <row r="83" spans="2:12">
      <c r="B83" s="1" t="s">
        <v>4082</v>
      </c>
      <c r="C83" s="1" t="s">
        <v>526</v>
      </c>
      <c r="D83" s="1" t="s">
        <v>515</v>
      </c>
      <c r="E83" s="1">
        <v>23</v>
      </c>
      <c r="F83" s="1">
        <v>0</v>
      </c>
      <c r="G83" s="1">
        <v>62</v>
      </c>
      <c r="H83" s="1">
        <v>0.2</v>
      </c>
      <c r="J83" s="1" t="s">
        <v>523</v>
      </c>
      <c r="L83" s="1" t="s">
        <v>523</v>
      </c>
    </row>
    <row r="84" spans="2:12">
      <c r="B84" s="1" t="s">
        <v>4082</v>
      </c>
      <c r="C84" s="1" t="s">
        <v>526</v>
      </c>
      <c r="D84" s="1" t="s">
        <v>515</v>
      </c>
      <c r="E84" s="1">
        <v>24</v>
      </c>
      <c r="F84" s="1">
        <v>0</v>
      </c>
      <c r="G84" s="1">
        <v>61</v>
      </c>
      <c r="H84" s="1">
        <v>0.2</v>
      </c>
      <c r="J84" s="1" t="s">
        <v>523</v>
      </c>
      <c r="L84" s="1" t="s">
        <v>523</v>
      </c>
    </row>
    <row r="85" spans="2:12">
      <c r="B85" s="1" t="s">
        <v>4082</v>
      </c>
      <c r="C85" s="1" t="s">
        <v>526</v>
      </c>
      <c r="D85" s="1" t="s">
        <v>515</v>
      </c>
      <c r="E85" s="1">
        <v>25</v>
      </c>
      <c r="F85" s="1">
        <v>0</v>
      </c>
      <c r="G85" s="1">
        <v>60</v>
      </c>
      <c r="H85" s="1">
        <v>0.22</v>
      </c>
      <c r="J85" s="1" t="s">
        <v>523</v>
      </c>
      <c r="L85" s="1" t="s">
        <v>523</v>
      </c>
    </row>
    <row r="86" spans="2:12">
      <c r="B86" s="1" t="s">
        <v>4082</v>
      </c>
      <c r="C86" s="1" t="s">
        <v>526</v>
      </c>
      <c r="D86" s="1" t="s">
        <v>515</v>
      </c>
      <c r="E86" s="1">
        <v>26</v>
      </c>
      <c r="F86" s="1">
        <v>0</v>
      </c>
      <c r="G86" s="1">
        <v>59</v>
      </c>
      <c r="H86" s="1">
        <v>0.22</v>
      </c>
      <c r="J86" s="1" t="s">
        <v>523</v>
      </c>
      <c r="L86" s="1" t="s">
        <v>523</v>
      </c>
    </row>
    <row r="87" spans="2:12">
      <c r="B87" s="1" t="s">
        <v>4082</v>
      </c>
      <c r="C87" s="1" t="s">
        <v>526</v>
      </c>
      <c r="D87" s="1" t="s">
        <v>515</v>
      </c>
      <c r="E87" s="1">
        <v>27</v>
      </c>
      <c r="F87" s="1">
        <v>0</v>
      </c>
      <c r="G87" s="1">
        <v>58</v>
      </c>
      <c r="H87" s="1">
        <v>0.22</v>
      </c>
      <c r="J87" s="1" t="s">
        <v>523</v>
      </c>
      <c r="L87" s="1" t="s">
        <v>523</v>
      </c>
    </row>
    <row r="88" spans="2:12">
      <c r="B88" s="1" t="s">
        <v>4082</v>
      </c>
      <c r="C88" s="1" t="s">
        <v>526</v>
      </c>
      <c r="D88" s="1" t="s">
        <v>515</v>
      </c>
      <c r="E88" s="1">
        <v>28</v>
      </c>
      <c r="F88" s="1">
        <v>0</v>
      </c>
      <c r="G88" s="1">
        <v>57</v>
      </c>
      <c r="H88" s="1">
        <v>0.22</v>
      </c>
      <c r="J88" s="1" t="s">
        <v>523</v>
      </c>
      <c r="L88" s="1" t="s">
        <v>523</v>
      </c>
    </row>
    <row r="89" spans="2:12">
      <c r="B89" s="1" t="s">
        <v>4082</v>
      </c>
      <c r="C89" s="1" t="s">
        <v>526</v>
      </c>
      <c r="D89" s="1" t="s">
        <v>515</v>
      </c>
      <c r="E89" s="1">
        <v>29</v>
      </c>
      <c r="F89" s="1">
        <v>0</v>
      </c>
      <c r="G89" s="1">
        <v>56</v>
      </c>
      <c r="H89" s="1">
        <v>0.22</v>
      </c>
      <c r="J89" s="1" t="s">
        <v>523</v>
      </c>
      <c r="L89" s="1" t="s">
        <v>523</v>
      </c>
    </row>
    <row r="90" spans="2:12">
      <c r="B90" s="1" t="s">
        <v>4082</v>
      </c>
      <c r="C90" s="1" t="s">
        <v>526</v>
      </c>
      <c r="D90" s="1" t="s">
        <v>515</v>
      </c>
      <c r="E90" s="1">
        <v>30</v>
      </c>
      <c r="F90" s="1">
        <v>0</v>
      </c>
      <c r="G90" s="1">
        <v>55</v>
      </c>
      <c r="H90" s="1">
        <v>0.22</v>
      </c>
      <c r="J90" s="1" t="s">
        <v>523</v>
      </c>
      <c r="L90" s="1" t="s">
        <v>523</v>
      </c>
    </row>
    <row r="91" spans="2:12">
      <c r="B91" s="1" t="s">
        <v>4082</v>
      </c>
      <c r="C91" s="1" t="s">
        <v>526</v>
      </c>
      <c r="D91" s="1" t="s">
        <v>518</v>
      </c>
      <c r="E91" s="1">
        <v>10</v>
      </c>
      <c r="F91" s="1">
        <v>0</v>
      </c>
      <c r="G91" s="1">
        <v>70</v>
      </c>
      <c r="H91" s="1">
        <v>0.17</v>
      </c>
      <c r="J91" s="1" t="s">
        <v>523</v>
      </c>
      <c r="L91" s="1" t="s">
        <v>523</v>
      </c>
    </row>
    <row r="92" spans="2:12">
      <c r="B92" s="1" t="s">
        <v>4082</v>
      </c>
      <c r="C92" s="1" t="s">
        <v>526</v>
      </c>
      <c r="D92" s="1" t="s">
        <v>518</v>
      </c>
      <c r="E92" s="1">
        <v>15</v>
      </c>
      <c r="F92" s="1">
        <v>0</v>
      </c>
      <c r="G92" s="1">
        <v>65</v>
      </c>
      <c r="H92" s="1">
        <v>0.26</v>
      </c>
      <c r="J92" s="1" t="s">
        <v>523</v>
      </c>
      <c r="L92" s="1" t="s">
        <v>523</v>
      </c>
    </row>
    <row r="93" spans="2:12">
      <c r="B93" s="1" t="s">
        <v>4082</v>
      </c>
      <c r="C93" s="1" t="s">
        <v>526</v>
      </c>
      <c r="D93" s="1" t="s">
        <v>518</v>
      </c>
      <c r="E93" s="1">
        <v>20</v>
      </c>
      <c r="F93" s="1">
        <v>0</v>
      </c>
      <c r="G93" s="1">
        <v>60</v>
      </c>
      <c r="H93" s="1">
        <v>0.37</v>
      </c>
      <c r="J93" s="1" t="s">
        <v>523</v>
      </c>
      <c r="L93" s="1" t="s">
        <v>523</v>
      </c>
    </row>
    <row r="94" spans="2:12">
      <c r="B94" s="1" t="s">
        <v>4082</v>
      </c>
      <c r="C94" s="1" t="s">
        <v>526</v>
      </c>
      <c r="D94" s="1" t="s">
        <v>519</v>
      </c>
      <c r="E94" s="1">
        <v>6</v>
      </c>
      <c r="F94" s="1">
        <v>0</v>
      </c>
      <c r="G94" s="1">
        <v>74</v>
      </c>
      <c r="H94" s="1">
        <v>0.03</v>
      </c>
      <c r="J94" s="1" t="s">
        <v>523</v>
      </c>
      <c r="L94" s="1" t="s">
        <v>523</v>
      </c>
    </row>
    <row r="95" spans="2:12">
      <c r="B95" s="1" t="s">
        <v>4082</v>
      </c>
      <c r="C95" s="1" t="s">
        <v>526</v>
      </c>
      <c r="D95" s="1" t="s">
        <v>519</v>
      </c>
      <c r="E95" s="1">
        <v>8</v>
      </c>
      <c r="F95" s="1">
        <v>0</v>
      </c>
      <c r="G95" s="1">
        <v>72</v>
      </c>
      <c r="H95" s="1">
        <v>6.5000000000000002E-2</v>
      </c>
      <c r="J95" s="1" t="s">
        <v>523</v>
      </c>
      <c r="L95" s="1" t="s">
        <v>523</v>
      </c>
    </row>
    <row r="96" spans="2:12">
      <c r="B96" s="1" t="s">
        <v>4082</v>
      </c>
      <c r="C96" s="1" t="s">
        <v>526</v>
      </c>
      <c r="D96" s="1" t="s">
        <v>519</v>
      </c>
      <c r="E96" s="1">
        <v>10</v>
      </c>
      <c r="F96" s="1">
        <v>0</v>
      </c>
      <c r="G96" s="1">
        <v>70</v>
      </c>
      <c r="H96" s="1">
        <v>0.12</v>
      </c>
      <c r="J96" s="1" t="s">
        <v>523</v>
      </c>
      <c r="L96" s="1" t="s">
        <v>523</v>
      </c>
    </row>
    <row r="97" spans="2:12">
      <c r="B97" s="1" t="s">
        <v>4082</v>
      </c>
      <c r="C97" s="1" t="s">
        <v>526</v>
      </c>
      <c r="D97" s="1" t="s">
        <v>519</v>
      </c>
      <c r="E97" s="1">
        <v>12</v>
      </c>
      <c r="F97" s="1">
        <v>0</v>
      </c>
      <c r="G97" s="1">
        <v>68</v>
      </c>
      <c r="H97" s="1">
        <v>0.14499999999999999</v>
      </c>
      <c r="J97" s="1" t="s">
        <v>523</v>
      </c>
      <c r="L97" s="1" t="s">
        <v>523</v>
      </c>
    </row>
    <row r="98" spans="2:12">
      <c r="B98" s="1" t="s">
        <v>4082</v>
      </c>
      <c r="C98" s="1" t="s">
        <v>526</v>
      </c>
      <c r="D98" s="1" t="s">
        <v>519</v>
      </c>
      <c r="E98" s="1">
        <v>20</v>
      </c>
      <c r="F98" s="1">
        <v>0</v>
      </c>
      <c r="G98" s="1">
        <v>60</v>
      </c>
      <c r="H98" s="1">
        <v>0.23</v>
      </c>
      <c r="J98" s="1" t="s">
        <v>523</v>
      </c>
      <c r="L98" s="1" t="s">
        <v>523</v>
      </c>
    </row>
    <row r="99" spans="2:12">
      <c r="B99" s="1" t="s">
        <v>4082</v>
      </c>
      <c r="C99" s="1" t="s">
        <v>526</v>
      </c>
      <c r="D99" s="1" t="s">
        <v>516</v>
      </c>
      <c r="E99" s="1">
        <v>5</v>
      </c>
      <c r="F99" s="1">
        <v>0</v>
      </c>
      <c r="G99" s="1">
        <v>80</v>
      </c>
      <c r="H99" s="1">
        <v>0.115</v>
      </c>
      <c r="J99" s="1" t="s">
        <v>523</v>
      </c>
      <c r="L99" s="1" t="s">
        <v>523</v>
      </c>
    </row>
    <row r="100" spans="2:12">
      <c r="B100" s="1" t="s">
        <v>4082</v>
      </c>
      <c r="C100" s="1" t="s">
        <v>526</v>
      </c>
      <c r="D100" s="1" t="s">
        <v>516</v>
      </c>
      <c r="E100" s="1">
        <v>6</v>
      </c>
      <c r="F100" s="1">
        <v>0</v>
      </c>
      <c r="G100" s="1">
        <v>79</v>
      </c>
      <c r="H100" s="1">
        <v>0.115</v>
      </c>
      <c r="J100" s="1" t="s">
        <v>523</v>
      </c>
      <c r="L100" s="1" t="s">
        <v>523</v>
      </c>
    </row>
    <row r="101" spans="2:12">
      <c r="B101" s="1" t="s">
        <v>4082</v>
      </c>
      <c r="C101" s="1" t="s">
        <v>526</v>
      </c>
      <c r="D101" s="1" t="s">
        <v>516</v>
      </c>
      <c r="E101" s="1">
        <v>7</v>
      </c>
      <c r="F101" s="1">
        <v>0</v>
      </c>
      <c r="G101" s="1">
        <v>78</v>
      </c>
      <c r="H101" s="1">
        <v>0.115</v>
      </c>
      <c r="J101" s="1" t="s">
        <v>523</v>
      </c>
      <c r="L101" s="1" t="s">
        <v>523</v>
      </c>
    </row>
    <row r="102" spans="2:12">
      <c r="B102" s="1" t="s">
        <v>4082</v>
      </c>
      <c r="C102" s="1" t="s">
        <v>526</v>
      </c>
      <c r="D102" s="1" t="s">
        <v>516</v>
      </c>
      <c r="E102" s="1">
        <v>8</v>
      </c>
      <c r="F102" s="1">
        <v>0</v>
      </c>
      <c r="G102" s="1">
        <v>77</v>
      </c>
      <c r="H102" s="1">
        <v>0.115</v>
      </c>
      <c r="J102" s="1" t="s">
        <v>523</v>
      </c>
      <c r="L102" s="1" t="s">
        <v>523</v>
      </c>
    </row>
    <row r="103" spans="2:12">
      <c r="B103" s="1" t="s">
        <v>4082</v>
      </c>
      <c r="C103" s="1" t="s">
        <v>526</v>
      </c>
      <c r="D103" s="1" t="s">
        <v>516</v>
      </c>
      <c r="E103" s="1">
        <v>9</v>
      </c>
      <c r="F103" s="1">
        <v>0</v>
      </c>
      <c r="G103" s="1">
        <v>76</v>
      </c>
      <c r="H103" s="1">
        <v>0.115</v>
      </c>
      <c r="J103" s="1" t="s">
        <v>523</v>
      </c>
      <c r="L103" s="1" t="s">
        <v>523</v>
      </c>
    </row>
    <row r="104" spans="2:12">
      <c r="B104" s="1" t="s">
        <v>4082</v>
      </c>
      <c r="C104" s="1" t="s">
        <v>526</v>
      </c>
      <c r="D104" s="1" t="s">
        <v>516</v>
      </c>
      <c r="E104" s="1">
        <v>10</v>
      </c>
      <c r="F104" s="1">
        <v>0</v>
      </c>
      <c r="G104" s="1">
        <v>75</v>
      </c>
      <c r="H104" s="1">
        <v>0.18</v>
      </c>
      <c r="J104" s="1" t="s">
        <v>523</v>
      </c>
      <c r="L104" s="1" t="s">
        <v>523</v>
      </c>
    </row>
    <row r="105" spans="2:12">
      <c r="B105" s="1" t="s">
        <v>4082</v>
      </c>
      <c r="C105" s="1" t="s">
        <v>526</v>
      </c>
      <c r="D105" s="1" t="s">
        <v>516</v>
      </c>
      <c r="E105" s="1">
        <v>11</v>
      </c>
      <c r="F105" s="1">
        <v>0</v>
      </c>
      <c r="G105" s="1">
        <v>74</v>
      </c>
      <c r="H105" s="1">
        <v>0.18</v>
      </c>
      <c r="J105" s="1" t="s">
        <v>523</v>
      </c>
      <c r="L105" s="1" t="s">
        <v>523</v>
      </c>
    </row>
    <row r="106" spans="2:12">
      <c r="B106" s="1" t="s">
        <v>4082</v>
      </c>
      <c r="C106" s="1" t="s">
        <v>526</v>
      </c>
      <c r="D106" s="1" t="s">
        <v>516</v>
      </c>
      <c r="E106" s="1">
        <v>12</v>
      </c>
      <c r="F106" s="1">
        <v>0</v>
      </c>
      <c r="G106" s="1">
        <v>73</v>
      </c>
      <c r="H106" s="1">
        <v>0.18</v>
      </c>
      <c r="J106" s="1" t="s">
        <v>523</v>
      </c>
      <c r="L106" s="1" t="s">
        <v>523</v>
      </c>
    </row>
    <row r="107" spans="2:12">
      <c r="B107" s="1" t="s">
        <v>4082</v>
      </c>
      <c r="C107" s="1" t="s">
        <v>526</v>
      </c>
      <c r="D107" s="1" t="s">
        <v>516</v>
      </c>
      <c r="E107" s="1">
        <v>13</v>
      </c>
      <c r="F107" s="1">
        <v>0</v>
      </c>
      <c r="G107" s="1">
        <v>72</v>
      </c>
      <c r="H107" s="1">
        <v>0.18</v>
      </c>
      <c r="J107" s="1" t="s">
        <v>523</v>
      </c>
      <c r="L107" s="1" t="s">
        <v>523</v>
      </c>
    </row>
    <row r="108" spans="2:12">
      <c r="B108" s="1" t="s">
        <v>4082</v>
      </c>
      <c r="C108" s="1" t="s">
        <v>526</v>
      </c>
      <c r="D108" s="1" t="s">
        <v>516</v>
      </c>
      <c r="E108" s="1">
        <v>14</v>
      </c>
      <c r="F108" s="1">
        <v>0</v>
      </c>
      <c r="G108" s="1">
        <v>71</v>
      </c>
      <c r="H108" s="1">
        <v>0.18</v>
      </c>
      <c r="J108" s="1" t="s">
        <v>523</v>
      </c>
      <c r="L108" s="1" t="s">
        <v>523</v>
      </c>
    </row>
    <row r="109" spans="2:12">
      <c r="B109" s="1" t="s">
        <v>4082</v>
      </c>
      <c r="C109" s="1" t="s">
        <v>526</v>
      </c>
      <c r="D109" s="1" t="s">
        <v>516</v>
      </c>
      <c r="E109" s="1">
        <v>15</v>
      </c>
      <c r="F109" s="1">
        <v>0</v>
      </c>
      <c r="G109" s="1">
        <v>70</v>
      </c>
      <c r="H109" s="1">
        <v>0.18</v>
      </c>
      <c r="J109" s="1" t="s">
        <v>523</v>
      </c>
      <c r="L109" s="1" t="s">
        <v>523</v>
      </c>
    </row>
    <row r="110" spans="2:12">
      <c r="B110" s="1" t="s">
        <v>4082</v>
      </c>
      <c r="C110" s="1" t="s">
        <v>526</v>
      </c>
      <c r="D110" s="1" t="s">
        <v>516</v>
      </c>
      <c r="E110" s="1">
        <v>16</v>
      </c>
      <c r="F110" s="1">
        <v>0</v>
      </c>
      <c r="G110" s="1">
        <v>69</v>
      </c>
      <c r="H110" s="1">
        <v>0.18</v>
      </c>
      <c r="J110" s="1" t="s">
        <v>523</v>
      </c>
      <c r="L110" s="1" t="s">
        <v>523</v>
      </c>
    </row>
    <row r="111" spans="2:12">
      <c r="B111" s="1" t="s">
        <v>4082</v>
      </c>
      <c r="C111" s="1" t="s">
        <v>526</v>
      </c>
      <c r="D111" s="1" t="s">
        <v>516</v>
      </c>
      <c r="E111" s="1">
        <v>17</v>
      </c>
      <c r="F111" s="1">
        <v>0</v>
      </c>
      <c r="G111" s="1">
        <v>68</v>
      </c>
      <c r="H111" s="1">
        <v>0.18</v>
      </c>
      <c r="J111" s="1" t="s">
        <v>523</v>
      </c>
      <c r="L111" s="1" t="s">
        <v>523</v>
      </c>
    </row>
    <row r="112" spans="2:12">
      <c r="B112" s="1" t="s">
        <v>4082</v>
      </c>
      <c r="C112" s="1" t="s">
        <v>526</v>
      </c>
      <c r="D112" s="1" t="s">
        <v>516</v>
      </c>
      <c r="E112" s="1">
        <v>18</v>
      </c>
      <c r="F112" s="1">
        <v>0</v>
      </c>
      <c r="G112" s="1">
        <v>67</v>
      </c>
      <c r="H112" s="1">
        <v>0.18</v>
      </c>
      <c r="J112" s="1" t="s">
        <v>523</v>
      </c>
      <c r="L112" s="1" t="s">
        <v>523</v>
      </c>
    </row>
    <row r="113" spans="2:12">
      <c r="B113" s="1" t="s">
        <v>4082</v>
      </c>
      <c r="C113" s="1" t="s">
        <v>526</v>
      </c>
      <c r="D113" s="1" t="s">
        <v>516</v>
      </c>
      <c r="E113" s="1">
        <v>19</v>
      </c>
      <c r="F113" s="1">
        <v>0</v>
      </c>
      <c r="G113" s="1">
        <v>66</v>
      </c>
      <c r="H113" s="1">
        <v>0.18</v>
      </c>
      <c r="J113" s="1" t="s">
        <v>523</v>
      </c>
      <c r="L113" s="1" t="s">
        <v>523</v>
      </c>
    </row>
    <row r="114" spans="2:12">
      <c r="B114" s="1" t="s">
        <v>4082</v>
      </c>
      <c r="C114" s="1" t="s">
        <v>526</v>
      </c>
      <c r="D114" s="1" t="s">
        <v>516</v>
      </c>
      <c r="E114" s="1">
        <v>20</v>
      </c>
      <c r="F114" s="1">
        <v>0</v>
      </c>
      <c r="G114" s="1">
        <v>65</v>
      </c>
      <c r="H114" s="1">
        <v>0.18</v>
      </c>
      <c r="J114" s="1" t="s">
        <v>523</v>
      </c>
      <c r="L114" s="1" t="s">
        <v>523</v>
      </c>
    </row>
    <row r="115" spans="2:12">
      <c r="B115" s="1" t="s">
        <v>4082</v>
      </c>
      <c r="C115" s="1" t="s">
        <v>526</v>
      </c>
      <c r="D115" s="1" t="s">
        <v>517</v>
      </c>
      <c r="E115" s="1">
        <v>5</v>
      </c>
      <c r="F115" s="1">
        <v>0</v>
      </c>
      <c r="G115" s="1">
        <v>80</v>
      </c>
      <c r="H115" s="1">
        <v>0.115</v>
      </c>
      <c r="J115" s="1" t="s">
        <v>523</v>
      </c>
      <c r="L115" s="1" t="s">
        <v>523</v>
      </c>
    </row>
    <row r="116" spans="2:12">
      <c r="B116" s="1" t="s">
        <v>4082</v>
      </c>
      <c r="C116" s="1" t="s">
        <v>526</v>
      </c>
      <c r="D116" s="1" t="s">
        <v>517</v>
      </c>
      <c r="E116" s="1">
        <v>6</v>
      </c>
      <c r="F116" s="1">
        <v>0</v>
      </c>
      <c r="G116" s="1">
        <v>79</v>
      </c>
      <c r="H116" s="1">
        <v>0.115</v>
      </c>
      <c r="J116" s="1" t="s">
        <v>523</v>
      </c>
      <c r="L116" s="1" t="s">
        <v>523</v>
      </c>
    </row>
    <row r="117" spans="2:12">
      <c r="B117" s="1" t="s">
        <v>4082</v>
      </c>
      <c r="C117" s="1" t="s">
        <v>526</v>
      </c>
      <c r="D117" s="1" t="s">
        <v>517</v>
      </c>
      <c r="E117" s="1">
        <v>7</v>
      </c>
      <c r="F117" s="1">
        <v>0</v>
      </c>
      <c r="G117" s="1">
        <v>78</v>
      </c>
      <c r="H117" s="1">
        <v>0.115</v>
      </c>
      <c r="J117" s="1" t="s">
        <v>523</v>
      </c>
      <c r="L117" s="1" t="s">
        <v>523</v>
      </c>
    </row>
    <row r="118" spans="2:12">
      <c r="B118" s="1" t="s">
        <v>4082</v>
      </c>
      <c r="C118" s="1" t="s">
        <v>526</v>
      </c>
      <c r="D118" s="1" t="s">
        <v>517</v>
      </c>
      <c r="E118" s="1">
        <v>8</v>
      </c>
      <c r="F118" s="1">
        <v>0</v>
      </c>
      <c r="G118" s="1">
        <v>77</v>
      </c>
      <c r="H118" s="1">
        <v>0.115</v>
      </c>
      <c r="J118" s="1" t="s">
        <v>523</v>
      </c>
      <c r="L118" s="1" t="s">
        <v>523</v>
      </c>
    </row>
    <row r="119" spans="2:12">
      <c r="B119" s="1" t="s">
        <v>4082</v>
      </c>
      <c r="C119" s="1" t="s">
        <v>526</v>
      </c>
      <c r="D119" s="1" t="s">
        <v>517</v>
      </c>
      <c r="E119" s="1">
        <v>9</v>
      </c>
      <c r="F119" s="1">
        <v>0</v>
      </c>
      <c r="G119" s="1">
        <v>76</v>
      </c>
      <c r="H119" s="1">
        <v>0.115</v>
      </c>
      <c r="J119" s="1" t="s">
        <v>523</v>
      </c>
      <c r="L119" s="1" t="s">
        <v>523</v>
      </c>
    </row>
    <row r="120" spans="2:12">
      <c r="B120" s="1" t="s">
        <v>4082</v>
      </c>
      <c r="C120" s="1" t="s">
        <v>526</v>
      </c>
      <c r="D120" s="1" t="s">
        <v>517</v>
      </c>
      <c r="E120" s="1">
        <v>10</v>
      </c>
      <c r="F120" s="1">
        <v>0</v>
      </c>
      <c r="G120" s="1">
        <v>75</v>
      </c>
      <c r="H120" s="1">
        <v>0.18</v>
      </c>
      <c r="J120" s="1" t="s">
        <v>523</v>
      </c>
      <c r="L120" s="1" t="s">
        <v>523</v>
      </c>
    </row>
    <row r="121" spans="2:12">
      <c r="B121" s="1" t="s">
        <v>4082</v>
      </c>
      <c r="C121" s="1" t="s">
        <v>526</v>
      </c>
      <c r="D121" s="1" t="s">
        <v>517</v>
      </c>
      <c r="E121" s="1">
        <v>11</v>
      </c>
      <c r="F121" s="1">
        <v>0</v>
      </c>
      <c r="G121" s="1">
        <v>74</v>
      </c>
      <c r="H121" s="1">
        <v>0.18</v>
      </c>
      <c r="J121" s="1" t="s">
        <v>523</v>
      </c>
      <c r="L121" s="1" t="s">
        <v>523</v>
      </c>
    </row>
    <row r="122" spans="2:12">
      <c r="B122" s="1" t="s">
        <v>4082</v>
      </c>
      <c r="C122" s="1" t="s">
        <v>526</v>
      </c>
      <c r="D122" s="1" t="s">
        <v>517</v>
      </c>
      <c r="E122" s="1">
        <v>12</v>
      </c>
      <c r="F122" s="1">
        <v>0</v>
      </c>
      <c r="G122" s="1">
        <v>73</v>
      </c>
      <c r="H122" s="1">
        <v>0.18</v>
      </c>
      <c r="J122" s="1" t="s">
        <v>523</v>
      </c>
      <c r="L122" s="1" t="s">
        <v>523</v>
      </c>
    </row>
    <row r="123" spans="2:12">
      <c r="B123" s="1" t="s">
        <v>4082</v>
      </c>
      <c r="C123" s="1" t="s">
        <v>526</v>
      </c>
      <c r="D123" s="1" t="s">
        <v>517</v>
      </c>
      <c r="E123" s="1">
        <v>13</v>
      </c>
      <c r="F123" s="1">
        <v>0</v>
      </c>
      <c r="G123" s="1">
        <v>72</v>
      </c>
      <c r="H123" s="1">
        <v>0.18</v>
      </c>
      <c r="J123" s="1" t="s">
        <v>523</v>
      </c>
      <c r="L123" s="1" t="s">
        <v>523</v>
      </c>
    </row>
    <row r="124" spans="2:12">
      <c r="B124" s="1" t="s">
        <v>4082</v>
      </c>
      <c r="C124" s="1" t="s">
        <v>526</v>
      </c>
      <c r="D124" s="1" t="s">
        <v>517</v>
      </c>
      <c r="E124" s="1">
        <v>14</v>
      </c>
      <c r="F124" s="1">
        <v>0</v>
      </c>
      <c r="G124" s="1">
        <v>71</v>
      </c>
      <c r="H124" s="1">
        <v>0.18</v>
      </c>
      <c r="J124" s="1" t="s">
        <v>523</v>
      </c>
      <c r="L124" s="1" t="s">
        <v>523</v>
      </c>
    </row>
    <row r="125" spans="2:12">
      <c r="B125" s="1" t="s">
        <v>4082</v>
      </c>
      <c r="C125" s="1" t="s">
        <v>526</v>
      </c>
      <c r="D125" s="1" t="s">
        <v>517</v>
      </c>
      <c r="E125" s="1">
        <v>15</v>
      </c>
      <c r="F125" s="1">
        <v>0</v>
      </c>
      <c r="G125" s="1">
        <v>70</v>
      </c>
      <c r="H125" s="1">
        <v>0.18</v>
      </c>
      <c r="J125" s="1" t="s">
        <v>523</v>
      </c>
      <c r="L125" s="1" t="s">
        <v>523</v>
      </c>
    </row>
    <row r="126" spans="2:12">
      <c r="B126" s="1" t="s">
        <v>4082</v>
      </c>
      <c r="C126" s="1" t="s">
        <v>526</v>
      </c>
      <c r="D126" s="1" t="s">
        <v>517</v>
      </c>
      <c r="E126" s="1">
        <v>16</v>
      </c>
      <c r="F126" s="1">
        <v>0</v>
      </c>
      <c r="G126" s="1">
        <v>69</v>
      </c>
      <c r="H126" s="1">
        <v>0.18</v>
      </c>
      <c r="J126" s="1" t="s">
        <v>523</v>
      </c>
      <c r="L126" s="1" t="s">
        <v>523</v>
      </c>
    </row>
    <row r="127" spans="2:12">
      <c r="B127" s="1" t="s">
        <v>4082</v>
      </c>
      <c r="C127" s="1" t="s">
        <v>526</v>
      </c>
      <c r="D127" s="1" t="s">
        <v>517</v>
      </c>
      <c r="E127" s="1">
        <v>17</v>
      </c>
      <c r="F127" s="1">
        <v>0</v>
      </c>
      <c r="G127" s="1">
        <v>68</v>
      </c>
      <c r="H127" s="1">
        <v>0.18</v>
      </c>
      <c r="J127" s="1" t="s">
        <v>523</v>
      </c>
      <c r="L127" s="1" t="s">
        <v>523</v>
      </c>
    </row>
    <row r="128" spans="2:12">
      <c r="B128" s="1" t="s">
        <v>4082</v>
      </c>
      <c r="C128" s="1" t="s">
        <v>526</v>
      </c>
      <c r="D128" s="1" t="s">
        <v>517</v>
      </c>
      <c r="E128" s="1">
        <v>18</v>
      </c>
      <c r="F128" s="1">
        <v>0</v>
      </c>
      <c r="G128" s="1">
        <v>67</v>
      </c>
      <c r="H128" s="1">
        <v>0.18</v>
      </c>
      <c r="J128" s="1" t="s">
        <v>523</v>
      </c>
      <c r="L128" s="1" t="s">
        <v>523</v>
      </c>
    </row>
    <row r="129" spans="2:12">
      <c r="B129" s="1" t="s">
        <v>4082</v>
      </c>
      <c r="C129" s="1" t="s">
        <v>526</v>
      </c>
      <c r="D129" s="1" t="s">
        <v>517</v>
      </c>
      <c r="E129" s="1">
        <v>19</v>
      </c>
      <c r="F129" s="1">
        <v>0</v>
      </c>
      <c r="G129" s="1">
        <v>66</v>
      </c>
      <c r="H129" s="1">
        <v>0.18</v>
      </c>
      <c r="J129" s="1" t="s">
        <v>523</v>
      </c>
      <c r="L129" s="1" t="s">
        <v>523</v>
      </c>
    </row>
    <row r="130" spans="2:12">
      <c r="B130" s="1" t="s">
        <v>4082</v>
      </c>
      <c r="C130" s="1" t="s">
        <v>526</v>
      </c>
      <c r="D130" s="1" t="s">
        <v>517</v>
      </c>
      <c r="E130" s="1">
        <v>20</v>
      </c>
      <c r="F130" s="1">
        <v>0</v>
      </c>
      <c r="G130" s="1">
        <v>65</v>
      </c>
      <c r="H130" s="1">
        <v>0.18</v>
      </c>
      <c r="J130" s="1" t="s">
        <v>523</v>
      </c>
      <c r="L130" s="1" t="s">
        <v>523</v>
      </c>
    </row>
  </sheetData>
  <phoneticPr fontId="3" type="noConversion"/>
  <hyperlinks>
    <hyperlink ref="A1" location="目錄!A1" display="回到目錄"/>
  </hyperlinks>
  <pageMargins left="0.7" right="0.7" top="0.75" bottom="0.75" header="0.3" footer="0.3"/>
  <pageSetup paperSize="9" orientation="portrait" horizontalDpi="300" verticalDpi="300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0"/>
  <dimension ref="A1:I27"/>
  <sheetViews>
    <sheetView workbookViewId="0">
      <pane ySplit="1" topLeftCell="A2" activePane="bottomLeft" state="frozen"/>
      <selection activeCell="B1" sqref="B1"/>
      <selection pane="bottomLeft"/>
    </sheetView>
  </sheetViews>
  <sheetFormatPr defaultRowHeight="15"/>
  <cols>
    <col min="1" max="1" width="7.453125" style="15" bestFit="1" customWidth="1"/>
    <col min="2" max="2" width="4.36328125" style="14" bestFit="1" customWidth="1"/>
    <col min="3" max="3" width="13.7265625" style="15" bestFit="1" customWidth="1"/>
    <col min="4" max="4" width="11.08984375" style="15" bestFit="1" customWidth="1"/>
    <col min="5" max="5" width="7.54296875" style="14" bestFit="1" customWidth="1"/>
    <col min="6" max="6" width="10" style="15" bestFit="1" customWidth="1"/>
    <col min="7" max="7" width="19.08984375" style="15" customWidth="1"/>
    <col min="8" max="8" width="27.54296875" style="15" bestFit="1" customWidth="1"/>
    <col min="9" max="9" width="10.08984375" style="15" bestFit="1" customWidth="1"/>
    <col min="10" max="16384" width="8.7265625" style="70"/>
  </cols>
  <sheetData>
    <row r="1" spans="1:9">
      <c r="A1" s="63" t="s">
        <v>36</v>
      </c>
      <c r="B1" s="5" t="s">
        <v>5</v>
      </c>
      <c r="C1" s="20" t="s">
        <v>3</v>
      </c>
      <c r="D1" s="20" t="s">
        <v>4</v>
      </c>
      <c r="E1" s="7" t="s">
        <v>6</v>
      </c>
      <c r="F1" s="9" t="s">
        <v>13</v>
      </c>
      <c r="G1" s="9" t="s">
        <v>7</v>
      </c>
      <c r="H1" s="9" t="s">
        <v>8</v>
      </c>
      <c r="I1" s="9" t="s">
        <v>105</v>
      </c>
    </row>
    <row r="2" spans="1:9">
      <c r="B2" s="14" t="s">
        <v>362</v>
      </c>
      <c r="C2" s="15" t="s">
        <v>739</v>
      </c>
      <c r="D2" s="15" t="s">
        <v>741</v>
      </c>
      <c r="G2" s="15" t="s">
        <v>740</v>
      </c>
      <c r="H2" s="15" t="s">
        <v>2922</v>
      </c>
    </row>
    <row r="3" spans="1:9" s="132" customFormat="1">
      <c r="A3" s="37"/>
      <c r="B3" s="108"/>
      <c r="C3" s="37" t="s">
        <v>4928</v>
      </c>
      <c r="D3" s="99" t="s">
        <v>21</v>
      </c>
      <c r="E3" s="108"/>
      <c r="F3" s="37"/>
      <c r="G3" s="37" t="s">
        <v>4927</v>
      </c>
      <c r="H3" s="94"/>
      <c r="I3" s="21" t="s">
        <v>4926</v>
      </c>
    </row>
    <row r="4" spans="1:9" ht="41.4">
      <c r="C4" s="15" t="s">
        <v>407</v>
      </c>
      <c r="D4" s="15" t="s">
        <v>4190</v>
      </c>
      <c r="G4" s="15" t="s">
        <v>411</v>
      </c>
      <c r="H4" s="24" t="s">
        <v>3579</v>
      </c>
    </row>
    <row r="5" spans="1:9">
      <c r="C5" s="15" t="s">
        <v>361</v>
      </c>
      <c r="D5" s="15" t="s">
        <v>162</v>
      </c>
      <c r="G5" s="15" t="s">
        <v>351</v>
      </c>
    </row>
    <row r="6" spans="1:9">
      <c r="C6" s="15" t="s">
        <v>359</v>
      </c>
      <c r="D6" s="12" t="s">
        <v>360</v>
      </c>
      <c r="G6" s="15" t="s">
        <v>352</v>
      </c>
      <c r="H6" s="26" t="s">
        <v>127</v>
      </c>
    </row>
    <row r="7" spans="1:9">
      <c r="C7" s="29" t="s">
        <v>156</v>
      </c>
      <c r="D7" s="13" t="s">
        <v>21</v>
      </c>
      <c r="E7" s="11"/>
      <c r="F7" s="12"/>
      <c r="G7" s="12" t="s">
        <v>25</v>
      </c>
      <c r="H7" s="16"/>
      <c r="I7" s="27" t="s">
        <v>271</v>
      </c>
    </row>
    <row r="8" spans="1:9">
      <c r="C8" s="13" t="s">
        <v>3723</v>
      </c>
      <c r="D8" s="13" t="s">
        <v>21</v>
      </c>
      <c r="E8" s="11"/>
      <c r="F8" s="12"/>
      <c r="G8" s="12" t="s">
        <v>26</v>
      </c>
      <c r="H8" s="27"/>
      <c r="I8" s="10" t="s">
        <v>272</v>
      </c>
    </row>
    <row r="9" spans="1:9">
      <c r="C9" s="13" t="s">
        <v>3724</v>
      </c>
      <c r="D9" s="13" t="s">
        <v>21</v>
      </c>
      <c r="E9" s="11"/>
      <c r="F9" s="12"/>
      <c r="G9" s="12" t="s">
        <v>27</v>
      </c>
      <c r="H9" s="27"/>
      <c r="I9" s="10" t="s">
        <v>2962</v>
      </c>
    </row>
    <row r="10" spans="1:9">
      <c r="C10" s="15" t="s">
        <v>388</v>
      </c>
      <c r="D10" s="15" t="s">
        <v>389</v>
      </c>
      <c r="E10" s="14" t="s">
        <v>385</v>
      </c>
      <c r="G10" s="15" t="s">
        <v>387</v>
      </c>
    </row>
    <row r="11" spans="1:9">
      <c r="C11" s="12" t="s">
        <v>69</v>
      </c>
      <c r="D11" s="12" t="s">
        <v>11</v>
      </c>
      <c r="E11" s="11" t="s">
        <v>16</v>
      </c>
      <c r="F11" s="13" t="s">
        <v>20</v>
      </c>
      <c r="G11" s="12" t="s">
        <v>30</v>
      </c>
    </row>
    <row r="12" spans="1:9">
      <c r="C12" s="12" t="s">
        <v>1</v>
      </c>
      <c r="D12" s="12" t="s">
        <v>37</v>
      </c>
      <c r="E12" s="11"/>
      <c r="F12" s="13"/>
      <c r="G12" s="12" t="s">
        <v>31</v>
      </c>
    </row>
    <row r="13" spans="1:9">
      <c r="C13" s="12" t="s">
        <v>19</v>
      </c>
      <c r="D13" s="12" t="s">
        <v>11</v>
      </c>
      <c r="E13" s="11" t="s">
        <v>16</v>
      </c>
      <c r="F13" s="13" t="s">
        <v>20</v>
      </c>
      <c r="G13" s="12" t="s">
        <v>32</v>
      </c>
    </row>
    <row r="14" spans="1:9">
      <c r="C14" s="12" t="s">
        <v>70</v>
      </c>
      <c r="D14" s="12" t="s">
        <v>37</v>
      </c>
      <c r="E14" s="11"/>
      <c r="F14" s="13"/>
      <c r="G14" s="12" t="s">
        <v>33</v>
      </c>
    </row>
    <row r="18" spans="3:9">
      <c r="C18" s="13"/>
      <c r="D18" s="13"/>
      <c r="E18" s="11"/>
      <c r="G18" s="13"/>
    </row>
    <row r="19" spans="3:9">
      <c r="C19" s="13"/>
      <c r="E19" s="11"/>
      <c r="G19" s="13"/>
      <c r="H19" s="24"/>
      <c r="I19" s="24"/>
    </row>
    <row r="20" spans="3:9">
      <c r="C20" s="13"/>
      <c r="E20" s="11"/>
      <c r="G20" s="13"/>
      <c r="H20" s="24"/>
      <c r="I20" s="24"/>
    </row>
    <row r="21" spans="3:9">
      <c r="C21" s="13"/>
      <c r="E21" s="11"/>
      <c r="G21" s="13"/>
      <c r="H21" s="24"/>
      <c r="I21" s="24"/>
    </row>
    <row r="22" spans="3:9">
      <c r="C22" s="13"/>
      <c r="E22" s="11"/>
      <c r="G22" s="13"/>
      <c r="H22" s="24"/>
      <c r="I22" s="24"/>
    </row>
    <row r="23" spans="3:9">
      <c r="C23" s="13"/>
      <c r="E23" s="11"/>
      <c r="G23" s="13"/>
      <c r="H23" s="24"/>
      <c r="I23" s="24"/>
    </row>
    <row r="24" spans="3:9">
      <c r="C24" s="13"/>
      <c r="D24" s="13"/>
      <c r="E24" s="11"/>
      <c r="F24" s="13"/>
      <c r="G24" s="13"/>
    </row>
    <row r="25" spans="3:9">
      <c r="C25" s="13"/>
      <c r="D25" s="13"/>
      <c r="E25" s="11"/>
      <c r="F25" s="13"/>
      <c r="G25" s="13"/>
    </row>
    <row r="26" spans="3:9">
      <c r="C26" s="13"/>
      <c r="D26" s="13"/>
      <c r="E26" s="11"/>
      <c r="F26" s="13"/>
      <c r="G26" s="13"/>
    </row>
    <row r="27" spans="3:9">
      <c r="C27" s="13"/>
      <c r="D27" s="13"/>
      <c r="E27" s="11"/>
      <c r="F27" s="13"/>
      <c r="G27" s="13"/>
    </row>
  </sheetData>
  <phoneticPr fontId="3" type="noConversion"/>
  <hyperlinks>
    <hyperlink ref="A1" location="目錄!A1" display="回到目錄"/>
  </hyperlinks>
  <pageMargins left="0.7" right="0.7" top="0.75" bottom="0.75" header="0.3" footer="0.3"/>
  <pageSetup paperSize="9" orientation="portrait" horizontalDpi="300" verticalDpi="300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1"/>
  <dimension ref="A1:I30"/>
  <sheetViews>
    <sheetView workbookViewId="0">
      <pane ySplit="1" topLeftCell="A2" activePane="bottomLeft" state="frozen"/>
      <selection activeCell="B1" sqref="B1"/>
      <selection pane="bottomLeft"/>
    </sheetView>
  </sheetViews>
  <sheetFormatPr defaultRowHeight="15"/>
  <cols>
    <col min="1" max="1" width="7.453125" style="15" bestFit="1" customWidth="1"/>
    <col min="2" max="2" width="4.36328125" style="14" bestFit="1" customWidth="1"/>
    <col min="3" max="3" width="13.7265625" style="15" bestFit="1" customWidth="1"/>
    <col min="4" max="4" width="11.08984375" style="15" bestFit="1" customWidth="1"/>
    <col min="5" max="5" width="7.54296875" style="14" bestFit="1" customWidth="1"/>
    <col min="6" max="6" width="10" style="15" bestFit="1" customWidth="1"/>
    <col min="7" max="7" width="21" style="15" customWidth="1"/>
    <col min="8" max="8" width="24.81640625" style="15" bestFit="1" customWidth="1"/>
    <col min="9" max="9" width="23.90625" style="15" customWidth="1"/>
    <col min="10" max="16384" width="8.7265625" style="70"/>
  </cols>
  <sheetData>
    <row r="1" spans="1:9">
      <c r="A1" s="63" t="s">
        <v>36</v>
      </c>
      <c r="B1" s="5" t="s">
        <v>5</v>
      </c>
      <c r="C1" s="20" t="s">
        <v>3</v>
      </c>
      <c r="D1" s="20" t="s">
        <v>4</v>
      </c>
      <c r="E1" s="7" t="s">
        <v>6</v>
      </c>
      <c r="F1" s="9" t="s">
        <v>13</v>
      </c>
      <c r="G1" s="9" t="s">
        <v>7</v>
      </c>
      <c r="H1" s="9" t="s">
        <v>8</v>
      </c>
      <c r="I1" s="9" t="s">
        <v>105</v>
      </c>
    </row>
    <row r="2" spans="1:9">
      <c r="B2" s="14" t="s">
        <v>145</v>
      </c>
      <c r="C2" s="15" t="s">
        <v>739</v>
      </c>
      <c r="D2" s="15" t="s">
        <v>741</v>
      </c>
      <c r="G2" s="15" t="s">
        <v>740</v>
      </c>
    </row>
    <row r="3" spans="1:9">
      <c r="B3" s="14" t="s">
        <v>145</v>
      </c>
      <c r="C3" s="15" t="s">
        <v>3719</v>
      </c>
      <c r="D3" s="13" t="s">
        <v>21</v>
      </c>
      <c r="G3" s="15" t="s">
        <v>353</v>
      </c>
      <c r="I3" s="27" t="s">
        <v>265</v>
      </c>
    </row>
    <row r="4" spans="1:9">
      <c r="C4" s="15" t="s">
        <v>363</v>
      </c>
      <c r="D4" s="15" t="s">
        <v>369</v>
      </c>
      <c r="E4" s="14" t="s">
        <v>16</v>
      </c>
      <c r="G4" s="15" t="s">
        <v>354</v>
      </c>
    </row>
    <row r="5" spans="1:9">
      <c r="C5" s="15" t="s">
        <v>364</v>
      </c>
      <c r="D5" s="13" t="s">
        <v>21</v>
      </c>
      <c r="E5" s="14" t="s">
        <v>16</v>
      </c>
      <c r="G5" s="15" t="s">
        <v>355</v>
      </c>
    </row>
    <row r="6" spans="1:9">
      <c r="C6" s="15" t="s">
        <v>3583</v>
      </c>
      <c r="D6" s="15" t="s">
        <v>3586</v>
      </c>
      <c r="E6" s="14" t="s">
        <v>3584</v>
      </c>
      <c r="G6" s="15" t="s">
        <v>3585</v>
      </c>
      <c r="H6" s="15" t="s">
        <v>3587</v>
      </c>
    </row>
    <row r="7" spans="1:9">
      <c r="C7" s="15" t="s">
        <v>365</v>
      </c>
      <c r="D7" s="15" t="s">
        <v>360</v>
      </c>
      <c r="E7" s="14" t="s">
        <v>16</v>
      </c>
      <c r="G7" s="15" t="s">
        <v>356</v>
      </c>
      <c r="H7" s="26" t="s">
        <v>127</v>
      </c>
    </row>
    <row r="8" spans="1:9">
      <c r="C8" s="15" t="s">
        <v>366</v>
      </c>
      <c r="D8" s="15" t="s">
        <v>367</v>
      </c>
      <c r="E8" s="14" t="s">
        <v>16</v>
      </c>
      <c r="G8" s="15" t="s">
        <v>357</v>
      </c>
    </row>
    <row r="9" spans="1:9">
      <c r="C9" s="15" t="s">
        <v>3760</v>
      </c>
      <c r="D9" s="15" t="s">
        <v>367</v>
      </c>
      <c r="E9" s="14" t="s">
        <v>16</v>
      </c>
      <c r="G9" s="15" t="s">
        <v>2955</v>
      </c>
    </row>
    <row r="10" spans="1:9">
      <c r="C10" s="12" t="s">
        <v>121</v>
      </c>
      <c r="D10" s="12" t="s">
        <v>21</v>
      </c>
      <c r="E10" s="14" t="s">
        <v>16</v>
      </c>
      <c r="F10" s="13"/>
      <c r="G10" s="12" t="s">
        <v>122</v>
      </c>
      <c r="I10" s="27" t="s">
        <v>268</v>
      </c>
    </row>
    <row r="11" spans="1:9">
      <c r="C11" s="12" t="s">
        <v>742</v>
      </c>
      <c r="D11" s="12" t="s">
        <v>24</v>
      </c>
      <c r="E11" s="14" t="s">
        <v>16</v>
      </c>
      <c r="F11" s="10"/>
      <c r="G11" s="4" t="s">
        <v>144</v>
      </c>
      <c r="I11" s="27"/>
    </row>
    <row r="12" spans="1:9">
      <c r="C12" s="15" t="s">
        <v>368</v>
      </c>
      <c r="D12" s="12" t="s">
        <v>21</v>
      </c>
      <c r="E12" s="14" t="s">
        <v>16</v>
      </c>
      <c r="G12" s="15" t="s">
        <v>358</v>
      </c>
      <c r="I12" s="27" t="s">
        <v>370</v>
      </c>
    </row>
    <row r="13" spans="1:9">
      <c r="C13" s="13" t="s">
        <v>22</v>
      </c>
      <c r="D13" s="13" t="s">
        <v>21</v>
      </c>
      <c r="E13" s="14" t="s">
        <v>16</v>
      </c>
      <c r="F13" s="12"/>
      <c r="G13" s="22" t="s">
        <v>3605</v>
      </c>
      <c r="I13" s="27" t="s">
        <v>277</v>
      </c>
    </row>
    <row r="14" spans="1:9">
      <c r="C14" s="12" t="s">
        <v>69</v>
      </c>
      <c r="D14" s="12" t="s">
        <v>11</v>
      </c>
      <c r="E14" s="11" t="s">
        <v>16</v>
      </c>
      <c r="F14" s="13" t="s">
        <v>20</v>
      </c>
      <c r="G14" s="12" t="s">
        <v>30</v>
      </c>
    </row>
    <row r="15" spans="1:9">
      <c r="C15" s="12" t="s">
        <v>1</v>
      </c>
      <c r="D15" s="12" t="s">
        <v>37</v>
      </c>
      <c r="E15" s="11"/>
      <c r="F15" s="13"/>
      <c r="G15" s="12" t="s">
        <v>31</v>
      </c>
    </row>
    <row r="16" spans="1:9">
      <c r="C16" s="12" t="s">
        <v>19</v>
      </c>
      <c r="D16" s="12" t="s">
        <v>11</v>
      </c>
      <c r="E16" s="11" t="s">
        <v>16</v>
      </c>
      <c r="F16" s="13" t="s">
        <v>20</v>
      </c>
      <c r="G16" s="12" t="s">
        <v>32</v>
      </c>
    </row>
    <row r="17" spans="3:9">
      <c r="C17" s="12" t="s">
        <v>70</v>
      </c>
      <c r="D17" s="12" t="s">
        <v>37</v>
      </c>
      <c r="E17" s="11"/>
      <c r="F17" s="13"/>
      <c r="G17" s="12" t="s">
        <v>33</v>
      </c>
    </row>
    <row r="21" spans="3:9">
      <c r="C21" s="13"/>
      <c r="D21" s="13"/>
      <c r="E21" s="11"/>
      <c r="G21" s="13"/>
    </row>
    <row r="22" spans="3:9">
      <c r="C22" s="13"/>
      <c r="E22" s="11"/>
      <c r="G22" s="13"/>
      <c r="H22" s="24"/>
      <c r="I22" s="24"/>
    </row>
    <row r="23" spans="3:9">
      <c r="C23" s="13"/>
      <c r="E23" s="11"/>
      <c r="G23" s="13"/>
      <c r="H23" s="24"/>
      <c r="I23" s="24"/>
    </row>
    <row r="24" spans="3:9">
      <c r="C24" s="13"/>
      <c r="E24" s="11"/>
      <c r="G24" s="13"/>
      <c r="H24" s="24"/>
      <c r="I24" s="24"/>
    </row>
    <row r="25" spans="3:9">
      <c r="C25" s="13"/>
      <c r="E25" s="11"/>
      <c r="G25" s="13"/>
      <c r="H25" s="24"/>
      <c r="I25" s="24"/>
    </row>
    <row r="26" spans="3:9">
      <c r="C26" s="13"/>
      <c r="E26" s="11"/>
      <c r="G26" s="13"/>
      <c r="H26" s="24"/>
      <c r="I26" s="24"/>
    </row>
    <row r="27" spans="3:9">
      <c r="C27" s="13"/>
      <c r="D27" s="13"/>
      <c r="E27" s="11"/>
      <c r="F27" s="13"/>
      <c r="G27" s="13"/>
    </row>
    <row r="28" spans="3:9">
      <c r="C28" s="13"/>
      <c r="D28" s="13"/>
      <c r="E28" s="11"/>
      <c r="F28" s="13"/>
      <c r="G28" s="13"/>
    </row>
    <row r="29" spans="3:9">
      <c r="C29" s="13"/>
      <c r="D29" s="13"/>
      <c r="E29" s="11"/>
      <c r="F29" s="13"/>
      <c r="G29" s="13"/>
    </row>
    <row r="30" spans="3:9">
      <c r="C30" s="13"/>
      <c r="D30" s="13"/>
      <c r="E30" s="11"/>
      <c r="F30" s="13"/>
      <c r="G30" s="13"/>
    </row>
  </sheetData>
  <phoneticPr fontId="3" type="noConversion"/>
  <hyperlinks>
    <hyperlink ref="A1" location="目錄!A1" display="回到目錄"/>
  </hyperlinks>
  <pageMargins left="0.7" right="0.7" top="0.75" bottom="0.75" header="0.3" footer="0.3"/>
  <pageSetup paperSize="9" orientation="portrait" horizontalDpi="300" verticalDpi="300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2"/>
  <dimension ref="A1:U71"/>
  <sheetViews>
    <sheetView workbookViewId="0">
      <pane ySplit="1" topLeftCell="A2" activePane="bottomLeft" state="frozen"/>
      <selection activeCell="B1" sqref="B1"/>
      <selection pane="bottomLeft"/>
    </sheetView>
  </sheetViews>
  <sheetFormatPr defaultRowHeight="15"/>
  <cols>
    <col min="1" max="1" width="7.453125" style="15" bestFit="1" customWidth="1"/>
    <col min="2" max="2" width="4.36328125" style="14" bestFit="1" customWidth="1"/>
    <col min="3" max="3" width="23.1796875" style="15" bestFit="1" customWidth="1"/>
    <col min="4" max="4" width="11.08984375" style="15" bestFit="1" customWidth="1"/>
    <col min="5" max="5" width="7.54296875" style="14" bestFit="1" customWidth="1"/>
    <col min="6" max="6" width="10" style="15" bestFit="1" customWidth="1"/>
    <col min="7" max="7" width="22.26953125" style="15" bestFit="1" customWidth="1"/>
    <col min="8" max="8" width="34.1796875" style="15" customWidth="1"/>
    <col min="9" max="9" width="10.08984375" style="15" bestFit="1" customWidth="1"/>
    <col min="10" max="16384" width="8.7265625" style="70"/>
  </cols>
  <sheetData>
    <row r="1" spans="1:21">
      <c r="A1" s="63" t="s">
        <v>36</v>
      </c>
      <c r="B1" s="5" t="s">
        <v>5</v>
      </c>
      <c r="C1" s="20" t="s">
        <v>3</v>
      </c>
      <c r="D1" s="20" t="s">
        <v>4</v>
      </c>
      <c r="E1" s="7" t="s">
        <v>6</v>
      </c>
      <c r="F1" s="9" t="s">
        <v>13</v>
      </c>
      <c r="G1" s="9" t="s">
        <v>7</v>
      </c>
      <c r="H1" s="9" t="s">
        <v>8</v>
      </c>
      <c r="I1" s="9" t="s">
        <v>105</v>
      </c>
    </row>
    <row r="2" spans="1:21">
      <c r="B2" s="14" t="s">
        <v>145</v>
      </c>
      <c r="C2" s="15" t="s">
        <v>739</v>
      </c>
      <c r="D2" s="15" t="s">
        <v>741</v>
      </c>
      <c r="G2" s="15" t="s">
        <v>740</v>
      </c>
    </row>
    <row r="3" spans="1:21">
      <c r="B3" s="14" t="s">
        <v>3006</v>
      </c>
      <c r="C3" s="15" t="s">
        <v>3487</v>
      </c>
      <c r="D3" s="15" t="s">
        <v>373</v>
      </c>
      <c r="G3" s="15" t="s">
        <v>3489</v>
      </c>
    </row>
    <row r="4" spans="1:21">
      <c r="B4" s="14" t="s">
        <v>362</v>
      </c>
      <c r="C4" s="15" t="s">
        <v>3488</v>
      </c>
      <c r="D4" s="15" t="s">
        <v>373</v>
      </c>
      <c r="G4" s="36" t="s">
        <v>3490</v>
      </c>
    </row>
    <row r="5" spans="1:21">
      <c r="C5" s="15" t="s">
        <v>3719</v>
      </c>
      <c r="D5" s="13" t="s">
        <v>21</v>
      </c>
      <c r="G5" s="15" t="s">
        <v>371</v>
      </c>
      <c r="I5" s="27" t="s">
        <v>265</v>
      </c>
    </row>
    <row r="6" spans="1:21">
      <c r="C6" s="15" t="s">
        <v>419</v>
      </c>
      <c r="D6" s="15" t="s">
        <v>112</v>
      </c>
      <c r="F6" s="10"/>
      <c r="G6" s="10" t="s">
        <v>67</v>
      </c>
      <c r="H6" s="34"/>
      <c r="I6" s="27" t="s">
        <v>276</v>
      </c>
    </row>
    <row r="7" spans="1:21">
      <c r="C7" s="13" t="s">
        <v>80</v>
      </c>
      <c r="D7" s="18" t="s">
        <v>24</v>
      </c>
      <c r="E7" s="11"/>
      <c r="F7" s="12"/>
      <c r="G7" s="12" t="s">
        <v>81</v>
      </c>
    </row>
    <row r="8" spans="1:21">
      <c r="C8" s="13" t="s">
        <v>753</v>
      </c>
      <c r="D8" s="18" t="s">
        <v>155</v>
      </c>
      <c r="E8" s="11"/>
      <c r="F8" s="12"/>
      <c r="G8" s="12" t="s">
        <v>754</v>
      </c>
    </row>
    <row r="9" spans="1:21">
      <c r="C9" s="15" t="s">
        <v>3728</v>
      </c>
      <c r="D9" s="15" t="s">
        <v>21</v>
      </c>
      <c r="F9" s="10"/>
      <c r="G9" s="10" t="s">
        <v>78</v>
      </c>
      <c r="H9" s="24"/>
    </row>
    <row r="10" spans="1:21">
      <c r="C10" s="12" t="s">
        <v>86</v>
      </c>
      <c r="D10" s="12" t="s">
        <v>34</v>
      </c>
      <c r="E10" s="14" t="s">
        <v>385</v>
      </c>
      <c r="F10" s="13"/>
      <c r="G10" s="12" t="s">
        <v>87</v>
      </c>
    </row>
    <row r="11" spans="1:21">
      <c r="C11" s="15" t="s">
        <v>3761</v>
      </c>
      <c r="D11" s="15" t="s">
        <v>373</v>
      </c>
      <c r="E11" s="14" t="s">
        <v>385</v>
      </c>
      <c r="G11" s="15" t="s">
        <v>374</v>
      </c>
      <c r="H11" s="36" t="s">
        <v>3650</v>
      </c>
    </row>
    <row r="12" spans="1:21" s="10" customFormat="1" ht="13.8">
      <c r="B12" s="11"/>
      <c r="C12" s="13" t="s">
        <v>3590</v>
      </c>
      <c r="D12" s="18" t="s">
        <v>23</v>
      </c>
      <c r="E12" s="11" t="s">
        <v>16</v>
      </c>
      <c r="F12" s="12"/>
      <c r="G12" s="10" t="s">
        <v>3592</v>
      </c>
      <c r="H12" s="34" t="s">
        <v>3595</v>
      </c>
      <c r="I12" s="27"/>
      <c r="J12" s="29"/>
      <c r="K12" s="29"/>
      <c r="L12" s="36"/>
      <c r="M12" s="36"/>
      <c r="N12" s="36"/>
      <c r="O12" s="36"/>
      <c r="P12" s="36"/>
      <c r="Q12" s="36"/>
      <c r="R12" s="32"/>
      <c r="S12" s="36"/>
      <c r="T12" s="32"/>
      <c r="U12" s="32"/>
    </row>
    <row r="13" spans="1:21">
      <c r="C13" s="15" t="s">
        <v>3722</v>
      </c>
      <c r="D13" s="15" t="s">
        <v>21</v>
      </c>
      <c r="E13" s="14" t="s">
        <v>385</v>
      </c>
      <c r="G13" s="15" t="s">
        <v>3609</v>
      </c>
    </row>
    <row r="14" spans="1:21">
      <c r="C14" s="15" t="s">
        <v>4196</v>
      </c>
      <c r="D14" s="15" t="s">
        <v>44</v>
      </c>
      <c r="E14" s="14" t="s">
        <v>16</v>
      </c>
      <c r="G14" s="15" t="s">
        <v>4199</v>
      </c>
    </row>
    <row r="15" spans="1:21">
      <c r="C15" s="15" t="s">
        <v>3743</v>
      </c>
      <c r="D15" s="15" t="s">
        <v>44</v>
      </c>
      <c r="E15" s="14" t="s">
        <v>16</v>
      </c>
      <c r="G15" s="15" t="s">
        <v>3744</v>
      </c>
    </row>
    <row r="16" spans="1:21">
      <c r="C16" s="15" t="s">
        <v>3745</v>
      </c>
      <c r="D16" s="15" t="s">
        <v>44</v>
      </c>
      <c r="E16" s="14" t="s">
        <v>16</v>
      </c>
      <c r="G16" s="15" t="s">
        <v>3746</v>
      </c>
    </row>
    <row r="17" spans="3:9">
      <c r="C17" s="15" t="s">
        <v>4197</v>
      </c>
      <c r="D17" s="15" t="s">
        <v>44</v>
      </c>
      <c r="E17" s="14" t="s">
        <v>16</v>
      </c>
      <c r="G17" s="15" t="s">
        <v>4200</v>
      </c>
    </row>
    <row r="18" spans="3:9">
      <c r="C18" s="15" t="s">
        <v>4198</v>
      </c>
      <c r="D18" s="15" t="s">
        <v>44</v>
      </c>
      <c r="E18" s="14" t="s">
        <v>16</v>
      </c>
      <c r="G18" s="15" t="s">
        <v>4201</v>
      </c>
    </row>
    <row r="19" spans="3:9">
      <c r="C19" s="12" t="s">
        <v>733</v>
      </c>
      <c r="D19" s="15" t="s">
        <v>375</v>
      </c>
      <c r="E19" s="14" t="s">
        <v>385</v>
      </c>
      <c r="F19" s="13"/>
      <c r="G19" s="10" t="s">
        <v>735</v>
      </c>
    </row>
    <row r="20" spans="3:9">
      <c r="C20" s="12" t="s">
        <v>382</v>
      </c>
      <c r="D20" s="15" t="s">
        <v>375</v>
      </c>
      <c r="E20" s="14" t="s">
        <v>385</v>
      </c>
      <c r="F20" s="13"/>
      <c r="G20" s="10" t="s">
        <v>376</v>
      </c>
    </row>
    <row r="21" spans="3:9">
      <c r="C21" s="15" t="s">
        <v>379</v>
      </c>
      <c r="D21" s="15" t="s">
        <v>381</v>
      </c>
      <c r="E21" s="14" t="s">
        <v>385</v>
      </c>
      <c r="G21" s="15" t="s">
        <v>377</v>
      </c>
      <c r="I21" s="15" t="s">
        <v>2897</v>
      </c>
    </row>
    <row r="22" spans="3:9">
      <c r="C22" s="15" t="s">
        <v>380</v>
      </c>
      <c r="D22" s="15" t="s">
        <v>381</v>
      </c>
      <c r="E22" s="14" t="s">
        <v>385</v>
      </c>
      <c r="G22" s="15" t="s">
        <v>378</v>
      </c>
      <c r="I22" s="15" t="s">
        <v>2897</v>
      </c>
    </row>
    <row r="23" spans="3:9">
      <c r="C23" s="15" t="s">
        <v>737</v>
      </c>
      <c r="D23" s="15" t="s">
        <v>381</v>
      </c>
      <c r="E23" s="14" t="s">
        <v>385</v>
      </c>
      <c r="G23" s="15" t="s">
        <v>736</v>
      </c>
      <c r="I23" s="15" t="s">
        <v>2897</v>
      </c>
    </row>
    <row r="24" spans="3:9">
      <c r="C24" s="10" t="s">
        <v>198</v>
      </c>
      <c r="D24" s="15" t="s">
        <v>381</v>
      </c>
      <c r="E24" s="14" t="s">
        <v>385</v>
      </c>
      <c r="G24" s="10" t="s">
        <v>206</v>
      </c>
      <c r="I24" s="15" t="s">
        <v>336</v>
      </c>
    </row>
    <row r="25" spans="3:9">
      <c r="C25" s="10" t="s">
        <v>2901</v>
      </c>
      <c r="D25" s="15" t="s">
        <v>44</v>
      </c>
      <c r="E25" s="14" t="s">
        <v>16</v>
      </c>
      <c r="F25" s="13"/>
      <c r="G25" s="10" t="s">
        <v>2902</v>
      </c>
    </row>
    <row r="26" spans="3:9">
      <c r="C26" s="10" t="s">
        <v>192</v>
      </c>
      <c r="D26" s="15" t="s">
        <v>375</v>
      </c>
      <c r="E26" s="14" t="s">
        <v>385</v>
      </c>
      <c r="G26" s="10" t="s">
        <v>2977</v>
      </c>
    </row>
    <row r="27" spans="3:9">
      <c r="C27" s="10" t="s">
        <v>3492</v>
      </c>
      <c r="D27" s="15" t="s">
        <v>383</v>
      </c>
      <c r="E27" s="14" t="s">
        <v>385</v>
      </c>
      <c r="G27" s="10" t="s">
        <v>3500</v>
      </c>
      <c r="I27" s="15" t="s">
        <v>337</v>
      </c>
    </row>
    <row r="28" spans="3:9">
      <c r="C28" s="10" t="s">
        <v>3493</v>
      </c>
      <c r="D28" s="15" t="s">
        <v>367</v>
      </c>
      <c r="E28" s="14" t="s">
        <v>91</v>
      </c>
      <c r="G28" s="10" t="s">
        <v>3495</v>
      </c>
    </row>
    <row r="29" spans="3:9">
      <c r="C29" s="10" t="s">
        <v>3494</v>
      </c>
      <c r="D29" s="15" t="s">
        <v>367</v>
      </c>
      <c r="E29" s="14" t="s">
        <v>91</v>
      </c>
      <c r="G29" s="10" t="s">
        <v>3496</v>
      </c>
    </row>
    <row r="30" spans="3:9">
      <c r="C30" s="10" t="s">
        <v>3497</v>
      </c>
      <c r="D30" s="15" t="s">
        <v>3502</v>
      </c>
      <c r="E30" s="14" t="s">
        <v>91</v>
      </c>
      <c r="G30" s="10" t="s">
        <v>3501</v>
      </c>
    </row>
    <row r="31" spans="3:9">
      <c r="C31" s="10" t="s">
        <v>199</v>
      </c>
      <c r="D31" s="15" t="s">
        <v>383</v>
      </c>
      <c r="E31" s="14" t="s">
        <v>385</v>
      </c>
      <c r="G31" s="10" t="s">
        <v>346</v>
      </c>
      <c r="I31" s="15" t="s">
        <v>338</v>
      </c>
    </row>
    <row r="32" spans="3:9">
      <c r="C32" s="10" t="s">
        <v>3405</v>
      </c>
      <c r="D32" s="15" t="s">
        <v>44</v>
      </c>
      <c r="E32" s="14" t="s">
        <v>16</v>
      </c>
      <c r="G32" s="10" t="s">
        <v>3404</v>
      </c>
    </row>
    <row r="33" spans="1:9">
      <c r="C33" s="10" t="s">
        <v>193</v>
      </c>
      <c r="D33" s="15" t="s">
        <v>383</v>
      </c>
      <c r="E33" s="14" t="s">
        <v>385</v>
      </c>
      <c r="G33" s="10" t="s">
        <v>207</v>
      </c>
    </row>
    <row r="34" spans="1:9">
      <c r="C34" s="10" t="s">
        <v>200</v>
      </c>
      <c r="D34" s="15" t="s">
        <v>373</v>
      </c>
      <c r="E34" s="14" t="s">
        <v>385</v>
      </c>
      <c r="G34" s="10" t="s">
        <v>384</v>
      </c>
    </row>
    <row r="35" spans="1:9">
      <c r="C35" s="10" t="s">
        <v>2903</v>
      </c>
      <c r="D35" s="15" t="s">
        <v>383</v>
      </c>
      <c r="E35" s="14" t="s">
        <v>385</v>
      </c>
      <c r="G35" s="10" t="s">
        <v>2906</v>
      </c>
    </row>
    <row r="36" spans="1:9">
      <c r="C36" s="10" t="s">
        <v>2904</v>
      </c>
      <c r="D36" s="15" t="s">
        <v>34</v>
      </c>
      <c r="E36" s="14" t="s">
        <v>16</v>
      </c>
      <c r="G36" s="10" t="s">
        <v>2907</v>
      </c>
    </row>
    <row r="37" spans="1:9">
      <c r="C37" s="10" t="s">
        <v>2908</v>
      </c>
      <c r="D37" s="15" t="s">
        <v>23</v>
      </c>
      <c r="E37" s="14" t="s">
        <v>16</v>
      </c>
      <c r="G37" s="10" t="s">
        <v>2909</v>
      </c>
    </row>
    <row r="38" spans="1:9">
      <c r="C38" s="10" t="s">
        <v>195</v>
      </c>
      <c r="D38" s="15" t="s">
        <v>383</v>
      </c>
      <c r="E38" s="14" t="s">
        <v>385</v>
      </c>
      <c r="G38" s="10" t="s">
        <v>2905</v>
      </c>
    </row>
    <row r="39" spans="1:9">
      <c r="C39" s="10" t="s">
        <v>196</v>
      </c>
      <c r="D39" s="15" t="s">
        <v>383</v>
      </c>
      <c r="E39" s="14" t="s">
        <v>385</v>
      </c>
      <c r="G39" s="10" t="s">
        <v>259</v>
      </c>
    </row>
    <row r="40" spans="1:9">
      <c r="C40" s="10" t="s">
        <v>194</v>
      </c>
      <c r="D40" s="15" t="s">
        <v>373</v>
      </c>
      <c r="E40" s="14" t="s">
        <v>385</v>
      </c>
      <c r="G40" s="10" t="s">
        <v>345</v>
      </c>
    </row>
    <row r="41" spans="1:9">
      <c r="C41" s="10" t="s">
        <v>203</v>
      </c>
      <c r="D41" s="15" t="s">
        <v>34</v>
      </c>
      <c r="E41" s="14" t="s">
        <v>385</v>
      </c>
      <c r="G41" s="10" t="s">
        <v>210</v>
      </c>
    </row>
    <row r="42" spans="1:9">
      <c r="C42" s="10" t="s">
        <v>201</v>
      </c>
      <c r="D42" s="15" t="s">
        <v>34</v>
      </c>
      <c r="E42" s="14" t="s">
        <v>385</v>
      </c>
      <c r="G42" s="10" t="s">
        <v>208</v>
      </c>
    </row>
    <row r="43" spans="1:9">
      <c r="C43" s="10" t="s">
        <v>202</v>
      </c>
      <c r="D43" s="15" t="s">
        <v>21</v>
      </c>
      <c r="E43" s="14" t="s">
        <v>385</v>
      </c>
      <c r="G43" s="10" t="s">
        <v>209</v>
      </c>
      <c r="I43" s="15" t="s">
        <v>339</v>
      </c>
    </row>
    <row r="44" spans="1:9" s="136" customFormat="1">
      <c r="A44" s="133"/>
      <c r="B44" s="134"/>
      <c r="C44" s="135" t="s">
        <v>4709</v>
      </c>
      <c r="D44" s="133" t="s">
        <v>4931</v>
      </c>
      <c r="E44" s="134" t="s">
        <v>16</v>
      </c>
      <c r="F44" s="133"/>
      <c r="G44" s="135" t="s">
        <v>4929</v>
      </c>
      <c r="H44" s="133"/>
      <c r="I44" s="133"/>
    </row>
    <row r="45" spans="1:9" s="136" customFormat="1">
      <c r="A45" s="133"/>
      <c r="B45" s="134"/>
      <c r="C45" s="135" t="s">
        <v>4933</v>
      </c>
      <c r="D45" s="133" t="s">
        <v>44</v>
      </c>
      <c r="E45" s="134" t="s">
        <v>16</v>
      </c>
      <c r="F45" s="133"/>
      <c r="G45" s="135" t="s">
        <v>4735</v>
      </c>
      <c r="H45" s="133"/>
      <c r="I45" s="133"/>
    </row>
    <row r="46" spans="1:9" s="136" customFormat="1">
      <c r="A46" s="133"/>
      <c r="B46" s="134"/>
      <c r="C46" s="135" t="s">
        <v>4934</v>
      </c>
      <c r="D46" s="133" t="s">
        <v>34</v>
      </c>
      <c r="E46" s="134" t="s">
        <v>16</v>
      </c>
      <c r="F46" s="133"/>
      <c r="G46" s="135" t="s">
        <v>4736</v>
      </c>
      <c r="H46" s="133"/>
      <c r="I46" s="133"/>
    </row>
    <row r="47" spans="1:9" s="136" customFormat="1">
      <c r="A47" s="133"/>
      <c r="B47" s="134"/>
      <c r="C47" s="135" t="s">
        <v>4935</v>
      </c>
      <c r="D47" s="133" t="s">
        <v>21</v>
      </c>
      <c r="E47" s="134" t="s">
        <v>16</v>
      </c>
      <c r="F47" s="133"/>
      <c r="G47" s="135" t="s">
        <v>4930</v>
      </c>
      <c r="H47" s="133"/>
      <c r="I47" s="133" t="s">
        <v>4932</v>
      </c>
    </row>
    <row r="48" spans="1:9" s="136" customFormat="1">
      <c r="A48" s="133"/>
      <c r="B48" s="134"/>
      <c r="C48" s="135" t="s">
        <v>4936</v>
      </c>
      <c r="D48" s="133" t="s">
        <v>34</v>
      </c>
      <c r="E48" s="134" t="s">
        <v>16</v>
      </c>
      <c r="F48" s="133"/>
      <c r="G48" s="135" t="s">
        <v>4737</v>
      </c>
      <c r="H48" s="133"/>
      <c r="I48" s="133"/>
    </row>
    <row r="49" spans="1:9" s="136" customFormat="1">
      <c r="A49" s="133"/>
      <c r="B49" s="134"/>
      <c r="C49" s="135" t="s">
        <v>4748</v>
      </c>
      <c r="D49" s="133" t="s">
        <v>44</v>
      </c>
      <c r="E49" s="134" t="s">
        <v>16</v>
      </c>
      <c r="F49" s="133"/>
      <c r="G49" s="135" t="s">
        <v>4738</v>
      </c>
      <c r="H49" s="133"/>
      <c r="I49" s="133"/>
    </row>
    <row r="50" spans="1:9" s="136" customFormat="1">
      <c r="A50" s="133"/>
      <c r="B50" s="134"/>
      <c r="C50" s="135" t="s">
        <v>4749</v>
      </c>
      <c r="D50" s="133" t="s">
        <v>44</v>
      </c>
      <c r="E50" s="134" t="s">
        <v>16</v>
      </c>
      <c r="F50" s="133"/>
      <c r="G50" s="135" t="s">
        <v>4739</v>
      </c>
      <c r="H50" s="133"/>
      <c r="I50" s="133"/>
    </row>
    <row r="51" spans="1:9" s="136" customFormat="1">
      <c r="A51" s="133"/>
      <c r="B51" s="134"/>
      <c r="C51" s="135" t="s">
        <v>4750</v>
      </c>
      <c r="D51" s="133" t="s">
        <v>44</v>
      </c>
      <c r="E51" s="134" t="s">
        <v>16</v>
      </c>
      <c r="F51" s="133"/>
      <c r="G51" s="135" t="s">
        <v>4740</v>
      </c>
      <c r="H51" s="133"/>
      <c r="I51" s="133"/>
    </row>
    <row r="52" spans="1:9" s="136" customFormat="1">
      <c r="A52" s="133"/>
      <c r="B52" s="134"/>
      <c r="C52" s="135" t="s">
        <v>4751</v>
      </c>
      <c r="D52" s="133" t="s">
        <v>44</v>
      </c>
      <c r="E52" s="134" t="s">
        <v>16</v>
      </c>
      <c r="F52" s="133"/>
      <c r="G52" s="135" t="s">
        <v>4741</v>
      </c>
      <c r="H52" s="133"/>
      <c r="I52" s="133"/>
    </row>
    <row r="53" spans="1:9" s="136" customFormat="1">
      <c r="A53" s="133"/>
      <c r="B53" s="134"/>
      <c r="C53" s="135" t="s">
        <v>4752</v>
      </c>
      <c r="D53" s="133" t="s">
        <v>44</v>
      </c>
      <c r="E53" s="134" t="s">
        <v>16</v>
      </c>
      <c r="F53" s="133"/>
      <c r="G53" s="135" t="s">
        <v>4742</v>
      </c>
      <c r="H53" s="133"/>
      <c r="I53" s="133"/>
    </row>
    <row r="54" spans="1:9" s="136" customFormat="1">
      <c r="A54" s="133"/>
      <c r="B54" s="134"/>
      <c r="C54" s="135" t="s">
        <v>4753</v>
      </c>
      <c r="D54" s="133" t="s">
        <v>44</v>
      </c>
      <c r="E54" s="134" t="s">
        <v>16</v>
      </c>
      <c r="F54" s="133"/>
      <c r="G54" s="135" t="s">
        <v>4743</v>
      </c>
      <c r="H54" s="133"/>
      <c r="I54" s="133"/>
    </row>
    <row r="55" spans="1:9">
      <c r="C55" s="12" t="s">
        <v>69</v>
      </c>
      <c r="D55" s="12" t="s">
        <v>11</v>
      </c>
      <c r="E55" s="11" t="s">
        <v>16</v>
      </c>
      <c r="F55" s="13" t="s">
        <v>20</v>
      </c>
      <c r="G55" s="12" t="s">
        <v>30</v>
      </c>
    </row>
    <row r="56" spans="1:9">
      <c r="C56" s="12" t="s">
        <v>1</v>
      </c>
      <c r="D56" s="12" t="s">
        <v>37</v>
      </c>
      <c r="E56" s="11"/>
      <c r="F56" s="13"/>
      <c r="G56" s="12" t="s">
        <v>31</v>
      </c>
    </row>
    <row r="57" spans="1:9">
      <c r="C57" s="12" t="s">
        <v>19</v>
      </c>
      <c r="D57" s="12" t="s">
        <v>11</v>
      </c>
      <c r="E57" s="11" t="s">
        <v>16</v>
      </c>
      <c r="F57" s="13" t="s">
        <v>20</v>
      </c>
      <c r="G57" s="12" t="s">
        <v>32</v>
      </c>
    </row>
    <row r="58" spans="1:9">
      <c r="C58" s="12" t="s">
        <v>70</v>
      </c>
      <c r="D58" s="12" t="s">
        <v>37</v>
      </c>
      <c r="E58" s="11"/>
      <c r="F58" s="13"/>
      <c r="G58" s="12" t="s">
        <v>33</v>
      </c>
    </row>
    <row r="62" spans="1:9">
      <c r="C62" s="13"/>
      <c r="D62" s="13"/>
      <c r="E62" s="11"/>
      <c r="G62" s="13"/>
    </row>
    <row r="63" spans="1:9">
      <c r="C63" s="13"/>
      <c r="E63" s="11"/>
      <c r="G63" s="13"/>
      <c r="H63" s="24"/>
      <c r="I63" s="24"/>
    </row>
    <row r="64" spans="1:9">
      <c r="C64" s="13"/>
      <c r="E64" s="11"/>
      <c r="G64" s="13"/>
      <c r="H64" s="24"/>
      <c r="I64" s="24"/>
    </row>
    <row r="65" spans="3:9">
      <c r="C65" s="13"/>
      <c r="E65" s="11"/>
      <c r="G65" s="13"/>
      <c r="H65" s="24"/>
      <c r="I65" s="24"/>
    </row>
    <row r="66" spans="3:9">
      <c r="C66" s="13"/>
      <c r="E66" s="11"/>
      <c r="G66" s="13"/>
      <c r="H66" s="24"/>
      <c r="I66" s="24"/>
    </row>
    <row r="67" spans="3:9">
      <c r="C67" s="13"/>
      <c r="E67" s="11"/>
      <c r="G67" s="13"/>
      <c r="H67" s="24"/>
      <c r="I67" s="24"/>
    </row>
    <row r="68" spans="3:9">
      <c r="C68" s="13"/>
      <c r="D68" s="13"/>
      <c r="E68" s="11"/>
      <c r="F68" s="13"/>
      <c r="G68" s="13"/>
    </row>
    <row r="69" spans="3:9">
      <c r="C69" s="13"/>
      <c r="D69" s="13"/>
      <c r="E69" s="11"/>
      <c r="F69" s="13"/>
      <c r="G69" s="13"/>
    </row>
    <row r="70" spans="3:9">
      <c r="C70" s="13"/>
      <c r="D70" s="13"/>
      <c r="E70" s="11"/>
      <c r="F70" s="13"/>
      <c r="G70" s="13"/>
    </row>
    <row r="71" spans="3:9">
      <c r="C71" s="13"/>
      <c r="D71" s="13"/>
      <c r="E71" s="11"/>
      <c r="F71" s="13"/>
      <c r="G71" s="13"/>
    </row>
  </sheetData>
  <phoneticPr fontId="3" type="noConversion"/>
  <hyperlinks>
    <hyperlink ref="A1" location="目錄!A1" display="回到目錄"/>
  </hyperlinks>
  <pageMargins left="0.7" right="0.7" top="0.75" bottom="0.75" header="0.3" footer="0.3"/>
  <pageSetup paperSize="9" orientation="portrait" horizontalDpi="300" verticalDpi="300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1"/>
  <dimension ref="A1:I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.453125" style="15" bestFit="1" customWidth="1"/>
    <col min="2" max="2" width="4.36328125" style="14" bestFit="1" customWidth="1"/>
    <col min="3" max="3" width="19.6328125" style="15" bestFit="1" customWidth="1"/>
    <col min="4" max="4" width="11" style="15" bestFit="1" customWidth="1"/>
    <col min="5" max="5" width="7.54296875" style="14" bestFit="1" customWidth="1"/>
    <col min="6" max="6" width="10" style="15" bestFit="1" customWidth="1"/>
    <col min="7" max="7" width="13.90625" style="15" bestFit="1" customWidth="1"/>
    <col min="8" max="8" width="16.54296875" style="15" customWidth="1"/>
    <col min="9" max="9" width="10.08984375" style="15" bestFit="1" customWidth="1"/>
    <col min="10" max="16384" width="8.7265625" style="70"/>
  </cols>
  <sheetData>
    <row r="1" spans="1:9">
      <c r="A1" s="63" t="s">
        <v>36</v>
      </c>
      <c r="B1" s="5" t="s">
        <v>5</v>
      </c>
      <c r="C1" s="20" t="s">
        <v>3</v>
      </c>
      <c r="D1" s="20" t="s">
        <v>4</v>
      </c>
      <c r="E1" s="7" t="s">
        <v>6</v>
      </c>
      <c r="F1" s="9" t="s">
        <v>13</v>
      </c>
      <c r="G1" s="9" t="s">
        <v>7</v>
      </c>
      <c r="H1" s="9" t="s">
        <v>8</v>
      </c>
      <c r="I1" s="9" t="s">
        <v>105</v>
      </c>
    </row>
    <row r="2" spans="1:9">
      <c r="B2" s="14" t="s">
        <v>14</v>
      </c>
      <c r="C2" s="15" t="s">
        <v>739</v>
      </c>
      <c r="D2" s="15" t="s">
        <v>741</v>
      </c>
      <c r="G2" s="15" t="s">
        <v>740</v>
      </c>
    </row>
    <row r="3" spans="1:9">
      <c r="B3" s="14" t="s">
        <v>14</v>
      </c>
      <c r="C3" s="15" t="s">
        <v>3487</v>
      </c>
      <c r="D3" s="15" t="s">
        <v>92</v>
      </c>
      <c r="G3" s="15" t="s">
        <v>3489</v>
      </c>
    </row>
    <row r="4" spans="1:9">
      <c r="B4" s="14" t="s">
        <v>14</v>
      </c>
      <c r="C4" s="15" t="s">
        <v>3488</v>
      </c>
      <c r="D4" s="15" t="s">
        <v>92</v>
      </c>
      <c r="G4" s="36" t="s">
        <v>3490</v>
      </c>
    </row>
    <row r="5" spans="1:9">
      <c r="B5" s="14" t="s">
        <v>14</v>
      </c>
      <c r="C5" s="29" t="s">
        <v>156</v>
      </c>
      <c r="D5" s="13" t="s">
        <v>21</v>
      </c>
      <c r="E5" s="11"/>
      <c r="F5" s="12"/>
      <c r="G5" s="12" t="s">
        <v>25</v>
      </c>
      <c r="H5" s="16"/>
      <c r="I5" s="27" t="s">
        <v>271</v>
      </c>
    </row>
    <row r="6" spans="1:9">
      <c r="C6" s="15" t="s">
        <v>3762</v>
      </c>
      <c r="D6" s="15" t="s">
        <v>284</v>
      </c>
      <c r="E6" s="14" t="s">
        <v>16</v>
      </c>
      <c r="G6" s="15" t="s">
        <v>745</v>
      </c>
    </row>
    <row r="7" spans="1:9">
      <c r="C7" s="15" t="s">
        <v>3763</v>
      </c>
      <c r="D7" s="15" t="s">
        <v>284</v>
      </c>
      <c r="E7" s="14" t="s">
        <v>16</v>
      </c>
      <c r="G7" s="15" t="s">
        <v>746</v>
      </c>
    </row>
    <row r="8" spans="1:9">
      <c r="C8" s="15" t="s">
        <v>3764</v>
      </c>
      <c r="D8" s="15" t="s">
        <v>284</v>
      </c>
      <c r="E8" s="14" t="s">
        <v>16</v>
      </c>
      <c r="G8" s="10" t="s">
        <v>747</v>
      </c>
    </row>
    <row r="9" spans="1:9">
      <c r="C9" s="15" t="s">
        <v>3765</v>
      </c>
      <c r="D9" s="15" t="s">
        <v>284</v>
      </c>
      <c r="E9" s="14" t="s">
        <v>16</v>
      </c>
      <c r="G9" s="10" t="s">
        <v>748</v>
      </c>
    </row>
    <row r="10" spans="1:9">
      <c r="C10" s="12" t="s">
        <v>69</v>
      </c>
      <c r="D10" s="12" t="s">
        <v>11</v>
      </c>
      <c r="E10" s="11" t="s">
        <v>16</v>
      </c>
      <c r="F10" s="13" t="s">
        <v>20</v>
      </c>
      <c r="G10" s="12" t="s">
        <v>30</v>
      </c>
    </row>
    <row r="11" spans="1:9">
      <c r="C11" s="12" t="s">
        <v>1</v>
      </c>
      <c r="D11" s="12" t="s">
        <v>37</v>
      </c>
      <c r="E11" s="11"/>
      <c r="F11" s="13"/>
      <c r="G11" s="12" t="s">
        <v>31</v>
      </c>
    </row>
    <row r="12" spans="1:9">
      <c r="C12" s="12" t="s">
        <v>19</v>
      </c>
      <c r="D12" s="12" t="s">
        <v>11</v>
      </c>
      <c r="E12" s="11" t="s">
        <v>16</v>
      </c>
      <c r="F12" s="13" t="s">
        <v>20</v>
      </c>
      <c r="G12" s="12" t="s">
        <v>32</v>
      </c>
    </row>
    <row r="13" spans="1:9">
      <c r="C13" s="12" t="s">
        <v>70</v>
      </c>
      <c r="D13" s="12" t="s">
        <v>37</v>
      </c>
      <c r="E13" s="11"/>
      <c r="F13" s="13"/>
      <c r="G13" s="12" t="s">
        <v>33</v>
      </c>
    </row>
    <row r="17" spans="3:9">
      <c r="C17" s="13"/>
      <c r="D17" s="13"/>
      <c r="E17" s="11"/>
      <c r="G17" s="13"/>
    </row>
    <row r="18" spans="3:9">
      <c r="C18" s="13"/>
      <c r="E18" s="11"/>
      <c r="G18" s="13"/>
      <c r="H18" s="24"/>
      <c r="I18" s="24"/>
    </row>
    <row r="19" spans="3:9">
      <c r="C19" s="13"/>
      <c r="E19" s="11"/>
      <c r="G19" s="13"/>
      <c r="H19" s="24"/>
      <c r="I19" s="24"/>
    </row>
    <row r="20" spans="3:9">
      <c r="C20" s="13"/>
      <c r="E20" s="11"/>
      <c r="G20" s="13"/>
      <c r="H20" s="24"/>
      <c r="I20" s="24"/>
    </row>
    <row r="21" spans="3:9">
      <c r="C21" s="13"/>
      <c r="E21" s="11"/>
      <c r="G21" s="13"/>
      <c r="H21" s="24"/>
      <c r="I21" s="24"/>
    </row>
    <row r="22" spans="3:9">
      <c r="C22" s="13"/>
      <c r="E22" s="11"/>
      <c r="G22" s="13"/>
      <c r="H22" s="24"/>
      <c r="I22" s="24"/>
    </row>
    <row r="23" spans="3:9">
      <c r="C23" s="13"/>
      <c r="D23" s="13"/>
      <c r="E23" s="11"/>
      <c r="F23" s="13"/>
      <c r="G23" s="13"/>
    </row>
    <row r="24" spans="3:9">
      <c r="C24" s="13"/>
      <c r="D24" s="13"/>
      <c r="E24" s="11"/>
      <c r="F24" s="13"/>
      <c r="G24" s="13"/>
    </row>
    <row r="25" spans="3:9">
      <c r="C25" s="13"/>
      <c r="D25" s="13"/>
      <c r="E25" s="11"/>
      <c r="F25" s="13"/>
      <c r="G25" s="13"/>
    </row>
    <row r="26" spans="3:9">
      <c r="C26" s="13"/>
      <c r="D26" s="13"/>
      <c r="E26" s="11"/>
      <c r="F26" s="13"/>
      <c r="G26" s="13"/>
    </row>
  </sheetData>
  <phoneticPr fontId="3" type="noConversion"/>
  <hyperlinks>
    <hyperlink ref="A1" location="目錄!A1" display="回到目錄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/>
  </sheetViews>
  <sheetFormatPr defaultRowHeight="15"/>
  <cols>
    <col min="1" max="1" width="7.453125" style="15" bestFit="1" customWidth="1"/>
    <col min="2" max="2" width="4.36328125" style="14" bestFit="1" customWidth="1"/>
    <col min="3" max="3" width="19.6328125" style="15" bestFit="1" customWidth="1"/>
    <col min="4" max="4" width="11" style="15" bestFit="1" customWidth="1"/>
    <col min="5" max="5" width="7.54296875" style="14" bestFit="1" customWidth="1"/>
    <col min="6" max="6" width="10" style="15" bestFit="1" customWidth="1"/>
    <col min="7" max="7" width="13.90625" style="15" bestFit="1" customWidth="1"/>
    <col min="8" max="8" width="16.54296875" style="15" customWidth="1"/>
    <col min="9" max="9" width="10.08984375" style="15" bestFit="1" customWidth="1"/>
    <col min="10" max="16384" width="8.7265625" style="70"/>
  </cols>
  <sheetData>
    <row r="1" spans="1:9">
      <c r="A1" s="63" t="s">
        <v>36</v>
      </c>
      <c r="B1" s="5" t="s">
        <v>5</v>
      </c>
      <c r="C1" s="20" t="s">
        <v>3</v>
      </c>
      <c r="D1" s="20" t="s">
        <v>4</v>
      </c>
      <c r="E1" s="7" t="s">
        <v>6</v>
      </c>
      <c r="F1" s="9" t="s">
        <v>13</v>
      </c>
      <c r="G1" s="9" t="s">
        <v>7</v>
      </c>
      <c r="H1" s="9" t="s">
        <v>8</v>
      </c>
      <c r="I1" s="9" t="s">
        <v>105</v>
      </c>
    </row>
    <row r="2" spans="1:9">
      <c r="B2" s="14" t="s">
        <v>14</v>
      </c>
      <c r="C2" s="15" t="s">
        <v>739</v>
      </c>
      <c r="D2" s="15" t="s">
        <v>741</v>
      </c>
      <c r="G2" s="15" t="s">
        <v>740</v>
      </c>
    </row>
    <row r="3" spans="1:9">
      <c r="B3" s="14" t="s">
        <v>14</v>
      </c>
      <c r="C3" s="15" t="s">
        <v>3487</v>
      </c>
      <c r="D3" s="15" t="s">
        <v>23</v>
      </c>
      <c r="G3" s="15" t="s">
        <v>3489</v>
      </c>
    </row>
    <row r="4" spans="1:9">
      <c r="B4" s="14" t="s">
        <v>14</v>
      </c>
      <c r="C4" s="15" t="s">
        <v>3488</v>
      </c>
      <c r="D4" s="15" t="s">
        <v>23</v>
      </c>
      <c r="G4" s="36" t="s">
        <v>3490</v>
      </c>
    </row>
    <row r="5" spans="1:9">
      <c r="B5" s="14" t="s">
        <v>14</v>
      </c>
      <c r="C5" s="15" t="s">
        <v>4939</v>
      </c>
      <c r="D5" s="15" t="s">
        <v>23</v>
      </c>
      <c r="G5" s="15" t="s">
        <v>4940</v>
      </c>
    </row>
    <row r="6" spans="1:9">
      <c r="C6" s="15" t="s">
        <v>171</v>
      </c>
      <c r="D6" s="18" t="s">
        <v>24</v>
      </c>
      <c r="G6" s="10" t="s">
        <v>4719</v>
      </c>
    </row>
    <row r="7" spans="1:9">
      <c r="C7" s="15" t="s">
        <v>3008</v>
      </c>
      <c r="D7" s="18" t="s">
        <v>147</v>
      </c>
      <c r="G7" s="10" t="s">
        <v>4941</v>
      </c>
    </row>
    <row r="8" spans="1:9">
      <c r="C8" s="12" t="s">
        <v>69</v>
      </c>
      <c r="D8" s="12" t="s">
        <v>11</v>
      </c>
      <c r="E8" s="11" t="s">
        <v>16</v>
      </c>
      <c r="F8" s="13" t="s">
        <v>20</v>
      </c>
      <c r="G8" s="12" t="s">
        <v>30</v>
      </c>
    </row>
    <row r="9" spans="1:9">
      <c r="C9" s="12" t="s">
        <v>1</v>
      </c>
      <c r="D9" s="12" t="s">
        <v>37</v>
      </c>
      <c r="E9" s="11"/>
      <c r="F9" s="13"/>
      <c r="G9" s="12" t="s">
        <v>31</v>
      </c>
    </row>
    <row r="10" spans="1:9">
      <c r="C10" s="12" t="s">
        <v>19</v>
      </c>
      <c r="D10" s="12" t="s">
        <v>11</v>
      </c>
      <c r="E10" s="11" t="s">
        <v>16</v>
      </c>
      <c r="F10" s="13" t="s">
        <v>20</v>
      </c>
      <c r="G10" s="12" t="s">
        <v>32</v>
      </c>
    </row>
    <row r="11" spans="1:9">
      <c r="C11" s="12" t="s">
        <v>70</v>
      </c>
      <c r="D11" s="12" t="s">
        <v>37</v>
      </c>
      <c r="E11" s="11"/>
      <c r="F11" s="13"/>
      <c r="G11" s="12" t="s">
        <v>33</v>
      </c>
    </row>
    <row r="15" spans="1:9">
      <c r="C15" s="13"/>
      <c r="D15" s="13"/>
      <c r="E15" s="11"/>
      <c r="G15" s="13"/>
    </row>
    <row r="16" spans="1:9">
      <c r="C16" s="13"/>
      <c r="E16" s="11"/>
      <c r="G16" s="13"/>
      <c r="H16" s="24"/>
      <c r="I16" s="24"/>
    </row>
    <row r="17" spans="3:9">
      <c r="C17" s="13"/>
      <c r="E17" s="11"/>
      <c r="G17" s="13"/>
      <c r="H17" s="24"/>
      <c r="I17" s="24"/>
    </row>
    <row r="18" spans="3:9">
      <c r="C18" s="13"/>
      <c r="E18" s="11"/>
      <c r="G18" s="13"/>
      <c r="H18" s="24"/>
      <c r="I18" s="24"/>
    </row>
    <row r="19" spans="3:9">
      <c r="C19" s="13"/>
      <c r="E19" s="11"/>
      <c r="G19" s="13"/>
      <c r="H19" s="24"/>
      <c r="I19" s="24"/>
    </row>
    <row r="20" spans="3:9">
      <c r="C20" s="13"/>
      <c r="E20" s="11"/>
      <c r="G20" s="13"/>
      <c r="H20" s="24"/>
      <c r="I20" s="24"/>
    </row>
    <row r="21" spans="3:9">
      <c r="C21" s="13"/>
      <c r="D21" s="13"/>
      <c r="E21" s="11"/>
      <c r="F21" s="13"/>
      <c r="G21" s="13"/>
    </row>
    <row r="22" spans="3:9">
      <c r="C22" s="13"/>
      <c r="D22" s="13"/>
      <c r="E22" s="11"/>
      <c r="F22" s="13"/>
      <c r="G22" s="13"/>
    </row>
    <row r="23" spans="3:9">
      <c r="C23" s="13"/>
      <c r="D23" s="13"/>
      <c r="E23" s="11"/>
      <c r="F23" s="13"/>
      <c r="G23" s="13"/>
    </row>
    <row r="24" spans="3:9">
      <c r="C24" s="13"/>
      <c r="D24" s="13"/>
      <c r="E24" s="11"/>
      <c r="F24" s="13"/>
      <c r="G24" s="13"/>
    </row>
  </sheetData>
  <phoneticPr fontId="3" type="noConversion"/>
  <hyperlinks>
    <hyperlink ref="A1" location="目錄!A1" display="回到目錄"/>
  </hyperlinks>
  <pageMargins left="0.7" right="0.7" top="0.75" bottom="0.75" header="0.3" footer="0.3"/>
  <pageSetup paperSize="9" orientation="portrait" horizontalDpi="300" verticalDpi="300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3"/>
  <dimension ref="A1:I18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" width="7.453125" style="10" bestFit="1" customWidth="1"/>
    <col min="2" max="2" width="4.36328125" style="10" bestFit="1" customWidth="1"/>
    <col min="3" max="3" width="13.36328125" style="10" bestFit="1" customWidth="1"/>
    <col min="4" max="4" width="11.08984375" style="10" bestFit="1" customWidth="1"/>
    <col min="5" max="5" width="7.54296875" style="10" bestFit="1" customWidth="1"/>
    <col min="6" max="6" width="10" style="10" bestFit="1" customWidth="1"/>
    <col min="7" max="7" width="13.90625" style="10" bestFit="1" customWidth="1"/>
    <col min="8" max="8" width="56.6328125" style="10" bestFit="1" customWidth="1"/>
    <col min="9" max="9" width="10.08984375" style="10" bestFit="1" customWidth="1"/>
    <col min="10" max="16384" width="8.7265625" style="10"/>
  </cols>
  <sheetData>
    <row r="1" spans="1:9">
      <c r="A1" s="63" t="s">
        <v>36</v>
      </c>
      <c r="B1" s="5" t="s">
        <v>5</v>
      </c>
      <c r="C1" s="20" t="s">
        <v>3</v>
      </c>
      <c r="D1" s="20" t="s">
        <v>4</v>
      </c>
      <c r="E1" s="7" t="s">
        <v>6</v>
      </c>
      <c r="F1" s="9" t="s">
        <v>13</v>
      </c>
      <c r="G1" s="9" t="s">
        <v>7</v>
      </c>
      <c r="H1" s="9" t="s">
        <v>8</v>
      </c>
      <c r="I1" s="9" t="s">
        <v>105</v>
      </c>
    </row>
    <row r="2" spans="1:9">
      <c r="A2" s="15"/>
      <c r="B2" s="14" t="s">
        <v>14</v>
      </c>
      <c r="C2" s="15" t="s">
        <v>2919</v>
      </c>
      <c r="D2" s="15" t="s">
        <v>741</v>
      </c>
      <c r="E2" s="14"/>
      <c r="F2" s="15"/>
      <c r="G2" s="15" t="s">
        <v>2920</v>
      </c>
      <c r="H2" s="24" t="s">
        <v>2922</v>
      </c>
      <c r="I2" s="15"/>
    </row>
    <row r="3" spans="1:9" ht="41.4">
      <c r="A3" s="15"/>
      <c r="B3" s="14"/>
      <c r="C3" s="15" t="s">
        <v>407</v>
      </c>
      <c r="D3" s="15" t="s">
        <v>4190</v>
      </c>
      <c r="E3" s="14"/>
      <c r="F3" s="15"/>
      <c r="G3" s="15" t="s">
        <v>411</v>
      </c>
      <c r="H3" s="24" t="s">
        <v>3578</v>
      </c>
      <c r="I3" s="15"/>
    </row>
    <row r="4" spans="1:9" s="32" customFormat="1" ht="41.4">
      <c r="A4" s="36"/>
      <c r="B4" s="41"/>
      <c r="C4" s="36" t="s">
        <v>3537</v>
      </c>
      <c r="D4" s="36" t="s">
        <v>3416</v>
      </c>
      <c r="E4" s="41"/>
      <c r="F4" s="36"/>
      <c r="G4" s="36" t="s">
        <v>3538</v>
      </c>
      <c r="H4" s="34" t="s">
        <v>3539</v>
      </c>
      <c r="I4" s="36" t="s">
        <v>273</v>
      </c>
    </row>
    <row r="5" spans="1:9">
      <c r="A5" s="15"/>
      <c r="B5" s="14"/>
      <c r="C5" s="15" t="s">
        <v>363</v>
      </c>
      <c r="D5" s="15" t="s">
        <v>232</v>
      </c>
      <c r="E5" s="14"/>
      <c r="F5" s="15"/>
      <c r="G5" s="15" t="s">
        <v>354</v>
      </c>
      <c r="H5" s="36" t="s">
        <v>3535</v>
      </c>
      <c r="I5" s="15"/>
    </row>
    <row r="6" spans="1:9">
      <c r="A6" s="15"/>
      <c r="B6" s="14"/>
      <c r="C6" s="15" t="s">
        <v>402</v>
      </c>
      <c r="D6" s="15" t="s">
        <v>232</v>
      </c>
      <c r="E6" s="14" t="s">
        <v>401</v>
      </c>
      <c r="F6" s="15"/>
      <c r="G6" s="10" t="s">
        <v>396</v>
      </c>
      <c r="H6" s="36"/>
      <c r="I6" s="15"/>
    </row>
    <row r="7" spans="1:9" ht="27.6">
      <c r="A7" s="15"/>
      <c r="B7" s="14"/>
      <c r="C7" s="15" t="s">
        <v>403</v>
      </c>
      <c r="D7" s="15" t="s">
        <v>232</v>
      </c>
      <c r="E7" s="14"/>
      <c r="F7" s="15"/>
      <c r="G7" s="15" t="s">
        <v>395</v>
      </c>
      <c r="H7" s="95" t="s">
        <v>3753</v>
      </c>
      <c r="I7" s="15"/>
    </row>
    <row r="8" spans="1:9">
      <c r="A8" s="15"/>
      <c r="B8" s="14"/>
      <c r="C8" s="15" t="s">
        <v>404</v>
      </c>
      <c r="D8" s="15" t="s">
        <v>37</v>
      </c>
      <c r="E8" s="14" t="s">
        <v>401</v>
      </c>
      <c r="F8" s="15"/>
      <c r="G8" s="15" t="s">
        <v>394</v>
      </c>
      <c r="H8" s="36"/>
      <c r="I8" s="15"/>
    </row>
    <row r="9" spans="1:9">
      <c r="A9" s="15"/>
      <c r="B9" s="14"/>
      <c r="C9" s="10" t="s">
        <v>414</v>
      </c>
      <c r="D9" s="15" t="s">
        <v>232</v>
      </c>
      <c r="E9" s="14" t="s">
        <v>401</v>
      </c>
      <c r="F9" s="15"/>
      <c r="G9" s="10" t="s">
        <v>415</v>
      </c>
      <c r="H9" s="36"/>
      <c r="I9" s="15"/>
    </row>
    <row r="10" spans="1:9">
      <c r="A10" s="15"/>
      <c r="B10" s="14"/>
      <c r="C10" s="15" t="s">
        <v>405</v>
      </c>
      <c r="D10" s="15" t="s">
        <v>37</v>
      </c>
      <c r="E10" s="14" t="s">
        <v>401</v>
      </c>
      <c r="F10" s="15"/>
      <c r="G10" s="10" t="s">
        <v>397</v>
      </c>
      <c r="H10" s="34"/>
      <c r="I10" s="15"/>
    </row>
    <row r="11" spans="1:9" ht="41.4">
      <c r="A11" s="15"/>
      <c r="B11" s="14"/>
      <c r="C11" s="10" t="s">
        <v>400</v>
      </c>
      <c r="D11" s="15" t="s">
        <v>2982</v>
      </c>
      <c r="E11" s="14" t="s">
        <v>3560</v>
      </c>
      <c r="F11" s="15"/>
      <c r="G11" s="10" t="s">
        <v>392</v>
      </c>
      <c r="H11" s="34" t="s">
        <v>3536</v>
      </c>
      <c r="I11" s="15"/>
    </row>
    <row r="12" spans="1:9">
      <c r="A12" s="15"/>
      <c r="B12" s="14"/>
      <c r="C12" s="10" t="s">
        <v>399</v>
      </c>
      <c r="D12" s="15" t="s">
        <v>37</v>
      </c>
      <c r="E12" s="14" t="s">
        <v>401</v>
      </c>
      <c r="F12" s="15"/>
      <c r="G12" s="10" t="s">
        <v>398</v>
      </c>
      <c r="H12" s="15"/>
      <c r="I12" s="15"/>
    </row>
    <row r="13" spans="1:9" s="32" customFormat="1">
      <c r="C13" s="32" t="s">
        <v>3886</v>
      </c>
      <c r="D13" s="32" t="s">
        <v>2982</v>
      </c>
      <c r="E13" s="41" t="s">
        <v>3584</v>
      </c>
      <c r="F13" s="36"/>
      <c r="G13" s="32" t="s">
        <v>3888</v>
      </c>
      <c r="H13" s="36" t="s">
        <v>3917</v>
      </c>
    </row>
    <row r="14" spans="1:9" s="32" customFormat="1" ht="27.6">
      <c r="C14" s="32" t="s">
        <v>3887</v>
      </c>
      <c r="D14" s="32" t="s">
        <v>3582</v>
      </c>
      <c r="E14" s="41" t="s">
        <v>3584</v>
      </c>
      <c r="F14" s="36"/>
      <c r="G14" s="32" t="s">
        <v>3889</v>
      </c>
      <c r="H14" s="34" t="s">
        <v>3918</v>
      </c>
    </row>
    <row r="15" spans="1:9">
      <c r="A15" s="15"/>
      <c r="B15" s="14"/>
      <c r="C15" s="12" t="s">
        <v>69</v>
      </c>
      <c r="D15" s="12" t="s">
        <v>11</v>
      </c>
      <c r="E15" s="11" t="s">
        <v>16</v>
      </c>
      <c r="F15" s="13" t="s">
        <v>20</v>
      </c>
      <c r="G15" s="12" t="s">
        <v>30</v>
      </c>
      <c r="H15" s="15"/>
      <c r="I15" s="15"/>
    </row>
    <row r="16" spans="1:9">
      <c r="A16" s="15"/>
      <c r="B16" s="14"/>
      <c r="C16" s="12" t="s">
        <v>1</v>
      </c>
      <c r="D16" s="12" t="s">
        <v>37</v>
      </c>
      <c r="E16" s="11"/>
      <c r="F16" s="13"/>
      <c r="G16" s="12" t="s">
        <v>31</v>
      </c>
      <c r="H16" s="15"/>
      <c r="I16" s="15"/>
    </row>
    <row r="17" spans="1:9">
      <c r="A17" s="15"/>
      <c r="B17" s="14"/>
      <c r="C17" s="12" t="s">
        <v>19</v>
      </c>
      <c r="D17" s="12" t="s">
        <v>11</v>
      </c>
      <c r="E17" s="11" t="s">
        <v>16</v>
      </c>
      <c r="F17" s="13" t="s">
        <v>20</v>
      </c>
      <c r="G17" s="12" t="s">
        <v>32</v>
      </c>
      <c r="H17" s="15"/>
      <c r="I17" s="15"/>
    </row>
    <row r="18" spans="1:9">
      <c r="A18" s="15"/>
      <c r="B18" s="14"/>
      <c r="C18" s="12" t="s">
        <v>70</v>
      </c>
      <c r="D18" s="12" t="s">
        <v>37</v>
      </c>
      <c r="E18" s="11"/>
      <c r="F18" s="13"/>
      <c r="G18" s="12" t="s">
        <v>33</v>
      </c>
      <c r="H18" s="15"/>
      <c r="I18" s="15"/>
    </row>
  </sheetData>
  <phoneticPr fontId="3" type="noConversion"/>
  <hyperlinks>
    <hyperlink ref="A1" location="目錄!A1" display="回到目錄"/>
  </hyperlinks>
  <pageMargins left="0.7" right="0.7" top="0.75" bottom="0.75" header="0.3" footer="0.3"/>
  <pageSetup paperSize="9" orientation="portrait" horizontalDpi="300" verticalDpi="300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7"/>
  <dimension ref="A1:I16"/>
  <sheetViews>
    <sheetView workbookViewId="0">
      <pane ySplit="1" topLeftCell="A2" activePane="bottomLeft" state="frozen"/>
      <selection pane="bottomLeft" activeCell="I6" sqref="I6"/>
    </sheetView>
  </sheetViews>
  <sheetFormatPr defaultRowHeight="13.8"/>
  <cols>
    <col min="1" max="1" width="7.453125" style="10" bestFit="1" customWidth="1"/>
    <col min="2" max="2" width="4.36328125" style="10" bestFit="1" customWidth="1"/>
    <col min="3" max="3" width="23.1796875" style="10" bestFit="1" customWidth="1"/>
    <col min="4" max="4" width="13" style="10" bestFit="1" customWidth="1"/>
    <col min="5" max="5" width="7.54296875" style="14" bestFit="1" customWidth="1"/>
    <col min="6" max="6" width="10" style="10" bestFit="1" customWidth="1"/>
    <col min="7" max="7" width="16.36328125" style="10" customWidth="1"/>
    <col min="8" max="8" width="36.453125" style="10" bestFit="1" customWidth="1"/>
    <col min="9" max="9" width="10.08984375" style="10" bestFit="1" customWidth="1"/>
    <col min="10" max="16384" width="8.7265625" style="10"/>
  </cols>
  <sheetData>
    <row r="1" spans="1:9">
      <c r="A1" s="63" t="s">
        <v>36</v>
      </c>
      <c r="B1" s="5" t="s">
        <v>5</v>
      </c>
      <c r="C1" s="20" t="s">
        <v>3</v>
      </c>
      <c r="D1" s="20" t="s">
        <v>4</v>
      </c>
      <c r="E1" s="7" t="s">
        <v>6</v>
      </c>
      <c r="F1" s="9" t="s">
        <v>13</v>
      </c>
      <c r="G1" s="9" t="s">
        <v>7</v>
      </c>
      <c r="H1" s="9" t="s">
        <v>8</v>
      </c>
      <c r="I1" s="9" t="s">
        <v>105</v>
      </c>
    </row>
    <row r="2" spans="1:9">
      <c r="A2" s="15"/>
      <c r="B2" s="14" t="s">
        <v>14</v>
      </c>
      <c r="C2" s="15" t="s">
        <v>3553</v>
      </c>
      <c r="D2" s="15" t="s">
        <v>3596</v>
      </c>
      <c r="F2" s="15"/>
      <c r="G2" s="15" t="s">
        <v>3553</v>
      </c>
      <c r="H2" s="24" t="s">
        <v>3581</v>
      </c>
      <c r="I2" s="15"/>
    </row>
    <row r="3" spans="1:9">
      <c r="A3" s="15"/>
      <c r="B3" s="14" t="s">
        <v>14</v>
      </c>
      <c r="C3" s="15" t="s">
        <v>3568</v>
      </c>
      <c r="D3" s="15" t="s">
        <v>3559</v>
      </c>
      <c r="F3" s="15"/>
      <c r="G3" s="15" t="s">
        <v>3568</v>
      </c>
      <c r="H3" s="24"/>
      <c r="I3" s="10" t="s">
        <v>3577</v>
      </c>
    </row>
    <row r="4" spans="1:9" ht="41.4">
      <c r="A4" s="15"/>
      <c r="B4" s="14"/>
      <c r="C4" s="15" t="s">
        <v>407</v>
      </c>
      <c r="D4" s="15" t="s">
        <v>4190</v>
      </c>
      <c r="F4" s="15"/>
      <c r="G4" s="15" t="s">
        <v>411</v>
      </c>
      <c r="H4" s="24" t="s">
        <v>3578</v>
      </c>
      <c r="I4" s="15"/>
    </row>
    <row r="5" spans="1:9">
      <c r="A5" s="15"/>
      <c r="B5" s="14"/>
      <c r="C5" s="15" t="s">
        <v>3555</v>
      </c>
      <c r="D5" s="15" t="s">
        <v>3580</v>
      </c>
      <c r="F5" s="15"/>
      <c r="G5" s="15" t="s">
        <v>3556</v>
      </c>
      <c r="I5" s="10" t="s">
        <v>3565</v>
      </c>
    </row>
    <row r="6" spans="1:9">
      <c r="C6" s="10" t="s">
        <v>3558</v>
      </c>
      <c r="D6" s="10" t="s">
        <v>3559</v>
      </c>
      <c r="E6" s="14" t="s">
        <v>3560</v>
      </c>
      <c r="G6" s="10" t="s">
        <v>3561</v>
      </c>
      <c r="H6" s="10" t="s">
        <v>3597</v>
      </c>
      <c r="I6" s="10" t="s">
        <v>3564</v>
      </c>
    </row>
    <row r="7" spans="1:9">
      <c r="A7" s="15"/>
      <c r="B7" s="14"/>
      <c r="C7" s="10" t="s">
        <v>3575</v>
      </c>
      <c r="D7" s="10" t="s">
        <v>3563</v>
      </c>
      <c r="G7" s="10" t="s">
        <v>3575</v>
      </c>
      <c r="I7" s="15"/>
    </row>
    <row r="8" spans="1:9">
      <c r="C8" s="10" t="s">
        <v>3576</v>
      </c>
      <c r="D8" s="10" t="s">
        <v>3562</v>
      </c>
      <c r="G8" s="10" t="s">
        <v>3576</v>
      </c>
    </row>
    <row r="9" spans="1:9">
      <c r="C9" s="15" t="s">
        <v>3549</v>
      </c>
      <c r="D9" s="15" t="s">
        <v>3550</v>
      </c>
      <c r="F9" s="15"/>
      <c r="G9" s="15" t="s">
        <v>3551</v>
      </c>
      <c r="H9" s="24"/>
    </row>
    <row r="10" spans="1:9">
      <c r="A10" s="15"/>
      <c r="B10" s="14"/>
      <c r="C10" s="12" t="s">
        <v>69</v>
      </c>
      <c r="D10" s="12" t="s">
        <v>11</v>
      </c>
      <c r="E10" s="11" t="s">
        <v>16</v>
      </c>
      <c r="F10" s="13" t="s">
        <v>20</v>
      </c>
      <c r="G10" s="12" t="s">
        <v>30</v>
      </c>
      <c r="H10" s="15"/>
      <c r="I10" s="15"/>
    </row>
    <row r="11" spans="1:9">
      <c r="A11" s="15"/>
      <c r="B11" s="14"/>
      <c r="C11" s="12" t="s">
        <v>1</v>
      </c>
      <c r="D11" s="12" t="s">
        <v>37</v>
      </c>
      <c r="E11" s="11"/>
      <c r="F11" s="13"/>
      <c r="G11" s="12" t="s">
        <v>31</v>
      </c>
      <c r="H11" s="15"/>
      <c r="I11" s="15"/>
    </row>
    <row r="12" spans="1:9">
      <c r="A12" s="15"/>
      <c r="B12" s="14"/>
      <c r="C12" s="12" t="s">
        <v>19</v>
      </c>
      <c r="D12" s="12" t="s">
        <v>11</v>
      </c>
      <c r="E12" s="11" t="s">
        <v>16</v>
      </c>
      <c r="F12" s="13" t="s">
        <v>20</v>
      </c>
      <c r="G12" s="12" t="s">
        <v>32</v>
      </c>
      <c r="H12" s="15"/>
      <c r="I12" s="15"/>
    </row>
    <row r="13" spans="1:9">
      <c r="A13" s="15"/>
      <c r="B13" s="14"/>
      <c r="C13" s="12" t="s">
        <v>70</v>
      </c>
      <c r="D13" s="12" t="s">
        <v>37</v>
      </c>
      <c r="E13" s="11"/>
      <c r="F13" s="13"/>
      <c r="G13" s="12" t="s">
        <v>33</v>
      </c>
      <c r="H13" s="15"/>
      <c r="I13" s="15"/>
    </row>
    <row r="14" spans="1:9">
      <c r="A14" s="15"/>
      <c r="B14" s="14"/>
      <c r="E14" s="10"/>
      <c r="I14" s="15"/>
    </row>
    <row r="15" spans="1:9">
      <c r="A15" s="15"/>
      <c r="B15" s="14"/>
      <c r="E15" s="10"/>
      <c r="I15" s="15"/>
    </row>
    <row r="16" spans="1:9">
      <c r="A16" s="15"/>
      <c r="B16" s="14"/>
      <c r="E16" s="10"/>
      <c r="I16" s="15"/>
    </row>
  </sheetData>
  <phoneticPr fontId="3" type="noConversion"/>
  <hyperlinks>
    <hyperlink ref="A1" location="目錄!A1" display="回到目錄"/>
  </hyperlinks>
  <pageMargins left="0.7" right="0.7" top="0.75" bottom="0.75" header="0.3" footer="0.3"/>
  <pageSetup paperSize="9" orientation="portrait" horizontalDpi="300" verticalDpi="300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8"/>
  <dimension ref="A1:M3"/>
  <sheetViews>
    <sheetView workbookViewId="0">
      <pane ySplit="1" topLeftCell="A2" activePane="bottomLeft" state="frozen"/>
      <selection pane="bottomLeft" activeCell="B1" sqref="B1"/>
    </sheetView>
  </sheetViews>
  <sheetFormatPr defaultRowHeight="13.8"/>
  <cols>
    <col min="1" max="1" width="7.453125" style="15" bestFit="1" customWidth="1"/>
    <col min="2" max="2" width="32" style="15" bestFit="1" customWidth="1"/>
    <col min="3" max="3" width="12.1796875" style="15" bestFit="1" customWidth="1"/>
    <col min="4" max="4" width="12.08984375" style="15" bestFit="1" customWidth="1"/>
    <col min="5" max="5" width="7.453125" style="15" bestFit="1" customWidth="1"/>
    <col min="6" max="6" width="8.36328125" style="15" bestFit="1" customWidth="1"/>
    <col min="7" max="7" width="11" style="15" bestFit="1" customWidth="1"/>
    <col min="8" max="8" width="8.453125" style="15" bestFit="1" customWidth="1"/>
    <col min="9" max="9" width="9.6328125" style="15" bestFit="1" customWidth="1"/>
    <col min="10" max="10" width="10" style="15" bestFit="1" customWidth="1"/>
    <col min="11" max="11" width="7" style="15" bestFit="1" customWidth="1"/>
    <col min="12" max="12" width="10.36328125" style="15" bestFit="1" customWidth="1"/>
    <col min="13" max="13" width="7.81640625" style="15" bestFit="1" customWidth="1"/>
    <col min="14" max="16384" width="8.7265625" style="15"/>
  </cols>
  <sheetData>
    <row r="1" spans="1:13" s="38" customFormat="1">
      <c r="A1" s="63" t="s">
        <v>36</v>
      </c>
      <c r="B1" s="82" t="s">
        <v>3552</v>
      </c>
      <c r="C1" s="82" t="s">
        <v>3567</v>
      </c>
      <c r="D1" s="82" t="s">
        <v>3569</v>
      </c>
      <c r="E1" s="82" t="s">
        <v>3554</v>
      </c>
      <c r="F1" s="82" t="s">
        <v>3557</v>
      </c>
      <c r="G1" s="82" t="s">
        <v>3573</v>
      </c>
      <c r="H1" s="82" t="s">
        <v>3574</v>
      </c>
      <c r="I1" s="82" t="s">
        <v>3548</v>
      </c>
      <c r="J1" s="82" t="s">
        <v>0</v>
      </c>
      <c r="K1" s="82" t="s">
        <v>1</v>
      </c>
      <c r="L1" s="82" t="s">
        <v>19</v>
      </c>
      <c r="M1" s="82" t="s">
        <v>2</v>
      </c>
    </row>
    <row r="2" spans="1:13">
      <c r="B2" s="113" t="s">
        <v>3570</v>
      </c>
      <c r="C2" s="15">
        <v>1</v>
      </c>
      <c r="D2" s="15" t="s">
        <v>3571</v>
      </c>
      <c r="E2" s="15">
        <v>1</v>
      </c>
      <c r="I2" s="15" t="s">
        <v>3572</v>
      </c>
      <c r="K2" s="15" t="s">
        <v>2912</v>
      </c>
      <c r="M2" s="15" t="s">
        <v>2912</v>
      </c>
    </row>
    <row r="3" spans="1:13">
      <c r="B3" s="113" t="s">
        <v>3570</v>
      </c>
      <c r="C3" s="15">
        <v>2</v>
      </c>
      <c r="D3" s="15" t="s">
        <v>3571</v>
      </c>
      <c r="E3" s="15">
        <v>1</v>
      </c>
      <c r="F3" s="15" t="s">
        <v>16</v>
      </c>
      <c r="I3" s="15" t="s">
        <v>3572</v>
      </c>
      <c r="K3" s="15" t="s">
        <v>2912</v>
      </c>
      <c r="M3" s="15" t="s">
        <v>2912</v>
      </c>
    </row>
  </sheetData>
  <phoneticPr fontId="3" type="noConversion"/>
  <hyperlinks>
    <hyperlink ref="A1" location="目錄!A1" display="回到目錄"/>
  </hyperlink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4"/>
  <dimension ref="A1:J12"/>
  <sheetViews>
    <sheetView workbookViewId="0"/>
  </sheetViews>
  <sheetFormatPr defaultRowHeight="13.8"/>
  <cols>
    <col min="1" max="1" width="7.453125" style="10" bestFit="1" customWidth="1"/>
    <col min="2" max="2" width="4.36328125" style="10" bestFit="1" customWidth="1"/>
    <col min="3" max="3" width="15.26953125" style="10" bestFit="1" customWidth="1"/>
    <col min="4" max="4" width="10.08984375" style="10" bestFit="1" customWidth="1"/>
    <col min="5" max="5" width="7.54296875" style="10" bestFit="1" customWidth="1"/>
    <col min="6" max="6" width="10" style="10" bestFit="1" customWidth="1"/>
    <col min="7" max="7" width="10.6328125" style="10" bestFit="1" customWidth="1"/>
    <col min="8" max="8" width="52.08984375" style="10" bestFit="1" customWidth="1"/>
    <col min="9" max="9" width="10.08984375" style="10" bestFit="1" customWidth="1"/>
    <col min="10" max="10" width="28.7265625" style="10" bestFit="1" customWidth="1"/>
    <col min="11" max="16384" width="8.7265625" style="10"/>
  </cols>
  <sheetData>
    <row r="1" spans="1:10">
      <c r="A1" s="63" t="s">
        <v>36</v>
      </c>
      <c r="B1" s="5" t="s">
        <v>5</v>
      </c>
      <c r="C1" s="20" t="s">
        <v>3</v>
      </c>
      <c r="D1" s="20" t="s">
        <v>4</v>
      </c>
      <c r="E1" s="7" t="s">
        <v>6</v>
      </c>
      <c r="F1" s="9" t="s">
        <v>13</v>
      </c>
      <c r="G1" s="9" t="s">
        <v>7</v>
      </c>
      <c r="H1" s="9" t="s">
        <v>8</v>
      </c>
      <c r="I1" s="9" t="s">
        <v>105</v>
      </c>
    </row>
    <row r="2" spans="1:10" ht="41.4">
      <c r="A2" s="15"/>
      <c r="B2" s="14" t="s">
        <v>3419</v>
      </c>
      <c r="C2" s="15" t="s">
        <v>407</v>
      </c>
      <c r="D2" s="15" t="s">
        <v>4190</v>
      </c>
      <c r="E2" s="14"/>
      <c r="F2" s="15"/>
      <c r="G2" s="15" t="s">
        <v>411</v>
      </c>
      <c r="H2" s="24" t="s">
        <v>3578</v>
      </c>
      <c r="I2" s="15"/>
      <c r="J2" s="10" t="s">
        <v>3483</v>
      </c>
    </row>
    <row r="3" spans="1:10">
      <c r="A3" s="15"/>
      <c r="B3" s="14"/>
      <c r="C3" s="15" t="s">
        <v>3481</v>
      </c>
      <c r="D3" s="15" t="s">
        <v>21</v>
      </c>
      <c r="E3" s="14"/>
      <c r="F3" s="15"/>
      <c r="G3" s="15" t="s">
        <v>3482</v>
      </c>
      <c r="H3" s="24"/>
      <c r="I3" s="15" t="s">
        <v>3528</v>
      </c>
    </row>
    <row r="4" spans="1:10" s="91" customFormat="1">
      <c r="A4" s="37"/>
      <c r="B4" s="108"/>
      <c r="C4" s="91" t="s">
        <v>3420</v>
      </c>
      <c r="D4" s="37" t="s">
        <v>3582</v>
      </c>
      <c r="E4" s="108"/>
      <c r="F4" s="37"/>
      <c r="G4" s="91" t="s">
        <v>538</v>
      </c>
      <c r="H4" s="37" t="s">
        <v>3916</v>
      </c>
      <c r="I4" s="37"/>
    </row>
    <row r="5" spans="1:10" s="32" customFormat="1">
      <c r="A5" s="36"/>
      <c r="B5" s="41"/>
      <c r="C5" s="36" t="s">
        <v>408</v>
      </c>
      <c r="D5" s="36" t="s">
        <v>409</v>
      </c>
      <c r="E5" s="41"/>
      <c r="F5" s="36"/>
      <c r="G5" s="36" t="s">
        <v>393</v>
      </c>
      <c r="H5" s="34"/>
      <c r="I5" s="36" t="s">
        <v>3566</v>
      </c>
    </row>
    <row r="6" spans="1:10" ht="41.4">
      <c r="A6" s="15"/>
      <c r="B6" s="14"/>
      <c r="C6" s="10" t="s">
        <v>3540</v>
      </c>
      <c r="D6" s="12" t="s">
        <v>3542</v>
      </c>
      <c r="E6" s="14"/>
      <c r="F6" s="15"/>
      <c r="G6" s="10" t="s">
        <v>3541</v>
      </c>
      <c r="H6" s="24" t="s">
        <v>3543</v>
      </c>
      <c r="I6" s="15"/>
    </row>
    <row r="7" spans="1:10">
      <c r="A7" s="15"/>
      <c r="B7" s="14"/>
      <c r="C7" s="12" t="s">
        <v>69</v>
      </c>
      <c r="D7" s="12" t="s">
        <v>11</v>
      </c>
      <c r="E7" s="11" t="s">
        <v>16</v>
      </c>
      <c r="F7" s="13" t="s">
        <v>20</v>
      </c>
      <c r="G7" s="12" t="s">
        <v>30</v>
      </c>
      <c r="H7" s="15"/>
      <c r="I7" s="15"/>
    </row>
    <row r="8" spans="1:10">
      <c r="A8" s="15"/>
      <c r="B8" s="14"/>
      <c r="C8" s="12" t="s">
        <v>1</v>
      </c>
      <c r="D8" s="12" t="s">
        <v>37</v>
      </c>
      <c r="E8" s="11"/>
      <c r="F8" s="13"/>
      <c r="G8" s="12" t="s">
        <v>31</v>
      </c>
      <c r="H8" s="15"/>
      <c r="I8" s="15"/>
    </row>
    <row r="9" spans="1:10">
      <c r="A9" s="15"/>
      <c r="B9" s="14"/>
      <c r="C9" s="12" t="s">
        <v>19</v>
      </c>
      <c r="D9" s="12" t="s">
        <v>11</v>
      </c>
      <c r="E9" s="11" t="s">
        <v>16</v>
      </c>
      <c r="F9" s="13" t="s">
        <v>20</v>
      </c>
      <c r="G9" s="12" t="s">
        <v>32</v>
      </c>
      <c r="H9" s="15"/>
      <c r="I9" s="15"/>
    </row>
    <row r="10" spans="1:10">
      <c r="A10" s="15"/>
      <c r="B10" s="14"/>
      <c r="C10" s="12" t="s">
        <v>70</v>
      </c>
      <c r="D10" s="12" t="s">
        <v>37</v>
      </c>
      <c r="E10" s="11"/>
      <c r="F10" s="13"/>
      <c r="G10" s="12" t="s">
        <v>33</v>
      </c>
      <c r="H10" s="15"/>
      <c r="I10" s="15"/>
    </row>
    <row r="11" spans="1:10">
      <c r="H11" s="26"/>
      <c r="J11" s="10">
        <f>LEN(H11)</f>
        <v>0</v>
      </c>
    </row>
    <row r="12" spans="1:10">
      <c r="J12" s="10">
        <f>LEN(H12)</f>
        <v>0</v>
      </c>
    </row>
  </sheetData>
  <phoneticPr fontId="3" type="noConversion"/>
  <hyperlinks>
    <hyperlink ref="A1" location="目錄!A1" display="回到目錄"/>
  </hyperlinks>
  <pageMargins left="0.7" right="0.7" top="0.75" bottom="0.75" header="0.3" footer="0.3"/>
  <pageSetup paperSize="9" orientation="portrait" horizontalDpi="300" verticalDpi="300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9"/>
  <dimension ref="A1:I15"/>
  <sheetViews>
    <sheetView workbookViewId="0">
      <selection activeCell="C2" sqref="C2"/>
    </sheetView>
  </sheetViews>
  <sheetFormatPr defaultRowHeight="13.8"/>
  <cols>
    <col min="1" max="1" width="7.453125" style="10" bestFit="1" customWidth="1"/>
    <col min="2" max="2" width="4.36328125" style="10" bestFit="1" customWidth="1"/>
    <col min="3" max="3" width="23.1796875" style="10" bestFit="1" customWidth="1"/>
    <col min="4" max="4" width="11.08984375" style="10" bestFit="1" customWidth="1"/>
    <col min="5" max="5" width="7.54296875" style="10" bestFit="1" customWidth="1"/>
    <col min="6" max="6" width="10" style="10" bestFit="1" customWidth="1"/>
    <col min="7" max="7" width="16.36328125" style="10" customWidth="1"/>
    <col min="8" max="8" width="46.453125" style="10" bestFit="1" customWidth="1"/>
    <col min="9" max="9" width="10.08984375" style="10" bestFit="1" customWidth="1"/>
    <col min="10" max="16384" width="8.7265625" style="10"/>
  </cols>
  <sheetData>
    <row r="1" spans="1:9">
      <c r="A1" s="63" t="s">
        <v>36</v>
      </c>
      <c r="B1" s="5" t="s">
        <v>5</v>
      </c>
      <c r="C1" s="20" t="s">
        <v>3</v>
      </c>
      <c r="D1" s="20" t="s">
        <v>4</v>
      </c>
      <c r="E1" s="7" t="s">
        <v>6</v>
      </c>
      <c r="F1" s="9" t="s">
        <v>13</v>
      </c>
      <c r="G1" s="9" t="s">
        <v>7</v>
      </c>
      <c r="H1" s="9" t="s">
        <v>8</v>
      </c>
      <c r="I1" s="9" t="s">
        <v>105</v>
      </c>
    </row>
    <row r="2" spans="1:9" ht="41.4">
      <c r="A2" s="15"/>
      <c r="B2" s="14" t="s">
        <v>14</v>
      </c>
      <c r="C2" s="15" t="s">
        <v>407</v>
      </c>
      <c r="D2" s="15" t="s">
        <v>4191</v>
      </c>
      <c r="E2" s="14"/>
      <c r="F2" s="15"/>
      <c r="G2" s="15" t="s">
        <v>411</v>
      </c>
      <c r="H2" s="24" t="s">
        <v>3578</v>
      </c>
      <c r="I2" s="15"/>
    </row>
    <row r="3" spans="1:9">
      <c r="A3" s="15"/>
      <c r="B3" s="14"/>
      <c r="C3" s="12" t="s">
        <v>3752</v>
      </c>
      <c r="D3" s="12" t="s">
        <v>3531</v>
      </c>
      <c r="E3" s="11"/>
      <c r="G3" s="4" t="s">
        <v>157</v>
      </c>
      <c r="H3" s="24"/>
      <c r="I3" s="15" t="s">
        <v>3533</v>
      </c>
    </row>
    <row r="4" spans="1:9">
      <c r="A4" s="15"/>
      <c r="B4" s="14"/>
      <c r="C4" s="29" t="s">
        <v>3751</v>
      </c>
      <c r="D4" s="29" t="s">
        <v>215</v>
      </c>
      <c r="E4" s="28"/>
      <c r="F4" s="32"/>
      <c r="G4" s="22" t="s">
        <v>158</v>
      </c>
      <c r="H4" s="15"/>
      <c r="I4" s="15"/>
    </row>
    <row r="5" spans="1:9">
      <c r="A5" s="15"/>
      <c r="B5" s="14"/>
      <c r="C5" s="36" t="s">
        <v>3754</v>
      </c>
      <c r="D5" s="36" t="s">
        <v>3532</v>
      </c>
      <c r="E5" s="41"/>
      <c r="F5" s="32"/>
      <c r="G5" s="32" t="s">
        <v>159</v>
      </c>
      <c r="H5" s="15"/>
      <c r="I5" s="15"/>
    </row>
    <row r="6" spans="1:9">
      <c r="A6" s="15"/>
      <c r="B6" s="14"/>
      <c r="C6" s="36" t="s">
        <v>180</v>
      </c>
      <c r="D6" s="29" t="s">
        <v>162</v>
      </c>
      <c r="E6" s="14" t="s">
        <v>3534</v>
      </c>
      <c r="F6" s="32"/>
      <c r="G6" s="32" t="s">
        <v>178</v>
      </c>
      <c r="H6" s="15"/>
      <c r="I6" s="15"/>
    </row>
    <row r="7" spans="1:9">
      <c r="A7" s="15"/>
      <c r="B7" s="14"/>
      <c r="C7" s="36" t="s">
        <v>181</v>
      </c>
      <c r="D7" s="36" t="s">
        <v>3532</v>
      </c>
      <c r="E7" s="14" t="s">
        <v>3534</v>
      </c>
      <c r="F7" s="32"/>
      <c r="G7" s="32" t="s">
        <v>179</v>
      </c>
      <c r="H7" s="15"/>
      <c r="I7" s="15"/>
    </row>
    <row r="8" spans="1:9">
      <c r="A8" s="15"/>
      <c r="B8" s="14"/>
      <c r="C8" s="10" t="s">
        <v>3766</v>
      </c>
      <c r="D8" s="15" t="s">
        <v>410</v>
      </c>
      <c r="E8" s="14" t="s">
        <v>3534</v>
      </c>
      <c r="F8" s="15"/>
      <c r="G8" s="10" t="s">
        <v>406</v>
      </c>
      <c r="H8" s="15"/>
      <c r="I8" s="15"/>
    </row>
    <row r="9" spans="1:9">
      <c r="C9" s="15" t="s">
        <v>363</v>
      </c>
      <c r="D9" s="15" t="s">
        <v>232</v>
      </c>
      <c r="E9" s="14" t="s">
        <v>3534</v>
      </c>
      <c r="F9" s="15"/>
      <c r="G9" s="15" t="s">
        <v>354</v>
      </c>
      <c r="H9" s="15"/>
    </row>
    <row r="10" spans="1:9">
      <c r="C10" s="15" t="s">
        <v>3545</v>
      </c>
      <c r="D10" s="15" t="s">
        <v>35</v>
      </c>
      <c r="E10" s="14" t="s">
        <v>160</v>
      </c>
      <c r="F10" s="15"/>
      <c r="G10" s="10" t="s">
        <v>396</v>
      </c>
      <c r="H10" s="15"/>
    </row>
    <row r="11" spans="1:9">
      <c r="C11" s="10" t="s">
        <v>400</v>
      </c>
      <c r="D11" s="15" t="s">
        <v>2982</v>
      </c>
      <c r="E11" s="14" t="s">
        <v>16</v>
      </c>
      <c r="F11" s="15"/>
      <c r="G11" s="10" t="s">
        <v>392</v>
      </c>
      <c r="H11" s="15" t="s">
        <v>2983</v>
      </c>
    </row>
    <row r="12" spans="1:9">
      <c r="A12" s="15"/>
      <c r="B12" s="14"/>
      <c r="C12" s="12" t="s">
        <v>69</v>
      </c>
      <c r="D12" s="12" t="s">
        <v>11</v>
      </c>
      <c r="E12" s="11" t="s">
        <v>16</v>
      </c>
      <c r="F12" s="13" t="s">
        <v>20</v>
      </c>
      <c r="G12" s="12" t="s">
        <v>30</v>
      </c>
      <c r="H12" s="15"/>
      <c r="I12" s="15"/>
    </row>
    <row r="13" spans="1:9">
      <c r="A13" s="15"/>
      <c r="B13" s="14"/>
      <c r="C13" s="12" t="s">
        <v>1</v>
      </c>
      <c r="D13" s="12" t="s">
        <v>37</v>
      </c>
      <c r="E13" s="11"/>
      <c r="F13" s="13"/>
      <c r="G13" s="12" t="s">
        <v>31</v>
      </c>
      <c r="H13" s="15"/>
      <c r="I13" s="15"/>
    </row>
    <row r="14" spans="1:9">
      <c r="A14" s="15"/>
      <c r="B14" s="14"/>
      <c r="C14" s="12" t="s">
        <v>19</v>
      </c>
      <c r="D14" s="12" t="s">
        <v>11</v>
      </c>
      <c r="E14" s="11" t="s">
        <v>16</v>
      </c>
      <c r="F14" s="13" t="s">
        <v>20</v>
      </c>
      <c r="G14" s="12" t="s">
        <v>32</v>
      </c>
      <c r="H14" s="15"/>
      <c r="I14" s="15"/>
    </row>
    <row r="15" spans="1:9">
      <c r="A15" s="15"/>
      <c r="B15" s="14"/>
      <c r="C15" s="12" t="s">
        <v>70</v>
      </c>
      <c r="D15" s="12" t="s">
        <v>37</v>
      </c>
      <c r="E15" s="11"/>
      <c r="F15" s="13"/>
      <c r="G15" s="12" t="s">
        <v>33</v>
      </c>
      <c r="H15" s="15"/>
      <c r="I15" s="15"/>
    </row>
  </sheetData>
  <phoneticPr fontId="3" type="noConversion"/>
  <hyperlinks>
    <hyperlink ref="A1" location="目錄!A1" display="回到目錄"/>
  </hyperlinks>
  <pageMargins left="0.7" right="0.7" top="0.75" bottom="0.75" header="0.3" footer="0.3"/>
  <pageSetup paperSize="9" orientation="portrait" horizontalDpi="300" verticalDpi="300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5"/>
  <dimension ref="A1:I10"/>
  <sheetViews>
    <sheetView workbookViewId="0"/>
  </sheetViews>
  <sheetFormatPr defaultRowHeight="15"/>
  <cols>
    <col min="1" max="1" width="7.453125" bestFit="1" customWidth="1"/>
    <col min="2" max="2" width="4.36328125" bestFit="1" customWidth="1"/>
    <col min="3" max="3" width="23.1796875" bestFit="1" customWidth="1"/>
    <col min="4" max="4" width="9.1796875" bestFit="1" customWidth="1"/>
    <col min="5" max="5" width="7.54296875" bestFit="1" customWidth="1"/>
    <col min="6" max="6" width="10" bestFit="1" customWidth="1"/>
    <col min="7" max="7" width="13.26953125" customWidth="1"/>
    <col min="8" max="8" width="25.81640625" customWidth="1"/>
    <col min="9" max="9" width="10.08984375" bestFit="1" customWidth="1"/>
  </cols>
  <sheetData>
    <row r="1" spans="1:9">
      <c r="A1" s="69" t="s">
        <v>36</v>
      </c>
      <c r="B1" s="56" t="s">
        <v>5</v>
      </c>
      <c r="C1" s="57" t="s">
        <v>3</v>
      </c>
      <c r="D1" s="57" t="s">
        <v>4</v>
      </c>
      <c r="E1" s="58" t="s">
        <v>6</v>
      </c>
      <c r="F1" s="3" t="s">
        <v>13</v>
      </c>
      <c r="G1" s="3" t="s">
        <v>7</v>
      </c>
      <c r="H1" s="3" t="s">
        <v>8</v>
      </c>
      <c r="I1" s="3" t="s">
        <v>105</v>
      </c>
    </row>
    <row r="2" spans="1:9">
      <c r="A2" s="39"/>
      <c r="B2" s="52"/>
      <c r="C2" s="39"/>
      <c r="D2" s="39"/>
      <c r="E2" s="14"/>
      <c r="F2" s="39"/>
      <c r="G2" s="39" t="s">
        <v>157</v>
      </c>
      <c r="H2" s="39"/>
      <c r="I2" s="39"/>
    </row>
    <row r="3" spans="1:9">
      <c r="A3" s="39"/>
      <c r="B3" s="52"/>
      <c r="C3" s="39"/>
      <c r="D3" s="39"/>
      <c r="E3" s="14"/>
      <c r="F3" s="39"/>
      <c r="G3" s="39" t="s">
        <v>158</v>
      </c>
      <c r="H3" s="39"/>
      <c r="I3" s="39"/>
    </row>
    <row r="4" spans="1:9">
      <c r="A4" s="39"/>
      <c r="B4" s="52"/>
      <c r="C4" s="44"/>
      <c r="D4" s="39"/>
      <c r="E4" s="14"/>
      <c r="F4" s="39"/>
      <c r="G4" s="44" t="s">
        <v>390</v>
      </c>
      <c r="H4" s="39"/>
      <c r="I4" s="15"/>
    </row>
    <row r="5" spans="1:9">
      <c r="A5" s="39"/>
      <c r="B5" s="52"/>
      <c r="C5" s="44"/>
      <c r="D5" s="39"/>
      <c r="E5" s="14"/>
      <c r="F5" s="39"/>
      <c r="G5" s="44" t="s">
        <v>391</v>
      </c>
      <c r="H5" s="39"/>
      <c r="I5" s="15"/>
    </row>
    <row r="6" spans="1:9">
      <c r="A6" s="39"/>
      <c r="B6" s="52"/>
      <c r="C6" s="44"/>
      <c r="D6" s="39"/>
      <c r="E6" s="14"/>
      <c r="F6" s="39"/>
      <c r="G6" s="44" t="s">
        <v>179</v>
      </c>
      <c r="H6" s="39"/>
      <c r="I6" s="15"/>
    </row>
    <row r="7" spans="1:9">
      <c r="A7" s="39"/>
      <c r="B7" s="52"/>
      <c r="C7" s="12" t="s">
        <v>69</v>
      </c>
      <c r="D7" s="12" t="s">
        <v>11</v>
      </c>
      <c r="E7" s="11" t="s">
        <v>16</v>
      </c>
      <c r="F7" s="13" t="s">
        <v>20</v>
      </c>
      <c r="G7" s="12" t="s">
        <v>30</v>
      </c>
      <c r="H7" s="39"/>
      <c r="I7" s="39"/>
    </row>
    <row r="8" spans="1:9">
      <c r="A8" s="39"/>
      <c r="B8" s="52"/>
      <c r="C8" s="12" t="s">
        <v>1</v>
      </c>
      <c r="D8" s="12" t="s">
        <v>37</v>
      </c>
      <c r="E8" s="11"/>
      <c r="F8" s="13"/>
      <c r="G8" s="12" t="s">
        <v>31</v>
      </c>
      <c r="H8" s="39"/>
      <c r="I8" s="39"/>
    </row>
    <row r="9" spans="1:9">
      <c r="A9" s="39"/>
      <c r="B9" s="52"/>
      <c r="C9" s="12" t="s">
        <v>19</v>
      </c>
      <c r="D9" s="12" t="s">
        <v>11</v>
      </c>
      <c r="E9" s="11" t="s">
        <v>16</v>
      </c>
      <c r="F9" s="13" t="s">
        <v>20</v>
      </c>
      <c r="G9" s="12" t="s">
        <v>32</v>
      </c>
      <c r="H9" s="39"/>
      <c r="I9" s="39"/>
    </row>
    <row r="10" spans="1:9">
      <c r="A10" s="39"/>
      <c r="B10" s="52"/>
      <c r="C10" s="12" t="s">
        <v>70</v>
      </c>
      <c r="D10" s="12" t="s">
        <v>37</v>
      </c>
      <c r="E10" s="11"/>
      <c r="F10" s="13"/>
      <c r="G10" s="12" t="s">
        <v>33</v>
      </c>
      <c r="H10" s="39"/>
      <c r="I10" s="39"/>
    </row>
  </sheetData>
  <phoneticPr fontId="3" type="noConversion"/>
  <hyperlinks>
    <hyperlink ref="A1" location="目錄!A1" display="回到目錄"/>
  </hyperlinks>
  <pageMargins left="0.7" right="0.7" top="0.75" bottom="0.75" header="0.3" footer="0.3"/>
  <pageSetup paperSize="9" orientation="portrait" horizontalDpi="300" verticalDpi="300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6"/>
  <dimension ref="A1:I19"/>
  <sheetViews>
    <sheetView workbookViewId="0">
      <pane ySplit="1" topLeftCell="A2" activePane="bottomLeft" state="frozen"/>
      <selection pane="bottomLeft" activeCell="G5" sqref="G5"/>
    </sheetView>
  </sheetViews>
  <sheetFormatPr defaultRowHeight="13.8"/>
  <cols>
    <col min="1" max="1" width="7.453125" style="10" bestFit="1" customWidth="1"/>
    <col min="2" max="2" width="4.36328125" style="10" bestFit="1" customWidth="1"/>
    <col min="3" max="3" width="11.26953125" style="10" bestFit="1" customWidth="1"/>
    <col min="4" max="4" width="11.08984375" style="10" bestFit="1" customWidth="1"/>
    <col min="5" max="5" width="7.54296875" style="10" bestFit="1" customWidth="1"/>
    <col min="6" max="6" width="10" style="10" bestFit="1" customWidth="1"/>
    <col min="7" max="7" width="13.26953125" style="10" customWidth="1"/>
    <col min="8" max="8" width="25.81640625" style="10" customWidth="1"/>
    <col min="9" max="9" width="11" style="10" customWidth="1"/>
    <col min="10" max="16384" width="8.7265625" style="10"/>
  </cols>
  <sheetData>
    <row r="1" spans="1:9">
      <c r="A1" s="63" t="s">
        <v>36</v>
      </c>
      <c r="B1" s="5" t="s">
        <v>5</v>
      </c>
      <c r="C1" s="20" t="s">
        <v>3</v>
      </c>
      <c r="D1" s="20" t="s">
        <v>4</v>
      </c>
      <c r="E1" s="7" t="s">
        <v>6</v>
      </c>
      <c r="F1" s="9" t="s">
        <v>13</v>
      </c>
      <c r="G1" s="9" t="s">
        <v>7</v>
      </c>
      <c r="H1" s="9" t="s">
        <v>8</v>
      </c>
      <c r="I1" s="9" t="s">
        <v>105</v>
      </c>
    </row>
    <row r="2" spans="1:9">
      <c r="A2" s="15"/>
      <c r="B2" s="14" t="s">
        <v>4113</v>
      </c>
      <c r="C2" s="49" t="s">
        <v>3552</v>
      </c>
      <c r="D2" s="49" t="s">
        <v>3596</v>
      </c>
      <c r="E2" s="62"/>
      <c r="F2" s="44"/>
      <c r="G2" s="60" t="s">
        <v>3553</v>
      </c>
      <c r="H2" s="39" t="s">
        <v>3894</v>
      </c>
      <c r="I2" s="15"/>
    </row>
    <row r="3" spans="1:9">
      <c r="A3" s="15"/>
      <c r="B3" s="14"/>
      <c r="C3" s="15" t="s">
        <v>4088</v>
      </c>
      <c r="D3" s="15" t="s">
        <v>4114</v>
      </c>
      <c r="E3" s="14"/>
      <c r="F3" s="15"/>
      <c r="G3" s="15" t="s">
        <v>4090</v>
      </c>
      <c r="H3" s="24"/>
      <c r="I3" s="27" t="s">
        <v>4117</v>
      </c>
    </row>
    <row r="4" spans="1:9" ht="27.6">
      <c r="A4" s="15"/>
      <c r="B4" s="14"/>
      <c r="C4" s="15" t="s">
        <v>4086</v>
      </c>
      <c r="D4" s="15" t="s">
        <v>4114</v>
      </c>
      <c r="E4" s="14"/>
      <c r="F4" s="15"/>
      <c r="G4" s="15" t="s">
        <v>4091</v>
      </c>
      <c r="H4" s="24" t="s">
        <v>4119</v>
      </c>
      <c r="I4" s="27" t="s">
        <v>4118</v>
      </c>
    </row>
    <row r="5" spans="1:9">
      <c r="A5" s="15"/>
      <c r="B5" s="14"/>
      <c r="C5" s="10" t="s">
        <v>4089</v>
      </c>
      <c r="D5" s="15" t="s">
        <v>4116</v>
      </c>
      <c r="E5" s="14"/>
      <c r="F5" s="15"/>
      <c r="G5" s="10" t="s">
        <v>4092</v>
      </c>
      <c r="H5" s="15"/>
      <c r="I5" s="15"/>
    </row>
    <row r="6" spans="1:9">
      <c r="A6" s="15"/>
      <c r="B6" s="14"/>
      <c r="C6" s="49" t="s">
        <v>0</v>
      </c>
      <c r="D6" s="12" t="s">
        <v>11</v>
      </c>
      <c r="E6" s="11" t="s">
        <v>16</v>
      </c>
      <c r="F6" s="13" t="s">
        <v>20</v>
      </c>
      <c r="G6" s="12" t="s">
        <v>30</v>
      </c>
      <c r="H6" s="39"/>
      <c r="I6" s="15"/>
    </row>
    <row r="7" spans="1:9">
      <c r="A7" s="15"/>
      <c r="B7" s="14"/>
      <c r="C7" s="10" t="s">
        <v>1</v>
      </c>
      <c r="D7" s="12" t="s">
        <v>37</v>
      </c>
      <c r="E7" s="11"/>
      <c r="F7" s="13"/>
      <c r="G7" s="12" t="s">
        <v>31</v>
      </c>
      <c r="H7" s="15"/>
      <c r="I7" s="15"/>
    </row>
    <row r="8" spans="1:9">
      <c r="A8" s="15"/>
      <c r="B8" s="14"/>
      <c r="C8" s="10" t="s">
        <v>19</v>
      </c>
      <c r="D8" s="12" t="s">
        <v>11</v>
      </c>
      <c r="E8" s="11" t="s">
        <v>16</v>
      </c>
      <c r="F8" s="13" t="s">
        <v>20</v>
      </c>
      <c r="G8" s="12" t="s">
        <v>32</v>
      </c>
      <c r="H8" s="15"/>
      <c r="I8" s="15"/>
    </row>
    <row r="9" spans="1:9">
      <c r="A9" s="15"/>
      <c r="B9" s="14"/>
      <c r="C9" s="10" t="s">
        <v>2</v>
      </c>
      <c r="D9" s="12" t="s">
        <v>37</v>
      </c>
      <c r="E9" s="11"/>
      <c r="F9" s="13"/>
      <c r="G9" s="12" t="s">
        <v>33</v>
      </c>
      <c r="H9" s="15"/>
      <c r="I9" s="15"/>
    </row>
    <row r="10" spans="1:9">
      <c r="A10" s="15"/>
      <c r="B10" s="14"/>
      <c r="D10" s="15"/>
      <c r="E10" s="14"/>
      <c r="F10" s="15"/>
      <c r="H10" s="15"/>
      <c r="I10" s="15"/>
    </row>
    <row r="11" spans="1:9">
      <c r="A11" s="15"/>
      <c r="B11" s="14"/>
      <c r="D11" s="15"/>
      <c r="E11" s="14"/>
      <c r="F11" s="15"/>
      <c r="H11" s="15"/>
      <c r="I11" s="15"/>
    </row>
    <row r="12" spans="1:9">
      <c r="A12" s="15"/>
      <c r="B12" s="14"/>
      <c r="D12" s="15"/>
      <c r="E12" s="14"/>
      <c r="F12" s="15"/>
      <c r="H12" s="15"/>
      <c r="I12" s="15"/>
    </row>
    <row r="13" spans="1:9">
      <c r="A13" s="15"/>
      <c r="B13" s="14"/>
      <c r="D13" s="15"/>
      <c r="E13" s="14"/>
      <c r="F13" s="15"/>
      <c r="H13" s="15"/>
      <c r="I13" s="15"/>
    </row>
    <row r="14" spans="1:9">
      <c r="A14" s="15"/>
      <c r="B14" s="14"/>
      <c r="D14" s="15"/>
      <c r="E14" s="14"/>
      <c r="F14" s="15"/>
      <c r="H14" s="15"/>
      <c r="I14" s="15"/>
    </row>
    <row r="15" spans="1:9">
      <c r="A15" s="15"/>
      <c r="B15" s="14"/>
      <c r="D15" s="15"/>
      <c r="E15" s="14"/>
      <c r="F15" s="15"/>
      <c r="H15" s="15"/>
      <c r="I15" s="15"/>
    </row>
    <row r="16" spans="1:9">
      <c r="A16" s="15"/>
      <c r="B16" s="14"/>
      <c r="C16" s="12"/>
      <c r="D16" s="12"/>
      <c r="E16" s="11"/>
      <c r="F16" s="13"/>
      <c r="G16" s="12"/>
      <c r="H16" s="15"/>
      <c r="I16" s="15"/>
    </row>
    <row r="17" spans="1:9">
      <c r="A17" s="15"/>
      <c r="B17" s="14"/>
      <c r="C17" s="12"/>
      <c r="D17" s="12"/>
      <c r="E17" s="11"/>
      <c r="F17" s="13"/>
      <c r="G17" s="12"/>
      <c r="H17" s="15"/>
      <c r="I17" s="15"/>
    </row>
    <row r="18" spans="1:9">
      <c r="A18" s="15"/>
      <c r="B18" s="14"/>
      <c r="C18" s="12"/>
      <c r="D18" s="12"/>
      <c r="E18" s="11"/>
      <c r="F18" s="13"/>
      <c r="G18" s="12"/>
      <c r="H18" s="15"/>
      <c r="I18" s="15"/>
    </row>
    <row r="19" spans="1:9">
      <c r="A19" s="15"/>
      <c r="B19" s="14"/>
      <c r="C19" s="12"/>
      <c r="D19" s="12"/>
      <c r="E19" s="11"/>
      <c r="F19" s="13"/>
      <c r="G19" s="12"/>
      <c r="H19" s="15"/>
      <c r="I19" s="15"/>
    </row>
  </sheetData>
  <phoneticPr fontId="3" type="noConversion"/>
  <hyperlinks>
    <hyperlink ref="A1" location="目錄!A1" display="回到目錄"/>
  </hyperlinks>
  <pageMargins left="0.7" right="0.7" top="0.75" bottom="0.75" header="0.3" footer="0.3"/>
  <pageSetup paperSize="9" orientation="portrait" horizontalDpi="300" verticalDpi="300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3"/>
  <dimension ref="A1:I13"/>
  <sheetViews>
    <sheetView workbookViewId="0">
      <selection activeCell="G3" sqref="G3"/>
    </sheetView>
  </sheetViews>
  <sheetFormatPr defaultRowHeight="13.8"/>
  <cols>
    <col min="1" max="1" width="7.453125" style="10" bestFit="1" customWidth="1"/>
    <col min="2" max="2" width="4.36328125" style="10" bestFit="1" customWidth="1"/>
    <col min="3" max="3" width="23.1796875" style="10" bestFit="1" customWidth="1"/>
    <col min="4" max="4" width="11.08984375" style="10" bestFit="1" customWidth="1"/>
    <col min="5" max="5" width="7.54296875" style="10" bestFit="1" customWidth="1"/>
    <col min="6" max="6" width="10" style="10" bestFit="1" customWidth="1"/>
    <col min="7" max="7" width="13.26953125" style="10" customWidth="1"/>
    <col min="8" max="8" width="40.90625" style="10" bestFit="1" customWidth="1"/>
    <col min="9" max="9" width="10.08984375" style="10" bestFit="1" customWidth="1"/>
    <col min="10" max="16384" width="8.7265625" style="10"/>
  </cols>
  <sheetData>
    <row r="1" spans="1:9">
      <c r="A1" s="63" t="s">
        <v>36</v>
      </c>
      <c r="B1" s="5" t="s">
        <v>5</v>
      </c>
      <c r="C1" s="20" t="s">
        <v>3</v>
      </c>
      <c r="D1" s="20" t="s">
        <v>4</v>
      </c>
      <c r="E1" s="7" t="s">
        <v>6</v>
      </c>
      <c r="F1" s="9" t="s">
        <v>13</v>
      </c>
      <c r="G1" s="9" t="s">
        <v>7</v>
      </c>
      <c r="H1" s="9" t="s">
        <v>8</v>
      </c>
      <c r="I1" s="9" t="s">
        <v>105</v>
      </c>
    </row>
    <row r="2" spans="1:9">
      <c r="A2" s="15"/>
      <c r="B2" s="14" t="s">
        <v>4113</v>
      </c>
      <c r="C2" s="15" t="s">
        <v>3552</v>
      </c>
      <c r="D2" s="12" t="s">
        <v>3596</v>
      </c>
      <c r="E2" s="11"/>
      <c r="G2" s="13" t="s">
        <v>3553</v>
      </c>
      <c r="H2" s="24" t="s">
        <v>4186</v>
      </c>
      <c r="I2" s="15"/>
    </row>
    <row r="3" spans="1:9">
      <c r="A3" s="15"/>
      <c r="B3" s="14" t="s">
        <v>4113</v>
      </c>
      <c r="C3" s="15" t="s">
        <v>4172</v>
      </c>
      <c r="D3" s="15" t="s">
        <v>4114</v>
      </c>
      <c r="E3" s="14"/>
      <c r="F3" s="15"/>
      <c r="G3" s="13" t="s">
        <v>4173</v>
      </c>
      <c r="H3" s="24" t="s">
        <v>4185</v>
      </c>
      <c r="I3" s="15"/>
    </row>
    <row r="4" spans="1:9">
      <c r="A4" s="15"/>
      <c r="B4" s="14"/>
      <c r="C4" s="15" t="s">
        <v>4178</v>
      </c>
      <c r="D4" s="15" t="s">
        <v>4184</v>
      </c>
      <c r="E4" s="14"/>
      <c r="F4" s="15"/>
      <c r="G4" s="13" t="s">
        <v>4179</v>
      </c>
      <c r="H4" s="15"/>
      <c r="I4" s="15"/>
    </row>
    <row r="5" spans="1:9">
      <c r="A5" s="15"/>
      <c r="B5" s="14"/>
      <c r="C5" s="10" t="s">
        <v>3752</v>
      </c>
      <c r="D5" s="12" t="s">
        <v>3529</v>
      </c>
      <c r="E5" s="14"/>
      <c r="F5" s="15"/>
      <c r="G5" s="10" t="s">
        <v>4131</v>
      </c>
      <c r="H5" s="15" t="s">
        <v>4142</v>
      </c>
      <c r="I5" s="15"/>
    </row>
    <row r="6" spans="1:9">
      <c r="A6" s="15"/>
      <c r="B6" s="14"/>
      <c r="C6" s="10" t="s">
        <v>3751</v>
      </c>
      <c r="D6" s="12" t="s">
        <v>215</v>
      </c>
      <c r="E6" s="14"/>
      <c r="F6" s="15"/>
      <c r="G6" s="10" t="s">
        <v>4132</v>
      </c>
      <c r="H6" s="15" t="s">
        <v>4143</v>
      </c>
      <c r="I6" s="15"/>
    </row>
    <row r="7" spans="1:9">
      <c r="A7" s="15"/>
      <c r="B7" s="14"/>
      <c r="C7" s="10" t="s">
        <v>171</v>
      </c>
      <c r="D7" s="15" t="s">
        <v>4130</v>
      </c>
      <c r="E7" s="14"/>
      <c r="F7" s="15"/>
      <c r="G7" s="10" t="s">
        <v>4133</v>
      </c>
      <c r="H7" s="15" t="s">
        <v>4144</v>
      </c>
      <c r="I7" s="15"/>
    </row>
    <row r="8" spans="1:9">
      <c r="A8" s="15"/>
      <c r="B8" s="14"/>
      <c r="C8" s="10" t="s">
        <v>3730</v>
      </c>
      <c r="D8" s="29" t="s">
        <v>126</v>
      </c>
      <c r="E8" s="28"/>
      <c r="F8" s="22"/>
      <c r="G8" s="22" t="s">
        <v>125</v>
      </c>
      <c r="H8" s="27" t="s">
        <v>4122</v>
      </c>
      <c r="I8" s="15"/>
    </row>
    <row r="9" spans="1:9">
      <c r="A9" s="15"/>
      <c r="B9" s="14"/>
      <c r="C9" s="10" t="s">
        <v>2924</v>
      </c>
      <c r="D9" s="29" t="s">
        <v>126</v>
      </c>
      <c r="E9" s="28"/>
      <c r="F9" s="22"/>
      <c r="G9" s="22" t="s">
        <v>124</v>
      </c>
      <c r="H9" s="27" t="s">
        <v>4122</v>
      </c>
      <c r="I9" s="15"/>
    </row>
    <row r="10" spans="1:9">
      <c r="A10" s="15"/>
      <c r="B10" s="14"/>
      <c r="C10" s="12" t="s">
        <v>69</v>
      </c>
      <c r="D10" s="12" t="s">
        <v>11</v>
      </c>
      <c r="E10" s="11" t="s">
        <v>16</v>
      </c>
      <c r="F10" s="13" t="s">
        <v>20</v>
      </c>
      <c r="G10" s="12" t="s">
        <v>30</v>
      </c>
      <c r="H10" s="15"/>
      <c r="I10" s="15"/>
    </row>
    <row r="11" spans="1:9">
      <c r="A11" s="15"/>
      <c r="B11" s="14"/>
      <c r="C11" s="12" t="s">
        <v>1</v>
      </c>
      <c r="D11" s="12" t="s">
        <v>37</v>
      </c>
      <c r="E11" s="11"/>
      <c r="F11" s="13"/>
      <c r="G11" s="12" t="s">
        <v>31</v>
      </c>
      <c r="H11" s="15"/>
      <c r="I11" s="15"/>
    </row>
    <row r="12" spans="1:9">
      <c r="A12" s="15"/>
      <c r="B12" s="14"/>
      <c r="C12" s="12" t="s">
        <v>19</v>
      </c>
      <c r="D12" s="12" t="s">
        <v>11</v>
      </c>
      <c r="E12" s="11" t="s">
        <v>16</v>
      </c>
      <c r="F12" s="13" t="s">
        <v>20</v>
      </c>
      <c r="G12" s="12" t="s">
        <v>32</v>
      </c>
      <c r="H12" s="15"/>
      <c r="I12" s="15"/>
    </row>
    <row r="13" spans="1:9">
      <c r="A13" s="15"/>
      <c r="B13" s="14"/>
      <c r="C13" s="12" t="s">
        <v>70</v>
      </c>
      <c r="D13" s="12" t="s">
        <v>37</v>
      </c>
      <c r="E13" s="11"/>
      <c r="F13" s="13"/>
      <c r="G13" s="12" t="s">
        <v>33</v>
      </c>
      <c r="H13" s="15"/>
      <c r="I13" s="15"/>
    </row>
  </sheetData>
  <phoneticPr fontId="3" type="noConversion"/>
  <hyperlinks>
    <hyperlink ref="A1" location="目錄!A1" display="回到目錄"/>
  </hyperlink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2"/>
  <dimension ref="A1:I16"/>
  <sheetViews>
    <sheetView workbookViewId="0">
      <pane ySplit="1" topLeftCell="A2" activePane="bottomLeft" state="frozen"/>
      <selection pane="bottomLeft" sqref="A1:XFD1048576"/>
    </sheetView>
  </sheetViews>
  <sheetFormatPr defaultRowHeight="13.8"/>
  <cols>
    <col min="1" max="1" width="7.453125" style="10" bestFit="1" customWidth="1"/>
    <col min="2" max="2" width="4.36328125" style="10" bestFit="1" customWidth="1"/>
    <col min="3" max="3" width="23.1796875" style="10" bestFit="1" customWidth="1"/>
    <col min="4" max="4" width="12.54296875" style="10" bestFit="1" customWidth="1"/>
    <col min="5" max="5" width="7.54296875" style="10" bestFit="1" customWidth="1"/>
    <col min="6" max="6" width="10" style="10" bestFit="1" customWidth="1"/>
    <col min="7" max="7" width="13.26953125" style="10" customWidth="1"/>
    <col min="8" max="8" width="33.7265625" style="10" customWidth="1"/>
    <col min="9" max="9" width="11.7265625" style="10" customWidth="1"/>
    <col min="10" max="16384" width="8.7265625" style="10"/>
  </cols>
  <sheetData>
    <row r="1" spans="1:9">
      <c r="A1" s="63" t="s">
        <v>36</v>
      </c>
      <c r="B1" s="5" t="s">
        <v>5</v>
      </c>
      <c r="C1" s="20" t="s">
        <v>3</v>
      </c>
      <c r="D1" s="20" t="s">
        <v>4</v>
      </c>
      <c r="E1" s="7" t="s">
        <v>6</v>
      </c>
      <c r="F1" s="9" t="s">
        <v>13</v>
      </c>
      <c r="G1" s="9" t="s">
        <v>7</v>
      </c>
      <c r="H1" s="9" t="s">
        <v>8</v>
      </c>
      <c r="I1" s="9" t="s">
        <v>105</v>
      </c>
    </row>
    <row r="2" spans="1:9">
      <c r="A2" s="15"/>
      <c r="B2" s="14" t="s">
        <v>4113</v>
      </c>
      <c r="C2" s="15" t="s">
        <v>3552</v>
      </c>
      <c r="D2" s="12" t="s">
        <v>3596</v>
      </c>
      <c r="E2" s="11"/>
      <c r="G2" s="13" t="s">
        <v>3553</v>
      </c>
      <c r="H2" s="24" t="s">
        <v>4187</v>
      </c>
      <c r="I2" s="15"/>
    </row>
    <row r="3" spans="1:9">
      <c r="A3" s="15"/>
      <c r="B3" s="14" t="s">
        <v>4113</v>
      </c>
      <c r="C3" s="15" t="s">
        <v>4172</v>
      </c>
      <c r="D3" s="15" t="s">
        <v>4114</v>
      </c>
      <c r="E3" s="14"/>
      <c r="F3" s="15"/>
      <c r="G3" s="13" t="s">
        <v>4175</v>
      </c>
      <c r="H3" s="15" t="s">
        <v>4177</v>
      </c>
      <c r="I3" s="15"/>
    </row>
    <row r="4" spans="1:9">
      <c r="A4" s="15"/>
      <c r="B4" s="14" t="s">
        <v>14</v>
      </c>
      <c r="C4" s="15" t="s">
        <v>4174</v>
      </c>
      <c r="D4" s="15" t="s">
        <v>23</v>
      </c>
      <c r="E4" s="14"/>
      <c r="F4" s="15"/>
      <c r="G4" s="13" t="s">
        <v>4176</v>
      </c>
      <c r="H4" s="15" t="s">
        <v>4180</v>
      </c>
      <c r="I4" s="15"/>
    </row>
    <row r="5" spans="1:9">
      <c r="A5" s="15"/>
      <c r="B5" s="14"/>
      <c r="C5" s="29" t="s">
        <v>3730</v>
      </c>
      <c r="D5" s="29" t="s">
        <v>126</v>
      </c>
      <c r="E5" s="28"/>
      <c r="F5" s="22"/>
      <c r="G5" s="22" t="s">
        <v>125</v>
      </c>
      <c r="H5" s="27" t="s">
        <v>127</v>
      </c>
      <c r="I5" s="15"/>
    </row>
    <row r="6" spans="1:9">
      <c r="A6" s="15"/>
      <c r="B6" s="14"/>
      <c r="C6" s="29" t="s">
        <v>123</v>
      </c>
      <c r="D6" s="29" t="s">
        <v>126</v>
      </c>
      <c r="E6" s="28"/>
      <c r="F6" s="22"/>
      <c r="G6" s="22" t="s">
        <v>124</v>
      </c>
      <c r="H6" s="27" t="s">
        <v>127</v>
      </c>
      <c r="I6" s="15"/>
    </row>
    <row r="7" spans="1:9">
      <c r="A7" s="15"/>
      <c r="B7" s="14"/>
      <c r="C7" s="10" t="s">
        <v>4105</v>
      </c>
      <c r="D7" s="15" t="s">
        <v>4114</v>
      </c>
      <c r="E7" s="14"/>
      <c r="F7" s="15"/>
      <c r="G7" s="10" t="s">
        <v>4123</v>
      </c>
      <c r="H7" s="15"/>
      <c r="I7" s="15" t="s">
        <v>4127</v>
      </c>
    </row>
    <row r="8" spans="1:9">
      <c r="A8" s="15"/>
      <c r="B8" s="14"/>
      <c r="C8" s="10" t="s">
        <v>4120</v>
      </c>
      <c r="D8" s="15" t="s">
        <v>4116</v>
      </c>
      <c r="E8" s="14"/>
      <c r="F8" s="15"/>
      <c r="G8" s="10" t="s">
        <v>4124</v>
      </c>
      <c r="H8" s="15"/>
      <c r="I8" s="15"/>
    </row>
    <row r="9" spans="1:9">
      <c r="A9" s="15"/>
      <c r="B9" s="14"/>
      <c r="C9" s="10" t="s">
        <v>4121</v>
      </c>
      <c r="D9" s="15" t="s">
        <v>4128</v>
      </c>
      <c r="E9" s="11" t="s">
        <v>16</v>
      </c>
      <c r="F9" s="15"/>
      <c r="G9" s="10" t="s">
        <v>4125</v>
      </c>
      <c r="H9" s="15"/>
      <c r="I9" s="15"/>
    </row>
    <row r="10" spans="1:9">
      <c r="A10" s="15"/>
      <c r="B10" s="14"/>
      <c r="C10" s="10" t="s">
        <v>4145</v>
      </c>
      <c r="D10" s="15" t="s">
        <v>4114</v>
      </c>
      <c r="E10" s="11" t="s">
        <v>16</v>
      </c>
      <c r="F10" s="15"/>
      <c r="G10" s="10" t="s">
        <v>4126</v>
      </c>
      <c r="H10" s="15"/>
      <c r="I10" s="15"/>
    </row>
    <row r="11" spans="1:9">
      <c r="A11" s="15"/>
      <c r="B11" s="14"/>
      <c r="C11" s="10" t="s">
        <v>4146</v>
      </c>
      <c r="D11" s="15" t="s">
        <v>4129</v>
      </c>
      <c r="E11" s="11" t="s">
        <v>16</v>
      </c>
      <c r="F11" s="15"/>
      <c r="G11" s="10" t="s">
        <v>4148</v>
      </c>
      <c r="H11" s="15"/>
      <c r="I11" s="15"/>
    </row>
    <row r="12" spans="1:9">
      <c r="A12" s="15"/>
      <c r="B12" s="14"/>
      <c r="C12" s="10" t="s">
        <v>4147</v>
      </c>
      <c r="D12" s="15" t="s">
        <v>4115</v>
      </c>
      <c r="E12" s="11" t="s">
        <v>16</v>
      </c>
      <c r="F12" s="15"/>
      <c r="G12" s="10" t="s">
        <v>4149</v>
      </c>
      <c r="H12" s="15"/>
      <c r="I12" s="15"/>
    </row>
    <row r="13" spans="1:9">
      <c r="A13" s="15"/>
      <c r="B13" s="14"/>
      <c r="C13" s="12" t="s">
        <v>69</v>
      </c>
      <c r="D13" s="12" t="s">
        <v>11</v>
      </c>
      <c r="E13" s="11" t="s">
        <v>16</v>
      </c>
      <c r="F13" s="13" t="s">
        <v>20</v>
      </c>
      <c r="G13" s="12" t="s">
        <v>30</v>
      </c>
      <c r="H13" s="15"/>
      <c r="I13" s="15"/>
    </row>
    <row r="14" spans="1:9">
      <c r="A14" s="15"/>
      <c r="B14" s="14"/>
      <c r="C14" s="12" t="s">
        <v>1</v>
      </c>
      <c r="D14" s="12" t="s">
        <v>37</v>
      </c>
      <c r="E14" s="11"/>
      <c r="F14" s="13"/>
      <c r="G14" s="12" t="s">
        <v>31</v>
      </c>
      <c r="H14" s="15"/>
      <c r="I14" s="15"/>
    </row>
    <row r="15" spans="1:9">
      <c r="A15" s="15"/>
      <c r="B15" s="14"/>
      <c r="C15" s="12" t="s">
        <v>19</v>
      </c>
      <c r="D15" s="12" t="s">
        <v>11</v>
      </c>
      <c r="E15" s="11" t="s">
        <v>16</v>
      </c>
      <c r="F15" s="13" t="s">
        <v>20</v>
      </c>
      <c r="G15" s="12" t="s">
        <v>32</v>
      </c>
      <c r="H15" s="15"/>
      <c r="I15" s="15"/>
    </row>
    <row r="16" spans="1:9">
      <c r="A16" s="15"/>
      <c r="B16" s="14"/>
      <c r="C16" s="12" t="s">
        <v>70</v>
      </c>
      <c r="D16" s="12" t="s">
        <v>37</v>
      </c>
      <c r="E16" s="11"/>
      <c r="F16" s="13"/>
      <c r="G16" s="12" t="s">
        <v>33</v>
      </c>
      <c r="H16" s="15"/>
      <c r="I16" s="15"/>
    </row>
  </sheetData>
  <phoneticPr fontId="3" type="noConversion"/>
  <hyperlinks>
    <hyperlink ref="A1" location="目錄!A1" display="回到目錄"/>
  </hyperlinks>
  <pageMargins left="0.7" right="0.7" top="0.75" bottom="0.75" header="0.3" footer="0.3"/>
  <pageSetup paperSize="9" orientation="portrait" horizontalDpi="300" verticalDpi="300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4"/>
  <dimension ref="A1:K100"/>
  <sheetViews>
    <sheetView workbookViewId="0">
      <pane ySplit="1" topLeftCell="A86" activePane="bottomLeft" state="frozen"/>
      <selection pane="bottomLeft" activeCell="B5" sqref="B5"/>
    </sheetView>
  </sheetViews>
  <sheetFormatPr defaultRowHeight="15"/>
  <cols>
    <col min="1" max="1" width="7.453125" style="10" bestFit="1" customWidth="1"/>
    <col min="2" max="2" width="34.7265625" style="10" bestFit="1" customWidth="1"/>
    <col min="3" max="3" width="6.7265625" style="15" customWidth="1"/>
    <col min="4" max="4" width="9.08984375" style="15" customWidth="1"/>
    <col min="5" max="5" width="51.81640625" style="10" bestFit="1" customWidth="1"/>
    <col min="6" max="6" width="10" style="10" bestFit="1" customWidth="1"/>
    <col min="7" max="7" width="7" style="10" customWidth="1"/>
    <col min="8" max="8" width="10.36328125" style="10" bestFit="1" customWidth="1"/>
    <col min="9" max="9" width="7.7265625" style="112" bestFit="1" customWidth="1"/>
    <col min="10" max="10" width="9.36328125" style="10" customWidth="1"/>
    <col min="11" max="16384" width="8.7265625" style="10"/>
  </cols>
  <sheetData>
    <row r="1" spans="1:11">
      <c r="A1" s="23" t="s">
        <v>4554</v>
      </c>
      <c r="B1" s="109" t="s">
        <v>3553</v>
      </c>
      <c r="C1" s="109" t="s">
        <v>2925</v>
      </c>
      <c r="D1" s="109" t="s">
        <v>4087</v>
      </c>
      <c r="E1" s="110" t="s">
        <v>2926</v>
      </c>
      <c r="F1" s="110" t="s">
        <v>0</v>
      </c>
      <c r="G1" s="110" t="s">
        <v>1</v>
      </c>
      <c r="H1" s="110" t="s">
        <v>19</v>
      </c>
      <c r="I1" s="111" t="s">
        <v>2</v>
      </c>
      <c r="J1" s="17" t="str">
        <f>"INSERT INTO dbo.SysDocument ("&amp;B1&amp;","&amp;C1&amp;","&amp;D1&amp;","&amp;E1&amp;","&amp;F1&amp;","&amp;G1&amp;","&amp;H1&amp;","&amp;I1&amp;")"</f>
        <v>INSERT INTO dbo.SysDocument (Guid,DocType,DocItemType,DocName,CreateTime,Creator,ModifyTime,Modifier)</v>
      </c>
    </row>
    <row r="2" spans="1:11" ht="13.8">
      <c r="B2" s="60" t="s">
        <v>4094</v>
      </c>
      <c r="C2" s="40">
        <v>1</v>
      </c>
      <c r="D2" s="40">
        <v>1</v>
      </c>
      <c r="E2" s="10" t="s">
        <v>2923</v>
      </c>
      <c r="F2" s="10" t="s">
        <v>4526</v>
      </c>
      <c r="G2" s="10" t="s">
        <v>4111</v>
      </c>
      <c r="H2" s="10" t="s">
        <v>4526</v>
      </c>
      <c r="I2" s="10" t="s">
        <v>4111</v>
      </c>
      <c r="J2" s="10" t="str">
        <f>$J$1 &amp; " VALUES ('"&amp;B2&amp;"',"&amp;C2&amp;","&amp;D2&amp;",'"&amp;E2&amp;"',"&amp;F2&amp;",'"&amp;G2&amp;"',"&amp;H2&amp;",'"&amp;I2&amp;"')"</f>
        <v>INSERT INTO dbo.SysDocument (Guid,DocType,DocItemType,DocName,CreateTime,Creator,ModifyTime,Modifier) VALUES ('00000000-0000-0000-0000-000000000001',1,1,'公司簡介',GETDATE(),'Alvin',GETDATE(),'Alvin')</v>
      </c>
      <c r="K2" s="116"/>
    </row>
    <row r="3" spans="1:11" ht="13.8">
      <c r="B3" s="60" t="s">
        <v>4095</v>
      </c>
      <c r="C3" s="40">
        <v>1</v>
      </c>
      <c r="D3" s="67">
        <v>2</v>
      </c>
      <c r="E3" s="10" t="s">
        <v>2953</v>
      </c>
      <c r="F3" s="10" t="s">
        <v>4526</v>
      </c>
      <c r="G3" s="10" t="s">
        <v>523</v>
      </c>
      <c r="H3" s="10" t="s">
        <v>4526</v>
      </c>
      <c r="I3" s="10" t="s">
        <v>523</v>
      </c>
      <c r="J3" s="10" t="str">
        <f t="shared" ref="J3:J66" si="0">$J$1 &amp; " VALUES ('"&amp;B3&amp;"',"&amp;C3&amp;","&amp;D3&amp;",'"&amp;E3&amp;"',"&amp;F3&amp;",'"&amp;G3&amp;"',"&amp;H3&amp;",'"&amp;I3&amp;"')"</f>
        <v>INSERT INTO dbo.SysDocument (Guid,DocType,DocItemType,DocName,CreateTime,Creator,ModifyTime,Modifier) VALUES ('00000000-0000-0000-0000-000000000002',1,2,'集彙折扣查詢表',GETDATE(),'Alvin',GETDATE(),'Alvin')</v>
      </c>
    </row>
    <row r="4" spans="1:11" ht="13.8">
      <c r="B4" s="60" t="s">
        <v>4097</v>
      </c>
      <c r="C4" s="40">
        <v>1</v>
      </c>
      <c r="D4" s="40">
        <v>3</v>
      </c>
      <c r="E4" s="10" t="s">
        <v>2929</v>
      </c>
      <c r="F4" s="10" t="s">
        <v>4526</v>
      </c>
      <c r="G4" s="10" t="s">
        <v>523</v>
      </c>
      <c r="H4" s="10" t="s">
        <v>4526</v>
      </c>
      <c r="I4" s="10" t="s">
        <v>523</v>
      </c>
      <c r="J4" s="10" t="str">
        <f t="shared" si="0"/>
        <v>INSERT INTO dbo.SysDocument (Guid,DocType,DocItemType,DocName,CreateTime,Creator,ModifyTime,Modifier) VALUES ('00000000-0000-0000-0000-000000000003',1,3,'特約體檢醫院一覽表',GETDATE(),'Alvin',GETDATE(),'Alvin')</v>
      </c>
    </row>
    <row r="5" spans="1:11" ht="13.8">
      <c r="B5" s="60" t="s">
        <v>4208</v>
      </c>
      <c r="C5" s="40">
        <v>2</v>
      </c>
      <c r="D5" s="40">
        <v>1</v>
      </c>
      <c r="E5" s="10" t="s">
        <v>4212</v>
      </c>
      <c r="F5" s="10" t="s">
        <v>4526</v>
      </c>
      <c r="G5" s="10" t="s">
        <v>523</v>
      </c>
      <c r="H5" s="10" t="s">
        <v>4526</v>
      </c>
      <c r="I5" s="10" t="s">
        <v>523</v>
      </c>
      <c r="J5" s="10" t="str">
        <f t="shared" si="0"/>
        <v>INSERT INTO dbo.SysDocument (Guid,DocType,DocItemType,DocName,CreateTime,Creator,ModifyTime,Modifier) VALUES ('00000000-0000-0000-0000-000000000004',2,1,'A2-元大人壽健康人生終身醫療健康保險-商品DM',GETDATE(),'Alvin',GETDATE(),'Alvin')</v>
      </c>
    </row>
    <row r="6" spans="1:11" ht="13.8">
      <c r="B6" s="60" t="s">
        <v>4096</v>
      </c>
      <c r="C6" s="40">
        <v>2</v>
      </c>
      <c r="D6" s="40">
        <v>3</v>
      </c>
      <c r="E6" s="10" t="s">
        <v>4213</v>
      </c>
      <c r="F6" s="10" t="s">
        <v>4526</v>
      </c>
      <c r="G6" s="10" t="s">
        <v>523</v>
      </c>
      <c r="H6" s="10" t="s">
        <v>4526</v>
      </c>
      <c r="I6" s="10" t="s">
        <v>523</v>
      </c>
      <c r="J6" s="10" t="str">
        <f t="shared" si="0"/>
        <v>INSERT INTO dbo.SysDocument (Guid,DocType,DocItemType,DocName,CreateTime,Creator,ModifyTime,Modifier) VALUES ('00000000-0000-0000-0000-000000000005',2,3,'A2-元大人壽健康人生終身醫療健康保險-商品費率表',GETDATE(),'Alvin',GETDATE(),'Alvin')</v>
      </c>
    </row>
    <row r="7" spans="1:11" ht="13.8">
      <c r="B7" s="60" t="s">
        <v>4098</v>
      </c>
      <c r="C7" s="40">
        <v>2</v>
      </c>
      <c r="D7" s="40">
        <v>4</v>
      </c>
      <c r="E7" s="10" t="s">
        <v>4214</v>
      </c>
      <c r="F7" s="10" t="s">
        <v>4526</v>
      </c>
      <c r="G7" s="10" t="s">
        <v>523</v>
      </c>
      <c r="H7" s="10" t="s">
        <v>4526</v>
      </c>
      <c r="I7" s="10" t="s">
        <v>523</v>
      </c>
      <c r="J7" s="10" t="str">
        <f t="shared" si="0"/>
        <v>INSERT INTO dbo.SysDocument (Guid,DocType,DocItemType,DocName,CreateTime,Creator,ModifyTime,Modifier) VALUES ('00000000-0000-0000-0000-000000000006',2,4,'A2-元大人壽健康人生終身醫療健康保險-商品條款',GETDATE(),'Alvin',GETDATE(),'Alvin')</v>
      </c>
    </row>
    <row r="8" spans="1:11" ht="13.8">
      <c r="B8" s="60" t="s">
        <v>4099</v>
      </c>
      <c r="C8" s="40">
        <v>2</v>
      </c>
      <c r="D8" s="40">
        <v>5</v>
      </c>
      <c r="E8" s="10" t="s">
        <v>4215</v>
      </c>
      <c r="F8" s="10" t="s">
        <v>4526</v>
      </c>
      <c r="G8" s="10" t="s">
        <v>523</v>
      </c>
      <c r="H8" s="10" t="s">
        <v>4526</v>
      </c>
      <c r="I8" s="10" t="s">
        <v>523</v>
      </c>
      <c r="J8" s="10" t="str">
        <f t="shared" si="0"/>
        <v>INSERT INTO dbo.SysDocument (Guid,DocType,DocItemType,DocName,CreateTime,Creator,ModifyTime,Modifier) VALUES ('00000000-0000-0000-0000-000000000007',2,5,'A2-元大人壽健康人生終身醫療健康保險-條款樣張',GETDATE(),'Alvin',GETDATE(),'Alvin')</v>
      </c>
    </row>
    <row r="9" spans="1:11" ht="13.8">
      <c r="B9" s="60" t="s">
        <v>4100</v>
      </c>
      <c r="C9" s="40">
        <v>2</v>
      </c>
      <c r="D9" s="40">
        <v>1</v>
      </c>
      <c r="E9" s="10" t="s">
        <v>4216</v>
      </c>
      <c r="F9" s="10" t="s">
        <v>4526</v>
      </c>
      <c r="G9" s="10" t="s">
        <v>523</v>
      </c>
      <c r="H9" s="10" t="s">
        <v>4526</v>
      </c>
      <c r="I9" s="10" t="s">
        <v>523</v>
      </c>
      <c r="J9" s="10" t="str">
        <f t="shared" si="0"/>
        <v>INSERT INTO dbo.SysDocument (Guid,DocType,DocItemType,DocName,CreateTime,Creator,ModifyTime,Modifier) VALUES ('00000000-0000-0000-0000-000000000008',2,1,'A3-元大人壽元氣100終身醫療健康保險附約-商品DM',GETDATE(),'Alvin',GETDATE(),'Alvin')</v>
      </c>
    </row>
    <row r="10" spans="1:11" ht="13.8">
      <c r="B10" s="60" t="s">
        <v>4101</v>
      </c>
      <c r="C10" s="40">
        <v>2</v>
      </c>
      <c r="D10" s="40">
        <v>3</v>
      </c>
      <c r="E10" s="10" t="s">
        <v>4217</v>
      </c>
      <c r="F10" s="10" t="s">
        <v>4526</v>
      </c>
      <c r="G10" s="10" t="s">
        <v>523</v>
      </c>
      <c r="H10" s="10" t="s">
        <v>4526</v>
      </c>
      <c r="I10" s="10" t="s">
        <v>523</v>
      </c>
      <c r="J10" s="10" t="str">
        <f t="shared" si="0"/>
        <v>INSERT INTO dbo.SysDocument (Guid,DocType,DocItemType,DocName,CreateTime,Creator,ModifyTime,Modifier) VALUES ('00000000-0000-0000-0000-000000000009',2,3,'A3-元大人壽元氣100終身醫療健康保險附約-商品費率表',GETDATE(),'Alvin',GETDATE(),'Alvin')</v>
      </c>
    </row>
    <row r="11" spans="1:11" ht="13.8">
      <c r="B11" s="60" t="s">
        <v>4102</v>
      </c>
      <c r="C11" s="40">
        <v>2</v>
      </c>
      <c r="D11" s="40">
        <v>4</v>
      </c>
      <c r="E11" s="10" t="s">
        <v>4218</v>
      </c>
      <c r="F11" s="10" t="s">
        <v>4526</v>
      </c>
      <c r="G11" s="10" t="s">
        <v>523</v>
      </c>
      <c r="H11" s="10" t="s">
        <v>4526</v>
      </c>
      <c r="I11" s="10" t="s">
        <v>523</v>
      </c>
      <c r="J11" s="10" t="str">
        <f t="shared" si="0"/>
        <v>INSERT INTO dbo.SysDocument (Guid,DocType,DocItemType,DocName,CreateTime,Creator,ModifyTime,Modifier) VALUES ('00000000-0000-0000-0000-000000000010',2,4,'A3-元大人壽元氣100終身醫療健康保險附約-商品條款',GETDATE(),'Alvin',GETDATE(),'Alvin')</v>
      </c>
    </row>
    <row r="12" spans="1:11" ht="13.8">
      <c r="B12" s="60" t="s">
        <v>4103</v>
      </c>
      <c r="C12" s="40">
        <v>2</v>
      </c>
      <c r="D12" s="40">
        <v>5</v>
      </c>
      <c r="E12" s="10" t="s">
        <v>4219</v>
      </c>
      <c r="F12" s="10" t="s">
        <v>4526</v>
      </c>
      <c r="G12" s="10" t="s">
        <v>523</v>
      </c>
      <c r="H12" s="10" t="s">
        <v>4526</v>
      </c>
      <c r="I12" s="10" t="s">
        <v>523</v>
      </c>
      <c r="J12" s="10" t="str">
        <f t="shared" si="0"/>
        <v>INSERT INTO dbo.SysDocument (Guid,DocType,DocItemType,DocName,CreateTime,Creator,ModifyTime,Modifier) VALUES ('00000000-0000-0000-0000-000000000011',2,5,'A3-元大人壽元氣100終身醫療健康保險附約-條款樣張',GETDATE(),'Alvin',GETDATE(),'Alvin')</v>
      </c>
    </row>
    <row r="13" spans="1:11" ht="13.8">
      <c r="B13" s="60" t="s">
        <v>4109</v>
      </c>
      <c r="C13" s="40">
        <v>2</v>
      </c>
      <c r="D13" s="40">
        <v>1</v>
      </c>
      <c r="E13" s="10" t="s">
        <v>4220</v>
      </c>
      <c r="F13" s="10" t="s">
        <v>4526</v>
      </c>
      <c r="G13" s="10" t="s">
        <v>523</v>
      </c>
      <c r="H13" s="10" t="s">
        <v>4526</v>
      </c>
      <c r="I13" s="10" t="s">
        <v>523</v>
      </c>
      <c r="J13" s="10" t="str">
        <f t="shared" si="0"/>
        <v>INSERT INTO dbo.SysDocument (Guid,DocType,DocItemType,DocName,CreateTime,Creator,ModifyTime,Modifier) VALUES ('00000000-0000-0000-0000-000000000012',2,1,'C4-元大人壽真心保護防癌終身健康保險附約-商品DM',GETDATE(),'Alvin',GETDATE(),'Alvin')</v>
      </c>
    </row>
    <row r="14" spans="1:11" ht="13.8">
      <c r="B14" s="60" t="s">
        <v>4110</v>
      </c>
      <c r="C14" s="40">
        <v>2</v>
      </c>
      <c r="D14" s="40">
        <v>3</v>
      </c>
      <c r="E14" s="10" t="s">
        <v>4221</v>
      </c>
      <c r="F14" s="10" t="s">
        <v>4526</v>
      </c>
      <c r="G14" s="10" t="s">
        <v>523</v>
      </c>
      <c r="H14" s="10" t="s">
        <v>4526</v>
      </c>
      <c r="I14" s="10" t="s">
        <v>523</v>
      </c>
      <c r="J14" s="10" t="str">
        <f t="shared" si="0"/>
        <v>INSERT INTO dbo.SysDocument (Guid,DocType,DocItemType,DocName,CreateTime,Creator,ModifyTime,Modifier) VALUES ('00000000-0000-0000-0000-000000000013',2,3,'C4-元大人壽真心保護防癌終身健康保險附約-商品費率表',GETDATE(),'Alvin',GETDATE(),'Alvin')</v>
      </c>
    </row>
    <row r="15" spans="1:11" ht="13.8">
      <c r="B15" s="60" t="s">
        <v>4134</v>
      </c>
      <c r="C15" s="40">
        <v>2</v>
      </c>
      <c r="D15" s="40">
        <v>4</v>
      </c>
      <c r="E15" s="10" t="s">
        <v>4222</v>
      </c>
      <c r="F15" s="10" t="s">
        <v>4526</v>
      </c>
      <c r="G15" s="10" t="s">
        <v>523</v>
      </c>
      <c r="H15" s="10" t="s">
        <v>4526</v>
      </c>
      <c r="I15" s="10" t="s">
        <v>523</v>
      </c>
      <c r="J15" s="10" t="str">
        <f t="shared" si="0"/>
        <v>INSERT INTO dbo.SysDocument (Guid,DocType,DocItemType,DocName,CreateTime,Creator,ModifyTime,Modifier) VALUES ('00000000-0000-0000-0000-000000000014',2,4,'C4-元大人壽真心保護防癌終身健康保險附約-商品條款',GETDATE(),'Alvin',GETDATE(),'Alvin')</v>
      </c>
    </row>
    <row r="16" spans="1:11" ht="13.8">
      <c r="B16" s="60" t="s">
        <v>4135</v>
      </c>
      <c r="C16" s="40">
        <v>2</v>
      </c>
      <c r="D16" s="40">
        <v>5</v>
      </c>
      <c r="E16" s="10" t="s">
        <v>4223</v>
      </c>
      <c r="F16" s="10" t="s">
        <v>4526</v>
      </c>
      <c r="G16" s="10" t="s">
        <v>523</v>
      </c>
      <c r="H16" s="10" t="s">
        <v>4526</v>
      </c>
      <c r="I16" s="10" t="s">
        <v>523</v>
      </c>
      <c r="J16" s="10" t="str">
        <f t="shared" si="0"/>
        <v>INSERT INTO dbo.SysDocument (Guid,DocType,DocItemType,DocName,CreateTime,Creator,ModifyTime,Modifier) VALUES ('00000000-0000-0000-0000-000000000015',2,5,'C4-元大人壽真心保護防癌終身健康保險附約-條款樣張',GETDATE(),'Alvin',GETDATE(),'Alvin')</v>
      </c>
    </row>
    <row r="17" spans="2:10" ht="13.8">
      <c r="B17" s="60" t="s">
        <v>4136</v>
      </c>
      <c r="C17" s="40">
        <v>2</v>
      </c>
      <c r="D17" s="40">
        <v>1</v>
      </c>
      <c r="E17" s="10" t="s">
        <v>4224</v>
      </c>
      <c r="F17" s="10" t="s">
        <v>4526</v>
      </c>
      <c r="G17" s="10" t="s">
        <v>523</v>
      </c>
      <c r="H17" s="10" t="s">
        <v>4526</v>
      </c>
      <c r="I17" s="10" t="s">
        <v>523</v>
      </c>
      <c r="J17" s="10" t="str">
        <f t="shared" si="0"/>
        <v>INSERT INTO dbo.SysDocument (Guid,DocType,DocItemType,DocName,CreateTime,Creator,ModifyTime,Modifier) VALUES ('00000000-0000-0000-0000-000000000016',2,1,'CY-元大人壽一年期防癌健康保險附約-商品DM',GETDATE(),'Alvin',GETDATE(),'Alvin')</v>
      </c>
    </row>
    <row r="18" spans="2:10" ht="13.8">
      <c r="B18" s="60" t="s">
        <v>4137</v>
      </c>
      <c r="C18" s="40">
        <v>2</v>
      </c>
      <c r="D18" s="40">
        <v>3</v>
      </c>
      <c r="E18" s="10" t="s">
        <v>4225</v>
      </c>
      <c r="F18" s="10" t="s">
        <v>4526</v>
      </c>
      <c r="G18" s="10" t="s">
        <v>523</v>
      </c>
      <c r="H18" s="10" t="s">
        <v>4526</v>
      </c>
      <c r="I18" s="10" t="s">
        <v>523</v>
      </c>
      <c r="J18" s="10" t="str">
        <f t="shared" si="0"/>
        <v>INSERT INTO dbo.SysDocument (Guid,DocType,DocItemType,DocName,CreateTime,Creator,ModifyTime,Modifier) VALUES ('00000000-0000-0000-0000-000000000017',2,3,'CY-元大人壽一年期防癌健康保險附約-商品費率表',GETDATE(),'Alvin',GETDATE(),'Alvin')</v>
      </c>
    </row>
    <row r="19" spans="2:10" ht="13.8">
      <c r="B19" s="60" t="s">
        <v>4138</v>
      </c>
      <c r="C19" s="40">
        <v>2</v>
      </c>
      <c r="D19" s="40">
        <v>4</v>
      </c>
      <c r="E19" s="10" t="s">
        <v>4226</v>
      </c>
      <c r="F19" s="10" t="s">
        <v>4526</v>
      </c>
      <c r="G19" s="10" t="s">
        <v>523</v>
      </c>
      <c r="H19" s="10" t="s">
        <v>4526</v>
      </c>
      <c r="I19" s="10" t="s">
        <v>523</v>
      </c>
      <c r="J19" s="10" t="str">
        <f t="shared" si="0"/>
        <v>INSERT INTO dbo.SysDocument (Guid,DocType,DocItemType,DocName,CreateTime,Creator,ModifyTime,Modifier) VALUES ('00000000-0000-0000-0000-000000000018',2,4,'CY-元大人壽一年期防癌健康保險附約-商品條款',GETDATE(),'Alvin',GETDATE(),'Alvin')</v>
      </c>
    </row>
    <row r="20" spans="2:10" ht="13.8">
      <c r="B20" s="60" t="s">
        <v>4181</v>
      </c>
      <c r="C20" s="40">
        <v>2</v>
      </c>
      <c r="D20" s="40">
        <v>5</v>
      </c>
      <c r="E20" s="10" t="s">
        <v>4227</v>
      </c>
      <c r="F20" s="10" t="s">
        <v>4526</v>
      </c>
      <c r="G20" s="10" t="s">
        <v>523</v>
      </c>
      <c r="H20" s="10" t="s">
        <v>4526</v>
      </c>
      <c r="I20" s="10" t="s">
        <v>523</v>
      </c>
      <c r="J20" s="10" t="str">
        <f t="shared" si="0"/>
        <v>INSERT INTO dbo.SysDocument (Guid,DocType,DocItemType,DocName,CreateTime,Creator,ModifyTime,Modifier) VALUES ('00000000-0000-0000-0000-000000000019',2,5,'CY-元大人壽一年期防癌健康保險附約-條款樣張',GETDATE(),'Alvin',GETDATE(),'Alvin')</v>
      </c>
    </row>
    <row r="21" spans="2:10" ht="13.8">
      <c r="B21" s="60" t="s">
        <v>4182</v>
      </c>
      <c r="C21" s="40">
        <v>2</v>
      </c>
      <c r="D21" s="40">
        <v>1</v>
      </c>
      <c r="E21" s="10" t="s">
        <v>4228</v>
      </c>
      <c r="F21" s="10" t="s">
        <v>4526</v>
      </c>
      <c r="G21" s="10" t="s">
        <v>523</v>
      </c>
      <c r="H21" s="10" t="s">
        <v>4526</v>
      </c>
      <c r="I21" s="10" t="s">
        <v>523</v>
      </c>
      <c r="J21" s="10" t="str">
        <f t="shared" si="0"/>
        <v>INSERT INTO dbo.SysDocument (Guid,DocType,DocItemType,DocName,CreateTime,Creator,ModifyTime,Modifier) VALUES ('00000000-0000-0000-0000-000000000020',2,1,'DD-元大人壽重大疾病暨特定傷病健康保險附約(II)-商品DM',GETDATE(),'Alvin',GETDATE(),'Alvin')</v>
      </c>
    </row>
    <row r="22" spans="2:10" ht="13.8">
      <c r="B22" s="60" t="s">
        <v>4183</v>
      </c>
      <c r="C22" s="40">
        <v>2</v>
      </c>
      <c r="D22" s="40">
        <v>3</v>
      </c>
      <c r="E22" s="10" t="s">
        <v>4229</v>
      </c>
      <c r="F22" s="10" t="s">
        <v>4526</v>
      </c>
      <c r="G22" s="10" t="s">
        <v>523</v>
      </c>
      <c r="H22" s="10" t="s">
        <v>4526</v>
      </c>
      <c r="I22" s="10" t="s">
        <v>523</v>
      </c>
      <c r="J22" s="10" t="str">
        <f t="shared" si="0"/>
        <v>INSERT INTO dbo.SysDocument (Guid,DocType,DocItemType,DocName,CreateTime,Creator,ModifyTime,Modifier) VALUES ('00000000-0000-0000-0000-000000000021',2,3,'DD-元大人壽重大疾病暨特定傷病健康保險附約(II)-商品費率表',GETDATE(),'Alvin',GETDATE(),'Alvin')</v>
      </c>
    </row>
    <row r="23" spans="2:10" ht="13.8">
      <c r="B23" s="60" t="s">
        <v>4209</v>
      </c>
      <c r="C23" s="40">
        <v>2</v>
      </c>
      <c r="D23" s="40">
        <v>4</v>
      </c>
      <c r="E23" s="10" t="s">
        <v>4230</v>
      </c>
      <c r="F23" s="10" t="s">
        <v>4526</v>
      </c>
      <c r="G23" s="10" t="s">
        <v>523</v>
      </c>
      <c r="H23" s="10" t="s">
        <v>4526</v>
      </c>
      <c r="I23" s="10" t="s">
        <v>523</v>
      </c>
      <c r="J23" s="10" t="str">
        <f t="shared" si="0"/>
        <v>INSERT INTO dbo.SysDocument (Guid,DocType,DocItemType,DocName,CreateTime,Creator,ModifyTime,Modifier) VALUES ('00000000-0000-0000-0000-000000000022',2,4,'DD-元大人壽重大疾病暨特定傷病健康保險附約(II)-商品條款',GETDATE(),'Alvin',GETDATE(),'Alvin')</v>
      </c>
    </row>
    <row r="24" spans="2:10" ht="13.8">
      <c r="B24" s="60" t="s">
        <v>4210</v>
      </c>
      <c r="C24" s="40">
        <v>2</v>
      </c>
      <c r="D24" s="40">
        <v>5</v>
      </c>
      <c r="E24" s="10" t="s">
        <v>4231</v>
      </c>
      <c r="F24" s="10" t="s">
        <v>4526</v>
      </c>
      <c r="G24" s="10" t="s">
        <v>523</v>
      </c>
      <c r="H24" s="10" t="s">
        <v>4526</v>
      </c>
      <c r="I24" s="10" t="s">
        <v>523</v>
      </c>
      <c r="J24" s="10" t="str">
        <f t="shared" si="0"/>
        <v>INSERT INTO dbo.SysDocument (Guid,DocType,DocItemType,DocName,CreateTime,Creator,ModifyTime,Modifier) VALUES ('00000000-0000-0000-0000-000000000023',2,5,'DD-元大人壽重大疾病暨特定傷病健康保險附約(II)-條款樣張',GETDATE(),'Alvin',GETDATE(),'Alvin')</v>
      </c>
    </row>
    <row r="25" spans="2:10" ht="13.8">
      <c r="B25" s="60" t="s">
        <v>4211</v>
      </c>
      <c r="C25" s="40">
        <v>2</v>
      </c>
      <c r="D25" s="40">
        <v>1</v>
      </c>
      <c r="E25" s="10" t="s">
        <v>4235</v>
      </c>
      <c r="F25" s="10" t="s">
        <v>4526</v>
      </c>
      <c r="G25" s="10" t="s">
        <v>523</v>
      </c>
      <c r="H25" s="10" t="s">
        <v>4526</v>
      </c>
      <c r="I25" s="10" t="s">
        <v>523</v>
      </c>
      <c r="J25" s="10" t="str">
        <f t="shared" si="0"/>
        <v>INSERT INTO dbo.SysDocument (Guid,DocType,DocItemType,DocName,CreateTime,Creator,ModifyTime,Modifier) VALUES ('00000000-0000-0000-0000-000000000024',2,1,'DJ-元大人壽幸扶一世雙重照護終身保險-不分紅-商品DM',GETDATE(),'Alvin',GETDATE(),'Alvin')</v>
      </c>
    </row>
    <row r="26" spans="2:10" ht="13.8">
      <c r="B26" s="60" t="s">
        <v>4297</v>
      </c>
      <c r="C26" s="40">
        <v>2</v>
      </c>
      <c r="D26" s="40">
        <v>3</v>
      </c>
      <c r="E26" s="10" t="s">
        <v>4232</v>
      </c>
      <c r="F26" s="10" t="s">
        <v>4526</v>
      </c>
      <c r="G26" s="10" t="s">
        <v>523</v>
      </c>
      <c r="H26" s="10" t="s">
        <v>4526</v>
      </c>
      <c r="I26" s="10" t="s">
        <v>523</v>
      </c>
      <c r="J26" s="10" t="str">
        <f t="shared" si="0"/>
        <v>INSERT INTO dbo.SysDocument (Guid,DocType,DocItemType,DocName,CreateTime,Creator,ModifyTime,Modifier) VALUES ('00000000-0000-0000-0000-000000000025',2,3,'DJ-元大人壽幸扶一世雙重照護終身保險-不分紅-商品費率表',GETDATE(),'Alvin',GETDATE(),'Alvin')</v>
      </c>
    </row>
    <row r="27" spans="2:10" ht="13.8">
      <c r="B27" s="60" t="s">
        <v>4298</v>
      </c>
      <c r="C27" s="40">
        <v>2</v>
      </c>
      <c r="D27" s="40">
        <v>4</v>
      </c>
      <c r="E27" s="10" t="s">
        <v>4233</v>
      </c>
      <c r="F27" s="10" t="s">
        <v>4526</v>
      </c>
      <c r="G27" s="10" t="s">
        <v>523</v>
      </c>
      <c r="H27" s="10" t="s">
        <v>4526</v>
      </c>
      <c r="I27" s="10" t="s">
        <v>523</v>
      </c>
      <c r="J27" s="10" t="str">
        <f t="shared" si="0"/>
        <v>INSERT INTO dbo.SysDocument (Guid,DocType,DocItemType,DocName,CreateTime,Creator,ModifyTime,Modifier) VALUES ('00000000-0000-0000-0000-000000000026',2,4,'DJ-元大人壽幸扶一世雙重照護終身保險-不分紅-商品條款',GETDATE(),'Alvin',GETDATE(),'Alvin')</v>
      </c>
    </row>
    <row r="28" spans="2:10" ht="13.8">
      <c r="B28" s="60" t="s">
        <v>4299</v>
      </c>
      <c r="C28" s="40">
        <v>2</v>
      </c>
      <c r="D28" s="40">
        <v>5</v>
      </c>
      <c r="E28" s="10" t="s">
        <v>4234</v>
      </c>
      <c r="F28" s="10" t="s">
        <v>4526</v>
      </c>
      <c r="G28" s="10" t="s">
        <v>523</v>
      </c>
      <c r="H28" s="10" t="s">
        <v>4526</v>
      </c>
      <c r="I28" s="10" t="s">
        <v>523</v>
      </c>
      <c r="J28" s="10" t="str">
        <f t="shared" si="0"/>
        <v>INSERT INTO dbo.SysDocument (Guid,DocType,DocItemType,DocName,CreateTime,Creator,ModifyTime,Modifier) VALUES ('00000000-0000-0000-0000-000000000027',2,5,'DJ-元大人壽幸扶一世雙重照護終身保險-不分紅-條款樣張',GETDATE(),'Alvin',GETDATE(),'Alvin')</v>
      </c>
    </row>
    <row r="29" spans="2:10" ht="13.8">
      <c r="B29" s="60" t="s">
        <v>4300</v>
      </c>
      <c r="C29" s="40">
        <v>2</v>
      </c>
      <c r="D29" s="40">
        <v>1</v>
      </c>
      <c r="E29" s="10" t="s">
        <v>4236</v>
      </c>
      <c r="F29" s="10" t="s">
        <v>4526</v>
      </c>
      <c r="G29" s="10" t="s">
        <v>523</v>
      </c>
      <c r="H29" s="10" t="s">
        <v>4526</v>
      </c>
      <c r="I29" s="10" t="s">
        <v>523</v>
      </c>
      <c r="J29" s="10" t="str">
        <f t="shared" si="0"/>
        <v>INSERT INTO dbo.SysDocument (Guid,DocType,DocItemType,DocName,CreateTime,Creator,ModifyTime,Modifier) VALUES ('00000000-0000-0000-0000-000000000028',2,1,'DP-元大人壽重大疾病健康保險附約(乙型)-商品DM',GETDATE(),'Alvin',GETDATE(),'Alvin')</v>
      </c>
    </row>
    <row r="30" spans="2:10" ht="13.8">
      <c r="B30" s="60" t="s">
        <v>4301</v>
      </c>
      <c r="C30" s="40">
        <v>2</v>
      </c>
      <c r="D30" s="40">
        <v>3</v>
      </c>
      <c r="E30" s="10" t="s">
        <v>4237</v>
      </c>
      <c r="F30" s="10" t="s">
        <v>4526</v>
      </c>
      <c r="G30" s="10" t="s">
        <v>523</v>
      </c>
      <c r="H30" s="10" t="s">
        <v>4526</v>
      </c>
      <c r="I30" s="10" t="s">
        <v>523</v>
      </c>
      <c r="J30" s="10" t="str">
        <f t="shared" si="0"/>
        <v>INSERT INTO dbo.SysDocument (Guid,DocType,DocItemType,DocName,CreateTime,Creator,ModifyTime,Modifier) VALUES ('00000000-0000-0000-0000-000000000029',2,3,'DP-元大人壽重大疾病健康保險附約(乙型)-商品費率表',GETDATE(),'Alvin',GETDATE(),'Alvin')</v>
      </c>
    </row>
    <row r="31" spans="2:10" ht="13.8">
      <c r="B31" s="60" t="s">
        <v>4302</v>
      </c>
      <c r="C31" s="40">
        <v>2</v>
      </c>
      <c r="D31" s="40">
        <v>4</v>
      </c>
      <c r="E31" s="10" t="s">
        <v>4238</v>
      </c>
      <c r="F31" s="10" t="s">
        <v>4526</v>
      </c>
      <c r="G31" s="10" t="s">
        <v>523</v>
      </c>
      <c r="H31" s="10" t="s">
        <v>4526</v>
      </c>
      <c r="I31" s="10" t="s">
        <v>523</v>
      </c>
      <c r="J31" s="10" t="str">
        <f t="shared" si="0"/>
        <v>INSERT INTO dbo.SysDocument (Guid,DocType,DocItemType,DocName,CreateTime,Creator,ModifyTime,Modifier) VALUES ('00000000-0000-0000-0000-000000000030',2,4,'DP-元大人壽重大疾病健康保險附約(乙型)-商品條款',GETDATE(),'Alvin',GETDATE(),'Alvin')</v>
      </c>
    </row>
    <row r="32" spans="2:10" ht="13.8">
      <c r="B32" s="60" t="s">
        <v>4303</v>
      </c>
      <c r="C32" s="40">
        <v>2</v>
      </c>
      <c r="D32" s="40">
        <v>5</v>
      </c>
      <c r="E32" s="10" t="s">
        <v>4239</v>
      </c>
      <c r="F32" s="10" t="s">
        <v>4526</v>
      </c>
      <c r="G32" s="10" t="s">
        <v>523</v>
      </c>
      <c r="H32" s="10" t="s">
        <v>4526</v>
      </c>
      <c r="I32" s="10" t="s">
        <v>523</v>
      </c>
      <c r="J32" s="10" t="str">
        <f t="shared" si="0"/>
        <v>INSERT INTO dbo.SysDocument (Guid,DocType,DocItemType,DocName,CreateTime,Creator,ModifyTime,Modifier) VALUES ('00000000-0000-0000-0000-000000000031',2,5,'DP-元大人壽重大疾病健康保險附約(乙型)-條款樣張',GETDATE(),'Alvin',GETDATE(),'Alvin')</v>
      </c>
    </row>
    <row r="33" spans="2:10" ht="13.8">
      <c r="B33" s="60" t="s">
        <v>4304</v>
      </c>
      <c r="C33" s="40">
        <v>2</v>
      </c>
      <c r="D33" s="40">
        <v>1</v>
      </c>
      <c r="E33" s="10" t="s">
        <v>4240</v>
      </c>
      <c r="F33" s="10" t="s">
        <v>4526</v>
      </c>
      <c r="G33" s="10" t="s">
        <v>523</v>
      </c>
      <c r="H33" s="10" t="s">
        <v>4526</v>
      </c>
      <c r="I33" s="10" t="s">
        <v>523</v>
      </c>
      <c r="J33" s="10" t="str">
        <f t="shared" si="0"/>
        <v>INSERT INTO dbo.SysDocument (Guid,DocType,DocItemType,DocName,CreateTime,Creator,ModifyTime,Modifier) VALUES ('00000000-0000-0000-0000-000000000032',2,1,'EW-元大人壽億達利率變動型增額終身壽險-不分紅-商品DM',GETDATE(),'Alvin',GETDATE(),'Alvin')</v>
      </c>
    </row>
    <row r="34" spans="2:10" ht="13.8">
      <c r="B34" s="60" t="s">
        <v>4305</v>
      </c>
      <c r="C34" s="40">
        <v>2</v>
      </c>
      <c r="D34" s="40">
        <v>3</v>
      </c>
      <c r="E34" s="10" t="s">
        <v>4241</v>
      </c>
      <c r="F34" s="10" t="s">
        <v>4526</v>
      </c>
      <c r="G34" s="10" t="s">
        <v>523</v>
      </c>
      <c r="H34" s="10" t="s">
        <v>4526</v>
      </c>
      <c r="I34" s="10" t="s">
        <v>523</v>
      </c>
      <c r="J34" s="10" t="str">
        <f t="shared" si="0"/>
        <v>INSERT INTO dbo.SysDocument (Guid,DocType,DocItemType,DocName,CreateTime,Creator,ModifyTime,Modifier) VALUES ('00000000-0000-0000-0000-000000000033',2,3,'EW-元大人壽億達利率變動型增額終身壽險-不分紅-商品費率表',GETDATE(),'Alvin',GETDATE(),'Alvin')</v>
      </c>
    </row>
    <row r="35" spans="2:10" ht="13.8">
      <c r="B35" s="60" t="s">
        <v>4306</v>
      </c>
      <c r="C35" s="40">
        <v>2</v>
      </c>
      <c r="D35" s="40">
        <v>4</v>
      </c>
      <c r="E35" s="10" t="s">
        <v>4242</v>
      </c>
      <c r="F35" s="10" t="s">
        <v>4526</v>
      </c>
      <c r="G35" s="10" t="s">
        <v>523</v>
      </c>
      <c r="H35" s="10" t="s">
        <v>4526</v>
      </c>
      <c r="I35" s="10" t="s">
        <v>523</v>
      </c>
      <c r="J35" s="10" t="str">
        <f t="shared" si="0"/>
        <v>INSERT INTO dbo.SysDocument (Guid,DocType,DocItemType,DocName,CreateTime,Creator,ModifyTime,Modifier) VALUES ('00000000-0000-0000-0000-000000000034',2,4,'EW-元大人壽億達利率變動型增額終身壽險-不分紅-商品條款',GETDATE(),'Alvin',GETDATE(),'Alvin')</v>
      </c>
    </row>
    <row r="36" spans="2:10" ht="13.8">
      <c r="B36" s="60" t="s">
        <v>4307</v>
      </c>
      <c r="C36" s="40">
        <v>2</v>
      </c>
      <c r="D36" s="40">
        <v>5</v>
      </c>
      <c r="E36" s="10" t="s">
        <v>4243</v>
      </c>
      <c r="F36" s="10" t="s">
        <v>4526</v>
      </c>
      <c r="G36" s="10" t="s">
        <v>523</v>
      </c>
      <c r="H36" s="10" t="s">
        <v>4526</v>
      </c>
      <c r="I36" s="10" t="s">
        <v>523</v>
      </c>
      <c r="J36" s="10" t="str">
        <f t="shared" si="0"/>
        <v>INSERT INTO dbo.SysDocument (Guid,DocType,DocItemType,DocName,CreateTime,Creator,ModifyTime,Modifier) VALUES ('00000000-0000-0000-0000-000000000035',2,5,'EW-元大人壽億達利率變動型增額終身壽險-不分紅-條款樣張',GETDATE(),'Alvin',GETDATE(),'Alvin')</v>
      </c>
    </row>
    <row r="37" spans="2:10" ht="13.8">
      <c r="B37" s="60" t="s">
        <v>4308</v>
      </c>
      <c r="C37" s="40">
        <v>2</v>
      </c>
      <c r="D37" s="40">
        <v>1</v>
      </c>
      <c r="E37" s="10" t="s">
        <v>4244</v>
      </c>
      <c r="F37" s="10" t="s">
        <v>4526</v>
      </c>
      <c r="G37" s="10" t="s">
        <v>523</v>
      </c>
      <c r="H37" s="10" t="s">
        <v>4526</v>
      </c>
      <c r="I37" s="10" t="s">
        <v>523</v>
      </c>
      <c r="J37" s="10" t="str">
        <f t="shared" si="0"/>
        <v>INSERT INTO dbo.SysDocument (Guid,DocType,DocItemType,DocName,CreateTime,Creator,ModifyTime,Modifier) VALUES ('00000000-0000-0000-0000-000000000036',2,1,'FM-元大人壽美億達美元利率變動型增額終身壽險-不分紅-商品DM',GETDATE(),'Alvin',GETDATE(),'Alvin')</v>
      </c>
    </row>
    <row r="38" spans="2:10" ht="13.8">
      <c r="B38" s="60" t="s">
        <v>4309</v>
      </c>
      <c r="C38" s="40">
        <v>2</v>
      </c>
      <c r="D38" s="40">
        <v>3</v>
      </c>
      <c r="E38" s="10" t="s">
        <v>4245</v>
      </c>
      <c r="F38" s="10" t="s">
        <v>4526</v>
      </c>
      <c r="G38" s="10" t="s">
        <v>523</v>
      </c>
      <c r="H38" s="10" t="s">
        <v>4526</v>
      </c>
      <c r="I38" s="10" t="s">
        <v>523</v>
      </c>
      <c r="J38" s="10" t="str">
        <f t="shared" si="0"/>
        <v>INSERT INTO dbo.SysDocument (Guid,DocType,DocItemType,DocName,CreateTime,Creator,ModifyTime,Modifier) VALUES ('00000000-0000-0000-0000-000000000037',2,3,'FM-元大人壽美億達美元利率變動型增額終身壽險-不分紅-商品費率表',GETDATE(),'Alvin',GETDATE(),'Alvin')</v>
      </c>
    </row>
    <row r="39" spans="2:10" ht="13.8">
      <c r="B39" s="60" t="s">
        <v>4310</v>
      </c>
      <c r="C39" s="40">
        <v>2</v>
      </c>
      <c r="D39" s="40">
        <v>4</v>
      </c>
      <c r="E39" s="10" t="s">
        <v>4246</v>
      </c>
      <c r="F39" s="10" t="s">
        <v>4526</v>
      </c>
      <c r="G39" s="10" t="s">
        <v>523</v>
      </c>
      <c r="H39" s="10" t="s">
        <v>4526</v>
      </c>
      <c r="I39" s="10" t="s">
        <v>523</v>
      </c>
      <c r="J39" s="10" t="str">
        <f t="shared" si="0"/>
        <v>INSERT INTO dbo.SysDocument (Guid,DocType,DocItemType,DocName,CreateTime,Creator,ModifyTime,Modifier) VALUES ('00000000-0000-0000-0000-000000000038',2,4,'FM-元大人壽美億達美元利率變動型增額終身壽險-不分紅-商品條款',GETDATE(),'Alvin',GETDATE(),'Alvin')</v>
      </c>
    </row>
    <row r="40" spans="2:10" ht="13.8">
      <c r="B40" s="60" t="s">
        <v>4311</v>
      </c>
      <c r="C40" s="40">
        <v>2</v>
      </c>
      <c r="D40" s="40">
        <v>5</v>
      </c>
      <c r="E40" s="10" t="s">
        <v>4247</v>
      </c>
      <c r="F40" s="10" t="s">
        <v>4526</v>
      </c>
      <c r="G40" s="10" t="s">
        <v>523</v>
      </c>
      <c r="H40" s="10" t="s">
        <v>4526</v>
      </c>
      <c r="I40" s="10" t="s">
        <v>523</v>
      </c>
      <c r="J40" s="10" t="str">
        <f t="shared" si="0"/>
        <v>INSERT INTO dbo.SysDocument (Guid,DocType,DocItemType,DocName,CreateTime,Creator,ModifyTime,Modifier) VALUES ('00000000-0000-0000-0000-000000000039',2,5,'FM-元大人壽美億達美元利率變動型增額終身壽險-不分紅-條款樣張',GETDATE(),'Alvin',GETDATE(),'Alvin')</v>
      </c>
    </row>
    <row r="41" spans="2:10" ht="13.8">
      <c r="B41" s="60" t="s">
        <v>4312</v>
      </c>
      <c r="C41" s="40">
        <v>2</v>
      </c>
      <c r="D41" s="40">
        <v>1</v>
      </c>
      <c r="E41" s="10" t="s">
        <v>4248</v>
      </c>
      <c r="F41" s="10" t="s">
        <v>4526</v>
      </c>
      <c r="G41" s="10" t="s">
        <v>523</v>
      </c>
      <c r="H41" s="10" t="s">
        <v>4526</v>
      </c>
      <c r="I41" s="10" t="s">
        <v>523</v>
      </c>
      <c r="J41" s="10" t="str">
        <f t="shared" si="0"/>
        <v>INSERT INTO dbo.SysDocument (Guid,DocType,DocItemType,DocName,CreateTime,Creator,ModifyTime,Modifier) VALUES ('00000000-0000-0000-0000-000000000040',2,1,'HI-元大人壽住院日額給付保險附約-商品DM',GETDATE(),'Alvin',GETDATE(),'Alvin')</v>
      </c>
    </row>
    <row r="42" spans="2:10" ht="13.8">
      <c r="B42" s="60" t="s">
        <v>4313</v>
      </c>
      <c r="C42" s="40">
        <v>2</v>
      </c>
      <c r="D42" s="40">
        <v>3</v>
      </c>
      <c r="E42" s="10" t="s">
        <v>4249</v>
      </c>
      <c r="F42" s="10" t="s">
        <v>4526</v>
      </c>
      <c r="G42" s="10" t="s">
        <v>523</v>
      </c>
      <c r="H42" s="10" t="s">
        <v>4526</v>
      </c>
      <c r="I42" s="10" t="s">
        <v>523</v>
      </c>
      <c r="J42" s="10" t="str">
        <f t="shared" si="0"/>
        <v>INSERT INTO dbo.SysDocument (Guid,DocType,DocItemType,DocName,CreateTime,Creator,ModifyTime,Modifier) VALUES ('00000000-0000-0000-0000-000000000041',2,3,'HI-元大人壽住院日額給付保險附約-商品費率表',GETDATE(),'Alvin',GETDATE(),'Alvin')</v>
      </c>
    </row>
    <row r="43" spans="2:10" ht="13.8">
      <c r="B43" s="60" t="s">
        <v>4314</v>
      </c>
      <c r="C43" s="40">
        <v>2</v>
      </c>
      <c r="D43" s="40">
        <v>4</v>
      </c>
      <c r="E43" s="10" t="s">
        <v>4250</v>
      </c>
      <c r="F43" s="10" t="s">
        <v>4526</v>
      </c>
      <c r="G43" s="10" t="s">
        <v>523</v>
      </c>
      <c r="H43" s="10" t="s">
        <v>4526</v>
      </c>
      <c r="I43" s="10" t="s">
        <v>523</v>
      </c>
      <c r="J43" s="10" t="str">
        <f t="shared" si="0"/>
        <v>INSERT INTO dbo.SysDocument (Guid,DocType,DocItemType,DocName,CreateTime,Creator,ModifyTime,Modifier) VALUES ('00000000-0000-0000-0000-000000000042',2,4,'HI-元大人壽住院日額給付保險附約-商品條款',GETDATE(),'Alvin',GETDATE(),'Alvin')</v>
      </c>
    </row>
    <row r="44" spans="2:10" ht="13.8">
      <c r="B44" s="60" t="s">
        <v>4315</v>
      </c>
      <c r="C44" s="40">
        <v>2</v>
      </c>
      <c r="D44" s="40">
        <v>5</v>
      </c>
      <c r="E44" s="10" t="s">
        <v>4251</v>
      </c>
      <c r="F44" s="10" t="s">
        <v>4526</v>
      </c>
      <c r="G44" s="10" t="s">
        <v>523</v>
      </c>
      <c r="H44" s="10" t="s">
        <v>4526</v>
      </c>
      <c r="I44" s="10" t="s">
        <v>523</v>
      </c>
      <c r="J44" s="10" t="str">
        <f t="shared" si="0"/>
        <v>INSERT INTO dbo.SysDocument (Guid,DocType,DocItemType,DocName,CreateTime,Creator,ModifyTime,Modifier) VALUES ('00000000-0000-0000-0000-000000000043',2,5,'HI-元大人壽住院日額給付保險附約-條款樣張',GETDATE(),'Alvin',GETDATE(),'Alvin')</v>
      </c>
    </row>
    <row r="45" spans="2:10" ht="13.8">
      <c r="B45" s="60" t="s">
        <v>4316</v>
      </c>
      <c r="C45" s="40">
        <v>2</v>
      </c>
      <c r="D45" s="40">
        <v>1</v>
      </c>
      <c r="E45" s="10" t="s">
        <v>4252</v>
      </c>
      <c r="F45" s="10" t="s">
        <v>4526</v>
      </c>
      <c r="G45" s="10" t="s">
        <v>523</v>
      </c>
      <c r="H45" s="10" t="s">
        <v>4526</v>
      </c>
      <c r="I45" s="10" t="s">
        <v>523</v>
      </c>
      <c r="J45" s="10" t="str">
        <f t="shared" si="0"/>
        <v>INSERT INTO dbo.SysDocument (Guid,DocType,DocItemType,DocName,CreateTime,Creator,ModifyTime,Modifier) VALUES ('00000000-0000-0000-0000-000000000044',2,1,'HS-元大人壽綜合住院醫療保險附約-商品DM',GETDATE(),'Alvin',GETDATE(),'Alvin')</v>
      </c>
    </row>
    <row r="46" spans="2:10" ht="13.8">
      <c r="B46" s="60" t="s">
        <v>4317</v>
      </c>
      <c r="C46" s="40">
        <v>2</v>
      </c>
      <c r="D46" s="40">
        <v>3</v>
      </c>
      <c r="E46" s="10" t="s">
        <v>4255</v>
      </c>
      <c r="F46" s="10" t="s">
        <v>4526</v>
      </c>
      <c r="G46" s="10" t="s">
        <v>523</v>
      </c>
      <c r="H46" s="10" t="s">
        <v>4526</v>
      </c>
      <c r="I46" s="10" t="s">
        <v>523</v>
      </c>
      <c r="J46" s="10" t="str">
        <f t="shared" si="0"/>
        <v>INSERT INTO dbo.SysDocument (Guid,DocType,DocItemType,DocName,CreateTime,Creator,ModifyTime,Modifier) VALUES ('00000000-0000-0000-0000-000000000045',2,3,'HS-元大人壽綜合住院醫療保險附約-商品費率表',GETDATE(),'Alvin',GETDATE(),'Alvin')</v>
      </c>
    </row>
    <row r="47" spans="2:10" ht="13.8">
      <c r="B47" s="60" t="s">
        <v>4318</v>
      </c>
      <c r="C47" s="40">
        <v>2</v>
      </c>
      <c r="D47" s="40">
        <v>4</v>
      </c>
      <c r="E47" s="10" t="s">
        <v>4253</v>
      </c>
      <c r="F47" s="10" t="s">
        <v>4526</v>
      </c>
      <c r="G47" s="10" t="s">
        <v>523</v>
      </c>
      <c r="H47" s="10" t="s">
        <v>4526</v>
      </c>
      <c r="I47" s="10" t="s">
        <v>523</v>
      </c>
      <c r="J47" s="10" t="str">
        <f t="shared" si="0"/>
        <v>INSERT INTO dbo.SysDocument (Guid,DocType,DocItemType,DocName,CreateTime,Creator,ModifyTime,Modifier) VALUES ('00000000-0000-0000-0000-000000000046',2,4,'HS-元大人壽綜合住院醫療保險附約-商品條款',GETDATE(),'Alvin',GETDATE(),'Alvin')</v>
      </c>
    </row>
    <row r="48" spans="2:10" ht="13.8">
      <c r="B48" s="60" t="s">
        <v>4319</v>
      </c>
      <c r="C48" s="40">
        <v>2</v>
      </c>
      <c r="D48" s="40">
        <v>5</v>
      </c>
      <c r="E48" s="10" t="s">
        <v>4254</v>
      </c>
      <c r="F48" s="10" t="s">
        <v>4526</v>
      </c>
      <c r="G48" s="10" t="s">
        <v>523</v>
      </c>
      <c r="H48" s="10" t="s">
        <v>4526</v>
      </c>
      <c r="I48" s="10" t="s">
        <v>523</v>
      </c>
      <c r="J48" s="10" t="str">
        <f t="shared" si="0"/>
        <v>INSERT INTO dbo.SysDocument (Guid,DocType,DocItemType,DocName,CreateTime,Creator,ModifyTime,Modifier) VALUES ('00000000-0000-0000-0000-000000000047',2,5,'HS-元大人壽綜合住院醫療保險附約-條款樣張',GETDATE(),'Alvin',GETDATE(),'Alvin')</v>
      </c>
    </row>
    <row r="49" spans="2:10" ht="13.8">
      <c r="B49" s="60" t="s">
        <v>4320</v>
      </c>
      <c r="C49" s="40">
        <v>2</v>
      </c>
      <c r="D49" s="40">
        <v>1</v>
      </c>
      <c r="E49" s="10" t="s">
        <v>4256</v>
      </c>
      <c r="F49" s="10" t="s">
        <v>4526</v>
      </c>
      <c r="G49" s="10" t="s">
        <v>523</v>
      </c>
      <c r="H49" s="10" t="s">
        <v>4526</v>
      </c>
      <c r="I49" s="10" t="s">
        <v>523</v>
      </c>
      <c r="J49" s="10" t="str">
        <f t="shared" si="0"/>
        <v>INSERT INTO dbo.SysDocument (Guid,DocType,DocItemType,DocName,CreateTime,Creator,ModifyTime,Modifier) VALUES ('00000000-0000-0000-0000-000000000048',2,1,'JR-元大人壽享有心住院醫療健康保險附約-不分紅-商品DM',GETDATE(),'Alvin',GETDATE(),'Alvin')</v>
      </c>
    </row>
    <row r="50" spans="2:10" ht="13.8">
      <c r="B50" s="60" t="s">
        <v>4321</v>
      </c>
      <c r="C50" s="40">
        <v>2</v>
      </c>
      <c r="D50" s="40">
        <v>3</v>
      </c>
      <c r="E50" s="10" t="s">
        <v>4257</v>
      </c>
      <c r="F50" s="10" t="s">
        <v>4526</v>
      </c>
      <c r="G50" s="10" t="s">
        <v>523</v>
      </c>
      <c r="H50" s="10" t="s">
        <v>4526</v>
      </c>
      <c r="I50" s="10" t="s">
        <v>523</v>
      </c>
      <c r="J50" s="10" t="str">
        <f t="shared" si="0"/>
        <v>INSERT INTO dbo.SysDocument (Guid,DocType,DocItemType,DocName,CreateTime,Creator,ModifyTime,Modifier) VALUES ('00000000-0000-0000-0000-000000000049',2,3,'JR-元大人壽享有心住院醫療健康保險附約-不分紅-商品費率表',GETDATE(),'Alvin',GETDATE(),'Alvin')</v>
      </c>
    </row>
    <row r="51" spans="2:10" ht="13.8">
      <c r="B51" s="60" t="s">
        <v>4322</v>
      </c>
      <c r="C51" s="40">
        <v>2</v>
      </c>
      <c r="D51" s="40">
        <v>4</v>
      </c>
      <c r="E51" s="10" t="s">
        <v>4258</v>
      </c>
      <c r="F51" s="10" t="s">
        <v>4526</v>
      </c>
      <c r="G51" s="10" t="s">
        <v>523</v>
      </c>
      <c r="H51" s="10" t="s">
        <v>4526</v>
      </c>
      <c r="I51" s="10" t="s">
        <v>523</v>
      </c>
      <c r="J51" s="10" t="str">
        <f t="shared" si="0"/>
        <v>INSERT INTO dbo.SysDocument (Guid,DocType,DocItemType,DocName,CreateTime,Creator,ModifyTime,Modifier) VALUES ('00000000-0000-0000-0000-000000000050',2,4,'JR-元大人壽享有心住院醫療健康保險附約-不分紅-商品條款',GETDATE(),'Alvin',GETDATE(),'Alvin')</v>
      </c>
    </row>
    <row r="52" spans="2:10" ht="13.8">
      <c r="B52" s="60" t="s">
        <v>4323</v>
      </c>
      <c r="C52" s="40">
        <v>2</v>
      </c>
      <c r="D52" s="40">
        <v>5</v>
      </c>
      <c r="E52" s="10" t="s">
        <v>4259</v>
      </c>
      <c r="F52" s="10" t="s">
        <v>4526</v>
      </c>
      <c r="G52" s="10" t="s">
        <v>523</v>
      </c>
      <c r="H52" s="10" t="s">
        <v>4526</v>
      </c>
      <c r="I52" s="10" t="s">
        <v>523</v>
      </c>
      <c r="J52" s="10" t="str">
        <f t="shared" si="0"/>
        <v>INSERT INTO dbo.SysDocument (Guid,DocType,DocItemType,DocName,CreateTime,Creator,ModifyTime,Modifier) VALUES ('00000000-0000-0000-0000-000000000051',2,5,'JR-元大人壽享有心住院醫療健康保險附約-不分紅-條款樣張',GETDATE(),'Alvin',GETDATE(),'Alvin')</v>
      </c>
    </row>
    <row r="53" spans="2:10" ht="13.8">
      <c r="B53" s="60" t="s">
        <v>4324</v>
      </c>
      <c r="C53" s="40">
        <v>2</v>
      </c>
      <c r="D53" s="40">
        <v>1</v>
      </c>
      <c r="E53" s="10" t="s">
        <v>4260</v>
      </c>
      <c r="F53" s="10" t="s">
        <v>4526</v>
      </c>
      <c r="G53" s="10" t="s">
        <v>523</v>
      </c>
      <c r="H53" s="10" t="s">
        <v>4526</v>
      </c>
      <c r="I53" s="10" t="s">
        <v>523</v>
      </c>
      <c r="J53" s="10" t="str">
        <f t="shared" si="0"/>
        <v>INSERT INTO dbo.SysDocument (Guid,DocType,DocItemType,DocName,CreateTime,Creator,ModifyTime,Modifier) VALUES ('00000000-0000-0000-0000-000000000052',2,1,'LW-元大人壽永愛終身壽險-商品DM',GETDATE(),'Alvin',GETDATE(),'Alvin')</v>
      </c>
    </row>
    <row r="54" spans="2:10" ht="13.8">
      <c r="B54" s="60" t="s">
        <v>4325</v>
      </c>
      <c r="C54" s="40">
        <v>2</v>
      </c>
      <c r="D54" s="40">
        <v>3</v>
      </c>
      <c r="E54" s="10" t="s">
        <v>4261</v>
      </c>
      <c r="F54" s="10" t="s">
        <v>4526</v>
      </c>
      <c r="G54" s="10" t="s">
        <v>523</v>
      </c>
      <c r="H54" s="10" t="s">
        <v>4526</v>
      </c>
      <c r="I54" s="10" t="s">
        <v>523</v>
      </c>
      <c r="J54" s="10" t="str">
        <f t="shared" si="0"/>
        <v>INSERT INTO dbo.SysDocument (Guid,DocType,DocItemType,DocName,CreateTime,Creator,ModifyTime,Modifier) VALUES ('00000000-0000-0000-0000-000000000053',2,3,'LW-元大人壽永愛終身壽險-商品費率表',GETDATE(),'Alvin',GETDATE(),'Alvin')</v>
      </c>
    </row>
    <row r="55" spans="2:10" ht="13.8">
      <c r="B55" s="60" t="s">
        <v>4326</v>
      </c>
      <c r="C55" s="40">
        <v>2</v>
      </c>
      <c r="D55" s="40">
        <v>4</v>
      </c>
      <c r="E55" s="10" t="s">
        <v>4262</v>
      </c>
      <c r="F55" s="10" t="s">
        <v>4526</v>
      </c>
      <c r="G55" s="10" t="s">
        <v>523</v>
      </c>
      <c r="H55" s="10" t="s">
        <v>4526</v>
      </c>
      <c r="I55" s="10" t="s">
        <v>523</v>
      </c>
      <c r="J55" s="10" t="str">
        <f t="shared" si="0"/>
        <v>INSERT INTO dbo.SysDocument (Guid,DocType,DocItemType,DocName,CreateTime,Creator,ModifyTime,Modifier) VALUES ('00000000-0000-0000-0000-000000000054',2,4,'LW-元大人壽永愛終身壽險-商品條款',GETDATE(),'Alvin',GETDATE(),'Alvin')</v>
      </c>
    </row>
    <row r="56" spans="2:10" ht="13.8">
      <c r="B56" s="60" t="s">
        <v>4327</v>
      </c>
      <c r="C56" s="40">
        <v>2</v>
      </c>
      <c r="D56" s="40">
        <v>5</v>
      </c>
      <c r="E56" s="10" t="s">
        <v>4263</v>
      </c>
      <c r="F56" s="10" t="s">
        <v>4526</v>
      </c>
      <c r="G56" s="10" t="s">
        <v>523</v>
      </c>
      <c r="H56" s="10" t="s">
        <v>4526</v>
      </c>
      <c r="I56" s="10" t="s">
        <v>523</v>
      </c>
      <c r="J56" s="10" t="str">
        <f t="shared" si="0"/>
        <v>INSERT INTO dbo.SysDocument (Guid,DocType,DocItemType,DocName,CreateTime,Creator,ModifyTime,Modifier) VALUES ('00000000-0000-0000-0000-000000000055',2,5,'LW-元大人壽永愛終身壽險-條款樣張',GETDATE(),'Alvin',GETDATE(),'Alvin')</v>
      </c>
    </row>
    <row r="57" spans="2:10" ht="13.8">
      <c r="B57" s="60" t="s">
        <v>4328</v>
      </c>
      <c r="C57" s="40">
        <v>2</v>
      </c>
      <c r="D57" s="40">
        <v>1</v>
      </c>
      <c r="E57" s="10" t="s">
        <v>4264</v>
      </c>
      <c r="F57" s="10" t="s">
        <v>4526</v>
      </c>
      <c r="G57" s="10" t="s">
        <v>523</v>
      </c>
      <c r="H57" s="10" t="s">
        <v>4526</v>
      </c>
      <c r="I57" s="10" t="s">
        <v>523</v>
      </c>
      <c r="J57" s="10" t="str">
        <f t="shared" si="0"/>
        <v>INSERT INTO dbo.SysDocument (Guid,DocType,DocItemType,DocName,CreateTime,Creator,ModifyTime,Modifier) VALUES ('00000000-0000-0000-0000-000000000056',2,1,'MI-元大人壽意外傷害住院日額保險附約-商品DM',GETDATE(),'Alvin',GETDATE(),'Alvin')</v>
      </c>
    </row>
    <row r="58" spans="2:10" ht="13.8">
      <c r="B58" s="60" t="s">
        <v>4329</v>
      </c>
      <c r="C58" s="40">
        <v>2</v>
      </c>
      <c r="D58" s="40">
        <v>3</v>
      </c>
      <c r="E58" s="10" t="s">
        <v>4265</v>
      </c>
      <c r="F58" s="10" t="s">
        <v>4526</v>
      </c>
      <c r="G58" s="10" t="s">
        <v>523</v>
      </c>
      <c r="H58" s="10" t="s">
        <v>4526</v>
      </c>
      <c r="I58" s="10" t="s">
        <v>523</v>
      </c>
      <c r="J58" s="10" t="str">
        <f t="shared" si="0"/>
        <v>INSERT INTO dbo.SysDocument (Guid,DocType,DocItemType,DocName,CreateTime,Creator,ModifyTime,Modifier) VALUES ('00000000-0000-0000-0000-000000000057',2,3,'MI-元大人壽意外傷害住院日額保險附約-商品費率表',GETDATE(),'Alvin',GETDATE(),'Alvin')</v>
      </c>
    </row>
    <row r="59" spans="2:10" ht="13.8">
      <c r="B59" s="60" t="s">
        <v>4330</v>
      </c>
      <c r="C59" s="40">
        <v>2</v>
      </c>
      <c r="D59" s="40">
        <v>4</v>
      </c>
      <c r="E59" s="10" t="s">
        <v>4266</v>
      </c>
      <c r="F59" s="10" t="s">
        <v>4526</v>
      </c>
      <c r="G59" s="10" t="s">
        <v>523</v>
      </c>
      <c r="H59" s="10" t="s">
        <v>4526</v>
      </c>
      <c r="I59" s="10" t="s">
        <v>523</v>
      </c>
      <c r="J59" s="10" t="str">
        <f t="shared" si="0"/>
        <v>INSERT INTO dbo.SysDocument (Guid,DocType,DocItemType,DocName,CreateTime,Creator,ModifyTime,Modifier) VALUES ('00000000-0000-0000-0000-000000000058',2,4,'MI-元大人壽意外傷害住院日額保險附約-商品條款',GETDATE(),'Alvin',GETDATE(),'Alvin')</v>
      </c>
    </row>
    <row r="60" spans="2:10" ht="13.8">
      <c r="B60" s="60" t="s">
        <v>4331</v>
      </c>
      <c r="C60" s="40">
        <v>2</v>
      </c>
      <c r="D60" s="40">
        <v>5</v>
      </c>
      <c r="E60" s="10" t="s">
        <v>4267</v>
      </c>
      <c r="F60" s="10" t="s">
        <v>4526</v>
      </c>
      <c r="G60" s="10" t="s">
        <v>523</v>
      </c>
      <c r="H60" s="10" t="s">
        <v>4526</v>
      </c>
      <c r="I60" s="10" t="s">
        <v>523</v>
      </c>
      <c r="J60" s="10" t="str">
        <f t="shared" si="0"/>
        <v>INSERT INTO dbo.SysDocument (Guid,DocType,DocItemType,DocName,CreateTime,Creator,ModifyTime,Modifier) VALUES ('00000000-0000-0000-0000-000000000059',2,5,'MI-元大人壽意外傷害住院日額保險附約-條款樣張',GETDATE(),'Alvin',GETDATE(),'Alvin')</v>
      </c>
    </row>
    <row r="61" spans="2:10" ht="13.8">
      <c r="B61" s="60" t="s">
        <v>4332</v>
      </c>
      <c r="C61" s="40">
        <v>2</v>
      </c>
      <c r="D61" s="40">
        <v>1</v>
      </c>
      <c r="E61" s="10" t="s">
        <v>4268</v>
      </c>
      <c r="F61" s="10" t="s">
        <v>4526</v>
      </c>
      <c r="G61" s="10" t="s">
        <v>523</v>
      </c>
      <c r="H61" s="10" t="s">
        <v>4526</v>
      </c>
      <c r="I61" s="10" t="s">
        <v>523</v>
      </c>
      <c r="J61" s="10" t="str">
        <f t="shared" si="0"/>
        <v>INSERT INTO dbo.SysDocument (Guid,DocType,DocItemType,DocName,CreateTime,Creator,ModifyTime,Modifier) VALUES ('00000000-0000-0000-0000-000000000060',2,1,'NR-元大人壽享安住院醫療健康保險附約-商品DM',GETDATE(),'Alvin',GETDATE(),'Alvin')</v>
      </c>
    </row>
    <row r="62" spans="2:10" ht="13.8">
      <c r="B62" s="60" t="s">
        <v>4333</v>
      </c>
      <c r="C62" s="40">
        <v>2</v>
      </c>
      <c r="D62" s="40">
        <v>3</v>
      </c>
      <c r="E62" s="10" t="s">
        <v>4269</v>
      </c>
      <c r="F62" s="10" t="s">
        <v>4526</v>
      </c>
      <c r="G62" s="10" t="s">
        <v>523</v>
      </c>
      <c r="H62" s="10" t="s">
        <v>4526</v>
      </c>
      <c r="I62" s="10" t="s">
        <v>523</v>
      </c>
      <c r="J62" s="10" t="str">
        <f t="shared" si="0"/>
        <v>INSERT INTO dbo.SysDocument (Guid,DocType,DocItemType,DocName,CreateTime,Creator,ModifyTime,Modifier) VALUES ('00000000-0000-0000-0000-000000000061',2,3,'NR-元大人壽享安住院醫療健康保險附約-商品費率表',GETDATE(),'Alvin',GETDATE(),'Alvin')</v>
      </c>
    </row>
    <row r="63" spans="2:10" ht="13.8">
      <c r="B63" s="60" t="s">
        <v>4334</v>
      </c>
      <c r="C63" s="40">
        <v>2</v>
      </c>
      <c r="D63" s="40">
        <v>4</v>
      </c>
      <c r="E63" s="10" t="s">
        <v>4270</v>
      </c>
      <c r="F63" s="10" t="s">
        <v>4526</v>
      </c>
      <c r="G63" s="10" t="s">
        <v>523</v>
      </c>
      <c r="H63" s="10" t="s">
        <v>4526</v>
      </c>
      <c r="I63" s="10" t="s">
        <v>523</v>
      </c>
      <c r="J63" s="10" t="str">
        <f t="shared" si="0"/>
        <v>INSERT INTO dbo.SysDocument (Guid,DocType,DocItemType,DocName,CreateTime,Creator,ModifyTime,Modifier) VALUES ('00000000-0000-0000-0000-000000000062',2,4,'NR-元大人壽享安住院醫療健康保險附約-商品條款',GETDATE(),'Alvin',GETDATE(),'Alvin')</v>
      </c>
    </row>
    <row r="64" spans="2:10" ht="13.8">
      <c r="B64" s="60" t="s">
        <v>4335</v>
      </c>
      <c r="C64" s="40">
        <v>2</v>
      </c>
      <c r="D64" s="40">
        <v>5</v>
      </c>
      <c r="E64" s="10" t="s">
        <v>4271</v>
      </c>
      <c r="F64" s="10" t="s">
        <v>4526</v>
      </c>
      <c r="G64" s="10" t="s">
        <v>523</v>
      </c>
      <c r="H64" s="10" t="s">
        <v>4526</v>
      </c>
      <c r="I64" s="10" t="s">
        <v>523</v>
      </c>
      <c r="J64" s="10" t="str">
        <f t="shared" si="0"/>
        <v>INSERT INTO dbo.SysDocument (Guid,DocType,DocItemType,DocName,CreateTime,Creator,ModifyTime,Modifier) VALUES ('00000000-0000-0000-0000-000000000063',2,5,'NR-元大人壽享安住院醫療健康保險附約-條款樣張',GETDATE(),'Alvin',GETDATE(),'Alvin')</v>
      </c>
    </row>
    <row r="65" spans="2:10" ht="13.8">
      <c r="B65" s="60" t="s">
        <v>4336</v>
      </c>
      <c r="C65" s="40">
        <v>2</v>
      </c>
      <c r="D65" s="40">
        <v>1</v>
      </c>
      <c r="E65" s="10" t="s">
        <v>4272</v>
      </c>
      <c r="F65" s="10" t="s">
        <v>4526</v>
      </c>
      <c r="G65" s="10" t="s">
        <v>523</v>
      </c>
      <c r="H65" s="10" t="s">
        <v>4526</v>
      </c>
      <c r="I65" s="10" t="s">
        <v>523</v>
      </c>
      <c r="J65" s="10" t="str">
        <f t="shared" si="0"/>
        <v>INSERT INTO dbo.SysDocument (Guid,DocType,DocItemType,DocName,CreateTime,Creator,ModifyTime,Modifier) VALUES ('00000000-0000-0000-0000-000000000064',2,1,'PR-元大人壽人身傷害保險附約(II)-商品DM',GETDATE(),'Alvin',GETDATE(),'Alvin')</v>
      </c>
    </row>
    <row r="66" spans="2:10" ht="13.8">
      <c r="B66" s="60" t="s">
        <v>4337</v>
      </c>
      <c r="C66" s="40">
        <v>2</v>
      </c>
      <c r="D66" s="40">
        <v>3</v>
      </c>
      <c r="E66" s="10" t="s">
        <v>4273</v>
      </c>
      <c r="F66" s="10" t="s">
        <v>4526</v>
      </c>
      <c r="G66" s="10" t="s">
        <v>523</v>
      </c>
      <c r="H66" s="10" t="s">
        <v>4526</v>
      </c>
      <c r="I66" s="10" t="s">
        <v>523</v>
      </c>
      <c r="J66" s="10" t="str">
        <f t="shared" si="0"/>
        <v>INSERT INTO dbo.SysDocument (Guid,DocType,DocItemType,DocName,CreateTime,Creator,ModifyTime,Modifier) VALUES ('00000000-0000-0000-0000-000000000065',2,3,'PR-元大人壽人身傷害保險附約(II)-商品費率表',GETDATE(),'Alvin',GETDATE(),'Alvin')</v>
      </c>
    </row>
    <row r="67" spans="2:10" ht="13.8">
      <c r="B67" s="60" t="s">
        <v>4338</v>
      </c>
      <c r="C67" s="40">
        <v>2</v>
      </c>
      <c r="D67" s="40">
        <v>4</v>
      </c>
      <c r="E67" s="10" t="s">
        <v>4274</v>
      </c>
      <c r="F67" s="10" t="s">
        <v>4526</v>
      </c>
      <c r="G67" s="10" t="s">
        <v>523</v>
      </c>
      <c r="H67" s="10" t="s">
        <v>4526</v>
      </c>
      <c r="I67" s="10" t="s">
        <v>523</v>
      </c>
      <c r="J67" s="10" t="str">
        <f t="shared" ref="J67:J92" si="1">$J$1 &amp; " VALUES ('"&amp;B67&amp;"',"&amp;C67&amp;","&amp;D67&amp;",'"&amp;E67&amp;"',"&amp;F67&amp;",'"&amp;G67&amp;"',"&amp;H67&amp;",'"&amp;I67&amp;"')"</f>
        <v>INSERT INTO dbo.SysDocument (Guid,DocType,DocItemType,DocName,CreateTime,Creator,ModifyTime,Modifier) VALUES ('00000000-0000-0000-0000-000000000066',2,4,'PR-元大人壽人身傷害保險附約(II)-商品條款',GETDATE(),'Alvin',GETDATE(),'Alvin')</v>
      </c>
    </row>
    <row r="68" spans="2:10" ht="13.8">
      <c r="B68" s="60" t="s">
        <v>4339</v>
      </c>
      <c r="C68" s="40">
        <v>2</v>
      </c>
      <c r="D68" s="40">
        <v>5</v>
      </c>
      <c r="E68" s="10" t="s">
        <v>4275</v>
      </c>
      <c r="F68" s="10" t="s">
        <v>4526</v>
      </c>
      <c r="G68" s="10" t="s">
        <v>523</v>
      </c>
      <c r="H68" s="10" t="s">
        <v>4526</v>
      </c>
      <c r="I68" s="10" t="s">
        <v>523</v>
      </c>
      <c r="J68" s="10" t="str">
        <f t="shared" si="1"/>
        <v>INSERT INTO dbo.SysDocument (Guid,DocType,DocItemType,DocName,CreateTime,Creator,ModifyTime,Modifier) VALUES ('00000000-0000-0000-0000-000000000067',2,5,'PR-元大人壽人身傷害保險附約(II)-條款樣張',GETDATE(),'Alvin',GETDATE(),'Alvin')</v>
      </c>
    </row>
    <row r="69" spans="2:10" ht="13.8">
      <c r="B69" s="60" t="s">
        <v>4340</v>
      </c>
      <c r="C69" s="40">
        <v>2</v>
      </c>
      <c r="D69" s="40">
        <v>1</v>
      </c>
      <c r="E69" s="10" t="s">
        <v>4276</v>
      </c>
      <c r="F69" s="10" t="s">
        <v>4526</v>
      </c>
      <c r="G69" s="10" t="s">
        <v>523</v>
      </c>
      <c r="H69" s="10" t="s">
        <v>4526</v>
      </c>
      <c r="I69" s="10" t="s">
        <v>523</v>
      </c>
      <c r="J69" s="10" t="str">
        <f t="shared" si="1"/>
        <v>INSERT INTO dbo.SysDocument (Guid,DocType,DocItemType,DocName,CreateTime,Creator,ModifyTime,Modifier) VALUES ('00000000-0000-0000-0000-000000000068',2,1,'QR-元大人壽新意外傷害醫療保險附約-商品DM',GETDATE(),'Alvin',GETDATE(),'Alvin')</v>
      </c>
    </row>
    <row r="70" spans="2:10" ht="13.8">
      <c r="B70" s="60" t="s">
        <v>4341</v>
      </c>
      <c r="C70" s="40">
        <v>2</v>
      </c>
      <c r="D70" s="40">
        <v>3</v>
      </c>
      <c r="E70" s="10" t="s">
        <v>4277</v>
      </c>
      <c r="F70" s="10" t="s">
        <v>4526</v>
      </c>
      <c r="G70" s="10" t="s">
        <v>523</v>
      </c>
      <c r="H70" s="10" t="s">
        <v>4526</v>
      </c>
      <c r="I70" s="10" t="s">
        <v>523</v>
      </c>
      <c r="J70" s="10" t="str">
        <f t="shared" si="1"/>
        <v>INSERT INTO dbo.SysDocument (Guid,DocType,DocItemType,DocName,CreateTime,Creator,ModifyTime,Modifier) VALUES ('00000000-0000-0000-0000-000000000069',2,3,'QR-元大人壽新意外傷害醫療保險附約-商品費率表',GETDATE(),'Alvin',GETDATE(),'Alvin')</v>
      </c>
    </row>
    <row r="71" spans="2:10" ht="13.8">
      <c r="B71" s="60" t="s">
        <v>4342</v>
      </c>
      <c r="C71" s="40">
        <v>2</v>
      </c>
      <c r="D71" s="40">
        <v>4</v>
      </c>
      <c r="E71" s="10" t="s">
        <v>4278</v>
      </c>
      <c r="F71" s="10" t="s">
        <v>4526</v>
      </c>
      <c r="G71" s="10" t="s">
        <v>523</v>
      </c>
      <c r="H71" s="10" t="s">
        <v>4526</v>
      </c>
      <c r="I71" s="10" t="s">
        <v>523</v>
      </c>
      <c r="J71" s="10" t="str">
        <f t="shared" si="1"/>
        <v>INSERT INTO dbo.SysDocument (Guid,DocType,DocItemType,DocName,CreateTime,Creator,ModifyTime,Modifier) VALUES ('00000000-0000-0000-0000-000000000070',2,4,'QR-元大人壽新意外傷害醫療保險附約-商品條款',GETDATE(),'Alvin',GETDATE(),'Alvin')</v>
      </c>
    </row>
    <row r="72" spans="2:10" ht="13.8">
      <c r="B72" s="60" t="s">
        <v>4343</v>
      </c>
      <c r="C72" s="40">
        <v>2</v>
      </c>
      <c r="D72" s="40">
        <v>5</v>
      </c>
      <c r="E72" s="10" t="s">
        <v>4279</v>
      </c>
      <c r="F72" s="10" t="s">
        <v>4526</v>
      </c>
      <c r="G72" s="10" t="s">
        <v>523</v>
      </c>
      <c r="H72" s="10" t="s">
        <v>4526</v>
      </c>
      <c r="I72" s="10" t="s">
        <v>523</v>
      </c>
      <c r="J72" s="10" t="str">
        <f t="shared" si="1"/>
        <v>INSERT INTO dbo.SysDocument (Guid,DocType,DocItemType,DocName,CreateTime,Creator,ModifyTime,Modifier) VALUES ('00000000-0000-0000-0000-000000000071',2,5,'QR-元大人壽新意外傷害醫療保險附約-條款樣張',GETDATE(),'Alvin',GETDATE(),'Alvin')</v>
      </c>
    </row>
    <row r="73" spans="2:10" ht="13.8">
      <c r="B73" s="60" t="s">
        <v>4344</v>
      </c>
      <c r="C73" s="40">
        <v>2</v>
      </c>
      <c r="D73" s="40">
        <v>1</v>
      </c>
      <c r="E73" s="10" t="s">
        <v>4280</v>
      </c>
      <c r="F73" s="10" t="s">
        <v>4526</v>
      </c>
      <c r="G73" s="10" t="s">
        <v>523</v>
      </c>
      <c r="H73" s="10" t="s">
        <v>4526</v>
      </c>
      <c r="I73" s="10" t="s">
        <v>523</v>
      </c>
      <c r="J73" s="10" t="str">
        <f t="shared" si="1"/>
        <v>INSERT INTO dbo.SysDocument (Guid,DocType,DocItemType,DocName,CreateTime,Creator,ModifyTime,Modifier) VALUES ('00000000-0000-0000-0000-000000000072',2,1,'RL-元大人壽好安鑫重大傷病終身健康保險附約-商品DM',GETDATE(),'Alvin',GETDATE(),'Alvin')</v>
      </c>
    </row>
    <row r="74" spans="2:10" ht="13.8">
      <c r="B74" s="60" t="s">
        <v>4345</v>
      </c>
      <c r="C74" s="40">
        <v>2</v>
      </c>
      <c r="D74" s="40">
        <v>3</v>
      </c>
      <c r="E74" s="10" t="s">
        <v>4281</v>
      </c>
      <c r="F74" s="10" t="s">
        <v>4526</v>
      </c>
      <c r="G74" s="10" t="s">
        <v>523</v>
      </c>
      <c r="H74" s="10" t="s">
        <v>4526</v>
      </c>
      <c r="I74" s="10" t="s">
        <v>523</v>
      </c>
      <c r="J74" s="10" t="str">
        <f t="shared" si="1"/>
        <v>INSERT INTO dbo.SysDocument (Guid,DocType,DocItemType,DocName,CreateTime,Creator,ModifyTime,Modifier) VALUES ('00000000-0000-0000-0000-000000000073',2,3,'RL-元大人壽好安鑫重大傷病終身健康保險附約-商品費率表',GETDATE(),'Alvin',GETDATE(),'Alvin')</v>
      </c>
    </row>
    <row r="75" spans="2:10" ht="13.8">
      <c r="B75" s="60" t="s">
        <v>4346</v>
      </c>
      <c r="C75" s="40">
        <v>2</v>
      </c>
      <c r="D75" s="40">
        <v>4</v>
      </c>
      <c r="E75" s="10" t="s">
        <v>4282</v>
      </c>
      <c r="F75" s="10" t="s">
        <v>4526</v>
      </c>
      <c r="G75" s="10" t="s">
        <v>523</v>
      </c>
      <c r="H75" s="10" t="s">
        <v>4526</v>
      </c>
      <c r="I75" s="10" t="s">
        <v>523</v>
      </c>
      <c r="J75" s="10" t="str">
        <f t="shared" si="1"/>
        <v>INSERT INTO dbo.SysDocument (Guid,DocType,DocItemType,DocName,CreateTime,Creator,ModifyTime,Modifier) VALUES ('00000000-0000-0000-0000-000000000074',2,4,'RL-元大人壽好安鑫重大傷病終身健康保險附約-商品條款',GETDATE(),'Alvin',GETDATE(),'Alvin')</v>
      </c>
    </row>
    <row r="76" spans="2:10" ht="13.8">
      <c r="B76" s="60" t="s">
        <v>4347</v>
      </c>
      <c r="C76" s="40">
        <v>2</v>
      </c>
      <c r="D76" s="40">
        <v>5</v>
      </c>
      <c r="E76" s="10" t="s">
        <v>4283</v>
      </c>
      <c r="F76" s="10" t="s">
        <v>4526</v>
      </c>
      <c r="G76" s="10" t="s">
        <v>523</v>
      </c>
      <c r="H76" s="10" t="s">
        <v>4526</v>
      </c>
      <c r="I76" s="10" t="s">
        <v>523</v>
      </c>
      <c r="J76" s="10" t="str">
        <f t="shared" si="1"/>
        <v>INSERT INTO dbo.SysDocument (Guid,DocType,DocItemType,DocName,CreateTime,Creator,ModifyTime,Modifier) VALUES ('00000000-0000-0000-0000-000000000075',2,5,'RL-元大人壽好安鑫重大傷病終身健康保險附約-條款樣張',GETDATE(),'Alvin',GETDATE(),'Alvin')</v>
      </c>
    </row>
    <row r="77" spans="2:10" ht="13.8">
      <c r="B77" s="60" t="s">
        <v>4348</v>
      </c>
      <c r="C77" s="40">
        <v>2</v>
      </c>
      <c r="D77" s="40">
        <v>1</v>
      </c>
      <c r="E77" s="10" t="s">
        <v>4284</v>
      </c>
      <c r="F77" s="10" t="s">
        <v>4526</v>
      </c>
      <c r="G77" s="10" t="s">
        <v>523</v>
      </c>
      <c r="H77" s="10" t="s">
        <v>4526</v>
      </c>
      <c r="I77" s="10" t="s">
        <v>523</v>
      </c>
      <c r="J77" s="10" t="str">
        <f t="shared" si="1"/>
        <v>INSERT INTO dbo.SysDocument (Guid,DocType,DocItemType,DocName,CreateTime,Creator,ModifyTime,Modifier) VALUES ('00000000-0000-0000-0000-000000000076',2,1,'SH-元大人壽一年期手術醫療健康保險附約-商品DM',GETDATE(),'Alvin',GETDATE(),'Alvin')</v>
      </c>
    </row>
    <row r="78" spans="2:10" ht="13.8">
      <c r="B78" s="60" t="s">
        <v>4349</v>
      </c>
      <c r="C78" s="40">
        <v>2</v>
      </c>
      <c r="D78" s="40">
        <v>3</v>
      </c>
      <c r="E78" s="10" t="s">
        <v>4285</v>
      </c>
      <c r="F78" s="10" t="s">
        <v>4526</v>
      </c>
      <c r="G78" s="10" t="s">
        <v>523</v>
      </c>
      <c r="H78" s="10" t="s">
        <v>4526</v>
      </c>
      <c r="I78" s="10" t="s">
        <v>523</v>
      </c>
      <c r="J78" s="10" t="str">
        <f t="shared" si="1"/>
        <v>INSERT INTO dbo.SysDocument (Guid,DocType,DocItemType,DocName,CreateTime,Creator,ModifyTime,Modifier) VALUES ('00000000-0000-0000-0000-000000000077',2,3,'SH-元大人壽一年期手術醫療健康保險附約-商品費率表',GETDATE(),'Alvin',GETDATE(),'Alvin')</v>
      </c>
    </row>
    <row r="79" spans="2:10" ht="13.8">
      <c r="B79" s="60" t="s">
        <v>4350</v>
      </c>
      <c r="C79" s="40">
        <v>2</v>
      </c>
      <c r="D79" s="40">
        <v>4</v>
      </c>
      <c r="E79" s="10" t="s">
        <v>4286</v>
      </c>
      <c r="F79" s="10" t="s">
        <v>4526</v>
      </c>
      <c r="G79" s="10" t="s">
        <v>523</v>
      </c>
      <c r="H79" s="10" t="s">
        <v>4526</v>
      </c>
      <c r="I79" s="10" t="s">
        <v>523</v>
      </c>
      <c r="J79" s="10" t="str">
        <f t="shared" si="1"/>
        <v>INSERT INTO dbo.SysDocument (Guid,DocType,DocItemType,DocName,CreateTime,Creator,ModifyTime,Modifier) VALUES ('00000000-0000-0000-0000-000000000078',2,4,'SH-元大人壽一年期手術醫療健康保險附約-商品條款',GETDATE(),'Alvin',GETDATE(),'Alvin')</v>
      </c>
    </row>
    <row r="80" spans="2:10" ht="13.8">
      <c r="B80" s="60" t="s">
        <v>4351</v>
      </c>
      <c r="C80" s="40">
        <v>2</v>
      </c>
      <c r="D80" s="40">
        <v>5</v>
      </c>
      <c r="E80" s="10" t="s">
        <v>4287</v>
      </c>
      <c r="F80" s="10" t="s">
        <v>4526</v>
      </c>
      <c r="G80" s="10" t="s">
        <v>523</v>
      </c>
      <c r="H80" s="10" t="s">
        <v>4526</v>
      </c>
      <c r="I80" s="10" t="s">
        <v>523</v>
      </c>
      <c r="J80" s="10" t="str">
        <f t="shared" si="1"/>
        <v>INSERT INTO dbo.SysDocument (Guid,DocType,DocItemType,DocName,CreateTime,Creator,ModifyTime,Modifier) VALUES ('00000000-0000-0000-0000-000000000079',2,5,'SH-元大人壽一年期手術醫療健康保險附約-條款樣張',GETDATE(),'Alvin',GETDATE(),'Alvin')</v>
      </c>
    </row>
    <row r="81" spans="2:10" ht="13.8">
      <c r="B81" s="60" t="s">
        <v>4352</v>
      </c>
      <c r="C81" s="40">
        <v>2</v>
      </c>
      <c r="D81" s="40">
        <v>1</v>
      </c>
      <c r="E81" s="10" t="s">
        <v>4288</v>
      </c>
      <c r="F81" s="10" t="s">
        <v>4526</v>
      </c>
      <c r="G81" s="10" t="s">
        <v>523</v>
      </c>
      <c r="H81" s="10" t="s">
        <v>4526</v>
      </c>
      <c r="I81" s="10" t="s">
        <v>523</v>
      </c>
      <c r="J81" s="10" t="str">
        <f t="shared" si="1"/>
        <v>INSERT INTO dbo.SysDocument (Guid,DocType,DocItemType,DocName,CreateTime,Creator,ModifyTime,Modifier) VALUES ('00000000-0000-0000-0000-000000000080',2,1,'TM-元大人壽新加值定期壽險-商品DM',GETDATE(),'Alvin',GETDATE(),'Alvin')</v>
      </c>
    </row>
    <row r="82" spans="2:10" ht="13.8">
      <c r="B82" s="60" t="s">
        <v>4353</v>
      </c>
      <c r="C82" s="40">
        <v>2</v>
      </c>
      <c r="D82" s="40">
        <v>3</v>
      </c>
      <c r="E82" s="10" t="s">
        <v>4289</v>
      </c>
      <c r="F82" s="10" t="s">
        <v>4526</v>
      </c>
      <c r="G82" s="10" t="s">
        <v>523</v>
      </c>
      <c r="H82" s="10" t="s">
        <v>4526</v>
      </c>
      <c r="I82" s="10" t="s">
        <v>523</v>
      </c>
      <c r="J82" s="10" t="str">
        <f t="shared" si="1"/>
        <v>INSERT INTO dbo.SysDocument (Guid,DocType,DocItemType,DocName,CreateTime,Creator,ModifyTime,Modifier) VALUES ('00000000-0000-0000-0000-000000000081',2,3,'TM-元大人壽新加值定期壽險-商品費率表',GETDATE(),'Alvin',GETDATE(),'Alvin')</v>
      </c>
    </row>
    <row r="83" spans="2:10" ht="13.8">
      <c r="B83" s="60" t="s">
        <v>4354</v>
      </c>
      <c r="C83" s="40">
        <v>2</v>
      </c>
      <c r="D83" s="40">
        <v>4</v>
      </c>
      <c r="E83" s="10" t="s">
        <v>4290</v>
      </c>
      <c r="F83" s="10" t="s">
        <v>4526</v>
      </c>
      <c r="G83" s="10" t="s">
        <v>523</v>
      </c>
      <c r="H83" s="10" t="s">
        <v>4526</v>
      </c>
      <c r="I83" s="10" t="s">
        <v>523</v>
      </c>
      <c r="J83" s="10" t="str">
        <f t="shared" si="1"/>
        <v>INSERT INTO dbo.SysDocument (Guid,DocType,DocItemType,DocName,CreateTime,Creator,ModifyTime,Modifier) VALUES ('00000000-0000-0000-0000-000000000082',2,4,'TM-元大人壽新加值定期壽險-商品條款',GETDATE(),'Alvin',GETDATE(),'Alvin')</v>
      </c>
    </row>
    <row r="84" spans="2:10" ht="13.8">
      <c r="B84" s="60" t="s">
        <v>4355</v>
      </c>
      <c r="C84" s="40">
        <v>2</v>
      </c>
      <c r="D84" s="40">
        <v>5</v>
      </c>
      <c r="E84" s="10" t="s">
        <v>4291</v>
      </c>
      <c r="F84" s="10" t="s">
        <v>4526</v>
      </c>
      <c r="G84" s="10" t="s">
        <v>523</v>
      </c>
      <c r="H84" s="10" t="s">
        <v>4526</v>
      </c>
      <c r="I84" s="10" t="s">
        <v>523</v>
      </c>
      <c r="J84" s="10" t="str">
        <f t="shared" si="1"/>
        <v>INSERT INTO dbo.SysDocument (Guid,DocType,DocItemType,DocName,CreateTime,Creator,ModifyTime,Modifier) VALUES ('00000000-0000-0000-0000-000000000083',2,5,'TM-元大人壽新加值定期壽險-條款樣張',GETDATE(),'Alvin',GETDATE(),'Alvin')</v>
      </c>
    </row>
    <row r="85" spans="2:10" ht="13.8">
      <c r="B85" s="60" t="s">
        <v>4356</v>
      </c>
      <c r="C85" s="40">
        <v>2</v>
      </c>
      <c r="D85" s="40">
        <v>1</v>
      </c>
      <c r="E85" s="10" t="s">
        <v>4555</v>
      </c>
      <c r="F85" s="10" t="s">
        <v>4526</v>
      </c>
      <c r="G85" s="10" t="s">
        <v>523</v>
      </c>
      <c r="H85" s="10" t="s">
        <v>4526</v>
      </c>
      <c r="I85" s="10" t="s">
        <v>523</v>
      </c>
      <c r="J85" s="10" t="str">
        <f t="shared" si="1"/>
        <v>INSERT INTO dbo.SysDocument (Guid,DocType,DocItemType,DocName,CreateTime,Creator,ModifyTime,Modifier) VALUES ('00000000-0000-0000-0000-000000000084',2,1,'WB-元大人壽真意豁免保險費附約-商品DM',GETDATE(),'Alvin',GETDATE(),'Alvin')</v>
      </c>
    </row>
    <row r="86" spans="2:10" ht="13.8">
      <c r="B86" s="60" t="s">
        <v>4357</v>
      </c>
      <c r="C86" s="40">
        <v>2</v>
      </c>
      <c r="D86" s="40">
        <v>3</v>
      </c>
      <c r="E86" s="10" t="s">
        <v>4556</v>
      </c>
      <c r="F86" s="10" t="s">
        <v>4526</v>
      </c>
      <c r="G86" s="10" t="s">
        <v>523</v>
      </c>
      <c r="H86" s="10" t="s">
        <v>4526</v>
      </c>
      <c r="I86" s="10" t="s">
        <v>523</v>
      </c>
      <c r="J86" s="10" t="str">
        <f t="shared" si="1"/>
        <v>INSERT INTO dbo.SysDocument (Guid,DocType,DocItemType,DocName,CreateTime,Creator,ModifyTime,Modifier) VALUES ('00000000-0000-0000-0000-000000000085',2,3,'WB-元大人壽真意豁免保險費附約-商品費率表',GETDATE(),'Alvin',GETDATE(),'Alvin')</v>
      </c>
    </row>
    <row r="87" spans="2:10" ht="13.8">
      <c r="B87" s="60" t="s">
        <v>4358</v>
      </c>
      <c r="C87" s="40">
        <v>2</v>
      </c>
      <c r="D87" s="40">
        <v>4</v>
      </c>
      <c r="E87" s="10" t="s">
        <v>4292</v>
      </c>
      <c r="F87" s="10" t="s">
        <v>4526</v>
      </c>
      <c r="G87" s="10" t="s">
        <v>523</v>
      </c>
      <c r="H87" s="10" t="s">
        <v>4526</v>
      </c>
      <c r="I87" s="10" t="s">
        <v>523</v>
      </c>
      <c r="J87" s="10" t="str">
        <f t="shared" si="1"/>
        <v>INSERT INTO dbo.SysDocument (Guid,DocType,DocItemType,DocName,CreateTime,Creator,ModifyTime,Modifier) VALUES ('00000000-0000-0000-0000-000000000086',2,4,'WB-元大人壽真意豁免保險費附約-商品條款',GETDATE(),'Alvin',GETDATE(),'Alvin')</v>
      </c>
    </row>
    <row r="88" spans="2:10" ht="13.8">
      <c r="B88" s="60" t="s">
        <v>4359</v>
      </c>
      <c r="C88" s="40">
        <v>2</v>
      </c>
      <c r="D88" s="40">
        <v>5</v>
      </c>
      <c r="E88" s="10" t="s">
        <v>4293</v>
      </c>
      <c r="F88" s="10" t="s">
        <v>4526</v>
      </c>
      <c r="G88" s="10" t="s">
        <v>523</v>
      </c>
      <c r="H88" s="10" t="s">
        <v>4526</v>
      </c>
      <c r="I88" s="10" t="s">
        <v>523</v>
      </c>
      <c r="J88" s="10" t="str">
        <f t="shared" si="1"/>
        <v>INSERT INTO dbo.SysDocument (Guid,DocType,DocItemType,DocName,CreateTime,Creator,ModifyTime,Modifier) VALUES ('00000000-0000-0000-0000-000000000087',2,5,'WB-元大人壽真意豁免保險費附約-條款樣張',GETDATE(),'Alvin',GETDATE(),'Alvin')</v>
      </c>
    </row>
    <row r="89" spans="2:10" ht="13.8">
      <c r="B89" s="60" t="s">
        <v>4360</v>
      </c>
      <c r="C89" s="40">
        <v>2</v>
      </c>
      <c r="D89" s="40">
        <v>1</v>
      </c>
      <c r="E89" s="10" t="s">
        <v>4294</v>
      </c>
      <c r="F89" s="10" t="s">
        <v>4526</v>
      </c>
      <c r="G89" s="10" t="s">
        <v>523</v>
      </c>
      <c r="H89" s="10" t="s">
        <v>4526</v>
      </c>
      <c r="I89" s="10" t="s">
        <v>523</v>
      </c>
      <c r="J89" s="10" t="str">
        <f t="shared" si="1"/>
        <v>INSERT INTO dbo.SysDocument (Guid,DocType,DocItemType,DocName,CreateTime,Creator,ModifyTime,Modifier) VALUES ('00000000-0000-0000-0000-000000000088',2,1,'WD-元大人壽真心豁免保險費附約-商品DM',GETDATE(),'Alvin',GETDATE(),'Alvin')</v>
      </c>
    </row>
    <row r="90" spans="2:10" ht="13.8">
      <c r="B90" s="60" t="s">
        <v>4361</v>
      </c>
      <c r="C90" s="40">
        <v>2</v>
      </c>
      <c r="D90" s="40">
        <v>3</v>
      </c>
      <c r="E90" s="10" t="s">
        <v>4295</v>
      </c>
      <c r="F90" s="10" t="s">
        <v>4526</v>
      </c>
      <c r="G90" s="10" t="s">
        <v>523</v>
      </c>
      <c r="H90" s="10" t="s">
        <v>4526</v>
      </c>
      <c r="I90" s="10" t="s">
        <v>523</v>
      </c>
      <c r="J90" s="10" t="str">
        <f t="shared" si="1"/>
        <v>INSERT INTO dbo.SysDocument (Guid,DocType,DocItemType,DocName,CreateTime,Creator,ModifyTime,Modifier) VALUES ('00000000-0000-0000-0000-000000000089',2,3,'WD-元大人壽真心豁免保險費附約-商品費率表',GETDATE(),'Alvin',GETDATE(),'Alvin')</v>
      </c>
    </row>
    <row r="91" spans="2:10" ht="13.8">
      <c r="B91" s="60" t="s">
        <v>4362</v>
      </c>
      <c r="C91" s="40">
        <v>2</v>
      </c>
      <c r="D91" s="40">
        <v>4</v>
      </c>
      <c r="E91" s="10" t="s">
        <v>4558</v>
      </c>
      <c r="F91" s="10" t="s">
        <v>4526</v>
      </c>
      <c r="G91" s="10" t="s">
        <v>523</v>
      </c>
      <c r="H91" s="10" t="s">
        <v>4526</v>
      </c>
      <c r="I91" s="10" t="s">
        <v>523</v>
      </c>
      <c r="J91" s="10" t="str">
        <f t="shared" si="1"/>
        <v>INSERT INTO dbo.SysDocument (Guid,DocType,DocItemType,DocName,CreateTime,Creator,ModifyTime,Modifier) VALUES ('00000000-0000-0000-0000-000000000090',2,4,'WD-元大人壽真心豁免保險費附約-商品條款',GETDATE(),'Alvin',GETDATE(),'Alvin')</v>
      </c>
    </row>
    <row r="92" spans="2:10" ht="13.8">
      <c r="B92" s="60" t="s">
        <v>4363</v>
      </c>
      <c r="C92" s="40">
        <v>2</v>
      </c>
      <c r="D92" s="40">
        <v>5</v>
      </c>
      <c r="E92" s="10" t="s">
        <v>4296</v>
      </c>
      <c r="F92" s="10" t="s">
        <v>4526</v>
      </c>
      <c r="G92" s="10" t="s">
        <v>523</v>
      </c>
      <c r="H92" s="10" t="s">
        <v>4526</v>
      </c>
      <c r="I92" s="10" t="s">
        <v>523</v>
      </c>
      <c r="J92" s="10" t="str">
        <f t="shared" si="1"/>
        <v>INSERT INTO dbo.SysDocument (Guid,DocType,DocItemType,DocName,CreateTime,Creator,ModifyTime,Modifier) VALUES ('00000000-0000-0000-0000-000000000091',2,5,'WD-元大人壽真心豁免保險費附約-條款樣張',GETDATE(),'Alvin',GETDATE(),'Alvin')</v>
      </c>
    </row>
    <row r="93" spans="2:10" ht="13.8">
      <c r="B93" s="60" t="s">
        <v>4566</v>
      </c>
      <c r="C93" s="40">
        <v>2</v>
      </c>
      <c r="D93" s="40">
        <v>1</v>
      </c>
      <c r="E93" s="10" t="s">
        <v>4561</v>
      </c>
      <c r="F93" s="10" t="s">
        <v>4526</v>
      </c>
      <c r="G93" s="10" t="s">
        <v>523</v>
      </c>
      <c r="H93" s="10" t="s">
        <v>4526</v>
      </c>
      <c r="I93" s="10" t="s">
        <v>523</v>
      </c>
      <c r="J93" s="10" t="str">
        <f t="shared" ref="J93:J100" si="2">$J$1 &amp; " VALUES ('"&amp;B93&amp;"',"&amp;C93&amp;","&amp;D93&amp;",'"&amp;E93&amp;"',"&amp;F93&amp;",'"&amp;G93&amp;"',"&amp;H93&amp;",'"&amp;I93&amp;"')"</f>
        <v>INSERT INTO dbo.SysDocument (Guid,DocType,DocItemType,DocName,CreateTime,Creator,ModifyTime,Modifier) VALUES ('00000000-0000-0000-0000-000000000092',2,1,'WH-元大人壽美意美元豁免保險費附約-商品DM',GETDATE(),'Alvin',GETDATE(),'Alvin')</v>
      </c>
    </row>
    <row r="94" spans="2:10" ht="13.8">
      <c r="B94" s="60" t="s">
        <v>4567</v>
      </c>
      <c r="C94" s="40">
        <v>2</v>
      </c>
      <c r="D94" s="40">
        <v>3</v>
      </c>
      <c r="E94" s="10" t="s">
        <v>4557</v>
      </c>
      <c r="F94" s="10" t="s">
        <v>4526</v>
      </c>
      <c r="G94" s="10" t="s">
        <v>523</v>
      </c>
      <c r="H94" s="10" t="s">
        <v>4526</v>
      </c>
      <c r="I94" s="10" t="s">
        <v>523</v>
      </c>
      <c r="J94" s="10" t="str">
        <f t="shared" si="2"/>
        <v>INSERT INTO dbo.SysDocument (Guid,DocType,DocItemType,DocName,CreateTime,Creator,ModifyTime,Modifier) VALUES ('00000000-0000-0000-0000-000000000093',2,3,'WH-元大人壽美意美元豁免保險費附約-商品費率表',GETDATE(),'Alvin',GETDATE(),'Alvin')</v>
      </c>
    </row>
    <row r="95" spans="2:10" ht="13.8">
      <c r="B95" s="60" t="s">
        <v>4568</v>
      </c>
      <c r="C95" s="40">
        <v>2</v>
      </c>
      <c r="D95" s="40">
        <v>4</v>
      </c>
      <c r="E95" s="10" t="s">
        <v>4559</v>
      </c>
      <c r="F95" s="10" t="s">
        <v>4526</v>
      </c>
      <c r="G95" s="10" t="s">
        <v>523</v>
      </c>
      <c r="H95" s="10" t="s">
        <v>4526</v>
      </c>
      <c r="I95" s="10" t="s">
        <v>523</v>
      </c>
      <c r="J95" s="10" t="str">
        <f t="shared" si="2"/>
        <v>INSERT INTO dbo.SysDocument (Guid,DocType,DocItemType,DocName,CreateTime,Creator,ModifyTime,Modifier) VALUES ('00000000-0000-0000-0000-000000000094',2,4,'WH-元大人壽美意美元豁免保險費附約-商品條款',GETDATE(),'Alvin',GETDATE(),'Alvin')</v>
      </c>
    </row>
    <row r="96" spans="2:10" ht="13.8">
      <c r="B96" s="60" t="s">
        <v>4569</v>
      </c>
      <c r="C96" s="40">
        <v>2</v>
      </c>
      <c r="D96" s="40">
        <v>5</v>
      </c>
      <c r="E96" s="10" t="s">
        <v>4560</v>
      </c>
      <c r="F96" s="10" t="s">
        <v>4526</v>
      </c>
      <c r="G96" s="10" t="s">
        <v>523</v>
      </c>
      <c r="H96" s="10" t="s">
        <v>4526</v>
      </c>
      <c r="I96" s="10" t="s">
        <v>523</v>
      </c>
      <c r="J96" s="10" t="str">
        <f t="shared" si="2"/>
        <v>INSERT INTO dbo.SysDocument (Guid,DocType,DocItemType,DocName,CreateTime,Creator,ModifyTime,Modifier) VALUES ('00000000-0000-0000-0000-000000000095',2,5,'WH-元大人壽美意美元豁免保險費附約-條款樣張',GETDATE(),'Alvin',GETDATE(),'Alvin')</v>
      </c>
    </row>
    <row r="97" spans="2:10" ht="13.8">
      <c r="B97" s="60" t="s">
        <v>4570</v>
      </c>
      <c r="C97" s="40">
        <v>2</v>
      </c>
      <c r="D97" s="40">
        <v>1</v>
      </c>
      <c r="E97" s="10" t="s">
        <v>4562</v>
      </c>
      <c r="F97" s="10" t="s">
        <v>4526</v>
      </c>
      <c r="G97" s="10" t="s">
        <v>523</v>
      </c>
      <c r="H97" s="10" t="s">
        <v>4526</v>
      </c>
      <c r="I97" s="10" t="s">
        <v>523</v>
      </c>
      <c r="J97" s="10" t="str">
        <f t="shared" si="2"/>
        <v>INSERT INTO dbo.SysDocument (Guid,DocType,DocItemType,DocName,CreateTime,Creator,ModifyTime,Modifier) VALUES ('00000000-0000-0000-0000-000000000096',2,1,'WI-元大人壽美心美元豁免保險費附約-商品DM',GETDATE(),'Alvin',GETDATE(),'Alvin')</v>
      </c>
    </row>
    <row r="98" spans="2:10" ht="13.8">
      <c r="B98" s="60" t="s">
        <v>4571</v>
      </c>
      <c r="C98" s="40">
        <v>2</v>
      </c>
      <c r="D98" s="40">
        <v>3</v>
      </c>
      <c r="E98" s="10" t="s">
        <v>4563</v>
      </c>
      <c r="F98" s="10" t="s">
        <v>4526</v>
      </c>
      <c r="G98" s="10" t="s">
        <v>523</v>
      </c>
      <c r="H98" s="10" t="s">
        <v>4526</v>
      </c>
      <c r="I98" s="10" t="s">
        <v>523</v>
      </c>
      <c r="J98" s="10" t="str">
        <f t="shared" si="2"/>
        <v>INSERT INTO dbo.SysDocument (Guid,DocType,DocItemType,DocName,CreateTime,Creator,ModifyTime,Modifier) VALUES ('00000000-0000-0000-0000-000000000097',2,3,'WI-元大人壽美心美元豁免保險費附約-商品費率表',GETDATE(),'Alvin',GETDATE(),'Alvin')</v>
      </c>
    </row>
    <row r="99" spans="2:10" ht="13.8">
      <c r="B99" s="60" t="s">
        <v>4572</v>
      </c>
      <c r="C99" s="40">
        <v>2</v>
      </c>
      <c r="D99" s="40">
        <v>4</v>
      </c>
      <c r="E99" s="10" t="s">
        <v>4564</v>
      </c>
      <c r="F99" s="10" t="s">
        <v>4526</v>
      </c>
      <c r="G99" s="10" t="s">
        <v>523</v>
      </c>
      <c r="H99" s="10" t="s">
        <v>4526</v>
      </c>
      <c r="I99" s="10" t="s">
        <v>523</v>
      </c>
      <c r="J99" s="10" t="str">
        <f t="shared" si="2"/>
        <v>INSERT INTO dbo.SysDocument (Guid,DocType,DocItemType,DocName,CreateTime,Creator,ModifyTime,Modifier) VALUES ('00000000-0000-0000-0000-000000000098',2,4,'WI-元大人壽美心美元豁免保險費附約-商品條款',GETDATE(),'Alvin',GETDATE(),'Alvin')</v>
      </c>
    </row>
    <row r="100" spans="2:10" ht="13.8">
      <c r="B100" s="60" t="s">
        <v>4573</v>
      </c>
      <c r="C100" s="40">
        <v>2</v>
      </c>
      <c r="D100" s="40">
        <v>5</v>
      </c>
      <c r="E100" s="10" t="s">
        <v>4565</v>
      </c>
      <c r="F100" s="10" t="s">
        <v>4526</v>
      </c>
      <c r="G100" s="10" t="s">
        <v>523</v>
      </c>
      <c r="H100" s="10" t="s">
        <v>4526</v>
      </c>
      <c r="I100" s="10" t="s">
        <v>523</v>
      </c>
      <c r="J100" s="10" t="str">
        <f t="shared" si="2"/>
        <v>INSERT INTO dbo.SysDocument (Guid,DocType,DocItemType,DocName,CreateTime,Creator,ModifyTime,Modifier) VALUES ('00000000-0000-0000-0000-000000000099',2,5,'WI-元大人壽美心美元豁免保險費附約-條款樣張',GETDATE(),'Alvin',GETDATE(),'Alvin')</v>
      </c>
    </row>
  </sheetData>
  <phoneticPr fontId="3" type="noConversion"/>
  <hyperlinks>
    <hyperlink ref="A1" location="目錄!A1" display="回到目錄"/>
  </hyperlinks>
  <pageMargins left="0.7" right="0.7" top="0.75" bottom="0.75" header="0.3" footer="0.3"/>
  <pageSetup paperSize="9" orientation="portrait" horizontalDpi="300" verticalDpi="300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6"/>
  <dimension ref="A1:N100"/>
  <sheetViews>
    <sheetView workbookViewId="0">
      <pane ySplit="1" topLeftCell="A2" activePane="bottomLeft" state="frozen"/>
      <selection pane="bottomLeft" activeCell="B5" sqref="B5:C5"/>
    </sheetView>
  </sheetViews>
  <sheetFormatPr defaultRowHeight="15"/>
  <cols>
    <col min="1" max="1" width="7.453125" style="44" bestFit="1" customWidth="1"/>
    <col min="2" max="2" width="34.7265625" style="39" bestFit="1" customWidth="1"/>
    <col min="3" max="3" width="9.36328125" style="39" bestFit="1" customWidth="1"/>
    <col min="4" max="4" width="50.6328125" style="39" bestFit="1" customWidth="1"/>
    <col min="5" max="5" width="6.54296875" style="39" bestFit="1" customWidth="1"/>
    <col min="6" max="6" width="6.1796875" style="39" bestFit="1" customWidth="1"/>
    <col min="7" max="9" width="8.54296875" style="39" bestFit="1" customWidth="1"/>
    <col min="10" max="10" width="10" style="44" bestFit="1" customWidth="1"/>
    <col min="11" max="11" width="7" style="44" customWidth="1"/>
    <col min="12" max="12" width="10.36328125" style="44" bestFit="1" customWidth="1"/>
    <col min="13" max="13" width="7.7265625" bestFit="1" customWidth="1"/>
    <col min="14" max="16384" width="8.7265625" style="44"/>
  </cols>
  <sheetData>
    <row r="1" spans="1:14">
      <c r="A1" s="43" t="s">
        <v>36</v>
      </c>
      <c r="B1" s="87" t="s">
        <v>4093</v>
      </c>
      <c r="C1" s="87" t="s">
        <v>4172</v>
      </c>
      <c r="D1" s="87" t="s">
        <v>4178</v>
      </c>
      <c r="E1" s="87" t="s">
        <v>4107</v>
      </c>
      <c r="F1" s="87" t="s">
        <v>4108</v>
      </c>
      <c r="G1" s="87" t="s">
        <v>80</v>
      </c>
      <c r="H1" s="92" t="s">
        <v>3730</v>
      </c>
      <c r="I1" s="92" t="s">
        <v>2924</v>
      </c>
      <c r="J1" s="88" t="s">
        <v>0</v>
      </c>
      <c r="K1" s="88" t="s">
        <v>1</v>
      </c>
      <c r="L1" s="88" t="s">
        <v>19</v>
      </c>
      <c r="M1" s="89" t="s">
        <v>2</v>
      </c>
      <c r="N1" s="42" t="str">
        <f>"INSERT INTO dbo.SysDocumentRule ("&amp;B1&amp;","&amp;C1&amp;","&amp;D1&amp;","&amp;E1&amp;","&amp;F1&amp;","&amp;G1&amp;","&amp;H1&amp;","&amp;I1&amp;","&amp;J1&amp;","&amp;K1&amp;","&amp;L1&amp;","&amp;M1&amp;")"</f>
        <v>INSERT INTO dbo.SysDocumentRule (Guid,RuleSerNo,RuleName,ChannelCode,SecondChannelCode,PlanCode,BgnDate,EndDate,CreateTime,Creator,ModifyTime,Modifier)</v>
      </c>
    </row>
    <row r="2" spans="1:14" ht="13.8">
      <c r="B2" s="60" t="s">
        <v>4094</v>
      </c>
      <c r="C2" s="39">
        <v>1</v>
      </c>
      <c r="D2" s="10" t="s">
        <v>4364</v>
      </c>
      <c r="E2" s="39" t="s">
        <v>4150</v>
      </c>
      <c r="F2" s="39" t="s">
        <v>4150</v>
      </c>
      <c r="G2" s="39" t="s">
        <v>4150</v>
      </c>
      <c r="H2" s="39">
        <v>20200101</v>
      </c>
      <c r="I2" s="60">
        <v>99991231</v>
      </c>
      <c r="J2" s="10" t="s">
        <v>4526</v>
      </c>
      <c r="K2" s="44" t="s">
        <v>523</v>
      </c>
      <c r="L2" s="10" t="s">
        <v>4526</v>
      </c>
      <c r="M2" s="44" t="s">
        <v>523</v>
      </c>
      <c r="N2" s="44" t="str">
        <f>$N$1 &amp; " VALUES ('"&amp;B2&amp;"',"&amp;C2&amp;",'"&amp;D2&amp;"','"&amp;E2&amp;"','"&amp;F2&amp;"','"&amp;G2&amp;"','"&amp;H2&amp;"','"&amp;I2&amp;"',"&amp;J2&amp;",'"&amp;K2&amp;"',"&amp;L2&amp;",'"&amp;M2&amp;"')"</f>
        <v>INSERT INTO dbo.SysDocumentRule (Guid,RuleSerNo,RuleName,ChannelCode,SecondChannelCode,PlanCode,BgnDate,EndDate,CreateTime,Creator,ModifyTime,Modifier) VALUES ('00000000-0000-0000-0000-000000000001',1,'全通路版-公司簡介','*','*','*','20200101','99991231',GETDATE(),'Alvin',GETDATE(),'Alvin')</v>
      </c>
    </row>
    <row r="3" spans="1:14" ht="13.8">
      <c r="B3" s="60" t="s">
        <v>4095</v>
      </c>
      <c r="C3" s="39">
        <v>1</v>
      </c>
      <c r="D3" s="10" t="s">
        <v>4365</v>
      </c>
      <c r="E3" s="39" t="s">
        <v>154</v>
      </c>
      <c r="F3" s="39" t="s">
        <v>154</v>
      </c>
      <c r="G3" s="39" t="s">
        <v>154</v>
      </c>
      <c r="H3" s="39">
        <v>20200101</v>
      </c>
      <c r="I3" s="60">
        <v>99991231</v>
      </c>
      <c r="J3" s="10" t="s">
        <v>4526</v>
      </c>
      <c r="K3" s="44" t="s">
        <v>523</v>
      </c>
      <c r="L3" s="10" t="s">
        <v>4526</v>
      </c>
      <c r="M3" s="44" t="s">
        <v>523</v>
      </c>
      <c r="N3" s="44" t="str">
        <f t="shared" ref="N3:N66" si="0">$N$1 &amp; " VALUES ('"&amp;B3&amp;"',"&amp;C3&amp;",'"&amp;D3&amp;"','"&amp;E3&amp;"','"&amp;F3&amp;"','"&amp;G3&amp;"','"&amp;H3&amp;"','"&amp;I3&amp;"',"&amp;J3&amp;",'"&amp;K3&amp;"',"&amp;L3&amp;",'"&amp;M3&amp;"')"</f>
        <v>INSERT INTO dbo.SysDocumentRule (Guid,RuleSerNo,RuleName,ChannelCode,SecondChannelCode,PlanCode,BgnDate,EndDate,CreateTime,Creator,ModifyTime,Modifier) VALUES ('00000000-0000-0000-0000-000000000002',1,'全通路版-集彙折扣查詢表','*','*','*','20200101','99991231',GETDATE(),'Alvin',GETDATE(),'Alvin')</v>
      </c>
    </row>
    <row r="4" spans="1:14" ht="13.8">
      <c r="B4" s="60" t="s">
        <v>4097</v>
      </c>
      <c r="C4" s="39">
        <v>1</v>
      </c>
      <c r="D4" s="10" t="s">
        <v>4366</v>
      </c>
      <c r="E4" s="39" t="s">
        <v>154</v>
      </c>
      <c r="F4" s="39" t="s">
        <v>154</v>
      </c>
      <c r="G4" s="39" t="s">
        <v>154</v>
      </c>
      <c r="H4" s="39">
        <v>20200101</v>
      </c>
      <c r="I4" s="60">
        <v>99991231</v>
      </c>
      <c r="J4" s="10" t="s">
        <v>4526</v>
      </c>
      <c r="K4" s="44" t="s">
        <v>523</v>
      </c>
      <c r="L4" s="10" t="s">
        <v>4526</v>
      </c>
      <c r="M4" s="44" t="s">
        <v>523</v>
      </c>
      <c r="N4" s="44" t="str">
        <f t="shared" si="0"/>
        <v>INSERT INTO dbo.SysDocumentRule (Guid,RuleSerNo,RuleName,ChannelCode,SecondChannelCode,PlanCode,BgnDate,EndDate,CreateTime,Creator,ModifyTime,Modifier) VALUES ('00000000-0000-0000-0000-000000000003',1,'全通路版-特約體檢醫院一覽表','*','*','*','20200101','99991231',GETDATE(),'Alvin',GETDATE(),'Alvin')</v>
      </c>
    </row>
    <row r="5" spans="1:14" ht="13.8">
      <c r="B5" s="60" t="s">
        <v>4208</v>
      </c>
      <c r="C5" s="39">
        <v>1</v>
      </c>
      <c r="D5" s="10" t="s">
        <v>4367</v>
      </c>
      <c r="E5" s="39" t="s">
        <v>154</v>
      </c>
      <c r="F5" s="39" t="s">
        <v>154</v>
      </c>
      <c r="G5" s="39" t="s">
        <v>3170</v>
      </c>
      <c r="H5" s="39">
        <v>20200101</v>
      </c>
      <c r="I5" s="60">
        <v>99991231</v>
      </c>
      <c r="J5" s="10" t="s">
        <v>4526</v>
      </c>
      <c r="K5" s="44" t="s">
        <v>523</v>
      </c>
      <c r="L5" s="10" t="s">
        <v>4526</v>
      </c>
      <c r="M5" s="44" t="s">
        <v>523</v>
      </c>
      <c r="N5" s="44" t="str">
        <f t="shared" si="0"/>
        <v>INSERT INTO dbo.SysDocumentRule (Guid,RuleSerNo,RuleName,ChannelCode,SecondChannelCode,PlanCode,BgnDate,EndDate,CreateTime,Creator,ModifyTime,Modifier) VALUES ('00000000-0000-0000-0000-000000000004',1,'全通路版-A2-元大人壽健康人生終身醫療健康保險-商品DM','*','*','A2','20200101','99991231',GETDATE(),'Alvin',GETDATE(),'Alvin')</v>
      </c>
    </row>
    <row r="6" spans="1:14" ht="13.8">
      <c r="B6" s="60" t="s">
        <v>4096</v>
      </c>
      <c r="C6" s="39">
        <v>1</v>
      </c>
      <c r="D6" s="10" t="s">
        <v>4368</v>
      </c>
      <c r="E6" s="39" t="s">
        <v>154</v>
      </c>
      <c r="F6" s="39" t="s">
        <v>154</v>
      </c>
      <c r="G6" s="39" t="s">
        <v>3170</v>
      </c>
      <c r="H6" s="39">
        <v>20200101</v>
      </c>
      <c r="I6" s="60">
        <v>99991231</v>
      </c>
      <c r="J6" s="10" t="s">
        <v>4526</v>
      </c>
      <c r="K6" s="44" t="s">
        <v>523</v>
      </c>
      <c r="L6" s="10" t="s">
        <v>4526</v>
      </c>
      <c r="M6" s="44" t="s">
        <v>523</v>
      </c>
      <c r="N6" s="44" t="str">
        <f t="shared" si="0"/>
        <v>INSERT INTO dbo.SysDocumentRule (Guid,RuleSerNo,RuleName,ChannelCode,SecondChannelCode,PlanCode,BgnDate,EndDate,CreateTime,Creator,ModifyTime,Modifier) VALUES ('00000000-0000-0000-0000-000000000005',1,'全通路版-A2-元大人壽健康人生終身醫療健康保險-商品費率表','*','*','A2','20200101','99991231',GETDATE(),'Alvin',GETDATE(),'Alvin')</v>
      </c>
    </row>
    <row r="7" spans="1:14" ht="13.8">
      <c r="B7" s="60" t="s">
        <v>4098</v>
      </c>
      <c r="C7" s="39">
        <v>1</v>
      </c>
      <c r="D7" s="10" t="s">
        <v>4369</v>
      </c>
      <c r="E7" s="39" t="s">
        <v>154</v>
      </c>
      <c r="F7" s="39" t="s">
        <v>154</v>
      </c>
      <c r="G7" s="39" t="s">
        <v>3170</v>
      </c>
      <c r="H7" s="39">
        <v>20200101</v>
      </c>
      <c r="I7" s="60">
        <v>99991231</v>
      </c>
      <c r="J7" s="10" t="s">
        <v>4526</v>
      </c>
      <c r="K7" s="44" t="s">
        <v>523</v>
      </c>
      <c r="L7" s="10" t="s">
        <v>4526</v>
      </c>
      <c r="M7" s="44" t="s">
        <v>523</v>
      </c>
      <c r="N7" s="44" t="str">
        <f t="shared" si="0"/>
        <v>INSERT INTO dbo.SysDocumentRule (Guid,RuleSerNo,RuleName,ChannelCode,SecondChannelCode,PlanCode,BgnDate,EndDate,CreateTime,Creator,ModifyTime,Modifier) VALUES ('00000000-0000-0000-0000-000000000006',1,'全通路版-A2-元大人壽健康人生終身醫療健康保險-商品條款','*','*','A2','20200101','99991231',GETDATE(),'Alvin',GETDATE(),'Alvin')</v>
      </c>
    </row>
    <row r="8" spans="1:14" ht="13.8">
      <c r="B8" s="60" t="s">
        <v>4099</v>
      </c>
      <c r="C8" s="39">
        <v>1</v>
      </c>
      <c r="D8" s="10" t="s">
        <v>4370</v>
      </c>
      <c r="E8" s="39" t="s">
        <v>154</v>
      </c>
      <c r="F8" s="39" t="s">
        <v>154</v>
      </c>
      <c r="G8" s="39" t="s">
        <v>3170</v>
      </c>
      <c r="H8" s="39">
        <v>20200101</v>
      </c>
      <c r="I8" s="60">
        <v>99991231</v>
      </c>
      <c r="J8" s="10" t="s">
        <v>4526</v>
      </c>
      <c r="K8" s="44" t="s">
        <v>523</v>
      </c>
      <c r="L8" s="10" t="s">
        <v>4526</v>
      </c>
      <c r="M8" s="44" t="s">
        <v>523</v>
      </c>
      <c r="N8" s="44" t="str">
        <f t="shared" si="0"/>
        <v>INSERT INTO dbo.SysDocumentRule (Guid,RuleSerNo,RuleName,ChannelCode,SecondChannelCode,PlanCode,BgnDate,EndDate,CreateTime,Creator,ModifyTime,Modifier) VALUES ('00000000-0000-0000-0000-000000000007',1,'全通路版-A2-元大人壽健康人生終身醫療健康保險-條款樣張','*','*','A2','20200101','99991231',GETDATE(),'Alvin',GETDATE(),'Alvin')</v>
      </c>
    </row>
    <row r="9" spans="1:14" s="117" customFormat="1" ht="13.8">
      <c r="B9" s="60" t="s">
        <v>4100</v>
      </c>
      <c r="C9" s="39">
        <v>1</v>
      </c>
      <c r="D9" s="10" t="s">
        <v>4371</v>
      </c>
      <c r="E9" s="39" t="s">
        <v>154</v>
      </c>
      <c r="F9" s="39" t="s">
        <v>154</v>
      </c>
      <c r="G9" s="39" t="s">
        <v>554</v>
      </c>
      <c r="H9" s="39">
        <v>20200101</v>
      </c>
      <c r="I9" s="60">
        <v>99991231</v>
      </c>
      <c r="J9" s="10" t="s">
        <v>4526</v>
      </c>
      <c r="K9" s="44" t="s">
        <v>523</v>
      </c>
      <c r="L9" s="10" t="s">
        <v>4526</v>
      </c>
      <c r="M9" s="44" t="s">
        <v>523</v>
      </c>
      <c r="N9" s="44" t="str">
        <f t="shared" si="0"/>
        <v>INSERT INTO dbo.SysDocumentRule (Guid,RuleSerNo,RuleName,ChannelCode,SecondChannelCode,PlanCode,BgnDate,EndDate,CreateTime,Creator,ModifyTime,Modifier) VALUES ('00000000-0000-0000-0000-000000000008',1,'全通路版-A3-元大人壽元氣100終身醫療健康保險附約-商品DM','*','*','A3','20200101','99991231',GETDATE(),'Alvin',GETDATE(),'Alvin')</v>
      </c>
    </row>
    <row r="10" spans="1:14" s="117" customFormat="1" ht="13.8">
      <c r="B10" s="60" t="s">
        <v>4101</v>
      </c>
      <c r="C10" s="39">
        <v>1</v>
      </c>
      <c r="D10" s="10" t="s">
        <v>4372</v>
      </c>
      <c r="E10" s="39" t="s">
        <v>154</v>
      </c>
      <c r="F10" s="39" t="s">
        <v>154</v>
      </c>
      <c r="G10" s="39" t="s">
        <v>554</v>
      </c>
      <c r="H10" s="39">
        <v>20200101</v>
      </c>
      <c r="I10" s="60">
        <v>99991231</v>
      </c>
      <c r="J10" s="10" t="s">
        <v>4526</v>
      </c>
      <c r="K10" s="44" t="s">
        <v>523</v>
      </c>
      <c r="L10" s="10" t="s">
        <v>4526</v>
      </c>
      <c r="M10" s="44" t="s">
        <v>523</v>
      </c>
      <c r="N10" s="44" t="str">
        <f t="shared" si="0"/>
        <v>INSERT INTO dbo.SysDocumentRule (Guid,RuleSerNo,RuleName,ChannelCode,SecondChannelCode,PlanCode,BgnDate,EndDate,CreateTime,Creator,ModifyTime,Modifier) VALUES ('00000000-0000-0000-0000-000000000009',1,'全通路版-A3-元大人壽元氣100終身醫療健康保險附約-商品費率表','*','*','A3','20200101','99991231',GETDATE(),'Alvin',GETDATE(),'Alvin')</v>
      </c>
    </row>
    <row r="11" spans="1:14" s="117" customFormat="1" ht="13.8">
      <c r="B11" s="60" t="s">
        <v>4102</v>
      </c>
      <c r="C11" s="39">
        <v>1</v>
      </c>
      <c r="D11" s="10" t="s">
        <v>4373</v>
      </c>
      <c r="E11" s="39" t="s">
        <v>154</v>
      </c>
      <c r="F11" s="39" t="s">
        <v>154</v>
      </c>
      <c r="G11" s="39" t="s">
        <v>554</v>
      </c>
      <c r="H11" s="39">
        <v>20200101</v>
      </c>
      <c r="I11" s="60">
        <v>99991231</v>
      </c>
      <c r="J11" s="10" t="s">
        <v>4526</v>
      </c>
      <c r="K11" s="44" t="s">
        <v>523</v>
      </c>
      <c r="L11" s="10" t="s">
        <v>4526</v>
      </c>
      <c r="M11" s="44" t="s">
        <v>523</v>
      </c>
      <c r="N11" s="44" t="str">
        <f t="shared" si="0"/>
        <v>INSERT INTO dbo.SysDocumentRule (Guid,RuleSerNo,RuleName,ChannelCode,SecondChannelCode,PlanCode,BgnDate,EndDate,CreateTime,Creator,ModifyTime,Modifier) VALUES ('00000000-0000-0000-0000-000000000010',1,'全通路版-A3-元大人壽元氣100終身醫療健康保險附約-商品條款','*','*','A3','20200101','99991231',GETDATE(),'Alvin',GETDATE(),'Alvin')</v>
      </c>
    </row>
    <row r="12" spans="1:14" s="117" customFormat="1" ht="13.8">
      <c r="B12" s="60" t="s">
        <v>4103</v>
      </c>
      <c r="C12" s="39">
        <v>1</v>
      </c>
      <c r="D12" s="10" t="s">
        <v>4374</v>
      </c>
      <c r="E12" s="39" t="s">
        <v>154</v>
      </c>
      <c r="F12" s="39" t="s">
        <v>154</v>
      </c>
      <c r="G12" s="39" t="s">
        <v>554</v>
      </c>
      <c r="H12" s="39">
        <v>20200101</v>
      </c>
      <c r="I12" s="60">
        <v>99991231</v>
      </c>
      <c r="J12" s="10" t="s">
        <v>4526</v>
      </c>
      <c r="K12" s="44" t="s">
        <v>523</v>
      </c>
      <c r="L12" s="10" t="s">
        <v>4526</v>
      </c>
      <c r="M12" s="44" t="s">
        <v>523</v>
      </c>
      <c r="N12" s="44" t="str">
        <f t="shared" si="0"/>
        <v>INSERT INTO dbo.SysDocumentRule (Guid,RuleSerNo,RuleName,ChannelCode,SecondChannelCode,PlanCode,BgnDate,EndDate,CreateTime,Creator,ModifyTime,Modifier) VALUES ('00000000-0000-0000-0000-000000000011',1,'全通路版-A3-元大人壽元氣100終身醫療健康保險附約-條款樣張','*','*','A3','20200101','99991231',GETDATE(),'Alvin',GETDATE(),'Alvin')</v>
      </c>
    </row>
    <row r="13" spans="1:14" s="117" customFormat="1" ht="13.8">
      <c r="B13" s="60" t="s">
        <v>4109</v>
      </c>
      <c r="C13" s="39">
        <v>1</v>
      </c>
      <c r="D13" s="10" t="s">
        <v>4375</v>
      </c>
      <c r="E13" s="39" t="s">
        <v>154</v>
      </c>
      <c r="F13" s="39" t="s">
        <v>154</v>
      </c>
      <c r="G13" s="39" t="s">
        <v>3121</v>
      </c>
      <c r="H13" s="39">
        <v>20200101</v>
      </c>
      <c r="I13" s="60">
        <v>99991231</v>
      </c>
      <c r="J13" s="10" t="s">
        <v>4526</v>
      </c>
      <c r="K13" s="44" t="s">
        <v>523</v>
      </c>
      <c r="L13" s="10" t="s">
        <v>4526</v>
      </c>
      <c r="M13" s="44" t="s">
        <v>523</v>
      </c>
      <c r="N13" s="44" t="str">
        <f t="shared" si="0"/>
        <v>INSERT INTO dbo.SysDocumentRule (Guid,RuleSerNo,RuleName,ChannelCode,SecondChannelCode,PlanCode,BgnDate,EndDate,CreateTime,Creator,ModifyTime,Modifier) VALUES ('00000000-0000-0000-0000-000000000012',1,'全通路版-C4-元大人壽真心保護防癌終身健康保險附約-商品DM','*','*','C4','20200101','99991231',GETDATE(),'Alvin',GETDATE(),'Alvin')</v>
      </c>
    </row>
    <row r="14" spans="1:14" s="117" customFormat="1" ht="13.8">
      <c r="B14" s="60" t="s">
        <v>4110</v>
      </c>
      <c r="C14" s="39">
        <v>1</v>
      </c>
      <c r="D14" s="10" t="s">
        <v>4376</v>
      </c>
      <c r="E14" s="39" t="s">
        <v>154</v>
      </c>
      <c r="F14" s="39" t="s">
        <v>154</v>
      </c>
      <c r="G14" s="39" t="s">
        <v>3121</v>
      </c>
      <c r="H14" s="39">
        <v>20200101</v>
      </c>
      <c r="I14" s="60">
        <v>99991231</v>
      </c>
      <c r="J14" s="10" t="s">
        <v>4526</v>
      </c>
      <c r="K14" s="44" t="s">
        <v>523</v>
      </c>
      <c r="L14" s="10" t="s">
        <v>4526</v>
      </c>
      <c r="M14" s="44" t="s">
        <v>523</v>
      </c>
      <c r="N14" s="44" t="str">
        <f t="shared" si="0"/>
        <v>INSERT INTO dbo.SysDocumentRule (Guid,RuleSerNo,RuleName,ChannelCode,SecondChannelCode,PlanCode,BgnDate,EndDate,CreateTime,Creator,ModifyTime,Modifier) VALUES ('00000000-0000-0000-0000-000000000013',1,'全通路版-C4-元大人壽真心保護防癌終身健康保險附約-商品費率表','*','*','C4','20200101','99991231',GETDATE(),'Alvin',GETDATE(),'Alvin')</v>
      </c>
    </row>
    <row r="15" spans="1:14" s="117" customFormat="1" ht="13.8">
      <c r="B15" s="60" t="s">
        <v>4134</v>
      </c>
      <c r="C15" s="39">
        <v>1</v>
      </c>
      <c r="D15" s="10" t="s">
        <v>4377</v>
      </c>
      <c r="E15" s="39" t="s">
        <v>154</v>
      </c>
      <c r="F15" s="39" t="s">
        <v>154</v>
      </c>
      <c r="G15" s="39" t="s">
        <v>3121</v>
      </c>
      <c r="H15" s="39">
        <v>20200101</v>
      </c>
      <c r="I15" s="60">
        <v>99991231</v>
      </c>
      <c r="J15" s="10" t="s">
        <v>4526</v>
      </c>
      <c r="K15" s="44" t="s">
        <v>523</v>
      </c>
      <c r="L15" s="10" t="s">
        <v>4526</v>
      </c>
      <c r="M15" s="44" t="s">
        <v>523</v>
      </c>
      <c r="N15" s="44" t="str">
        <f t="shared" si="0"/>
        <v>INSERT INTO dbo.SysDocumentRule (Guid,RuleSerNo,RuleName,ChannelCode,SecondChannelCode,PlanCode,BgnDate,EndDate,CreateTime,Creator,ModifyTime,Modifier) VALUES ('00000000-0000-0000-0000-000000000014',1,'全通路版-C4-元大人壽真心保護防癌終身健康保險附約-商品條款','*','*','C4','20200101','99991231',GETDATE(),'Alvin',GETDATE(),'Alvin')</v>
      </c>
    </row>
    <row r="16" spans="1:14" s="117" customFormat="1" ht="13.8">
      <c r="B16" s="60" t="s">
        <v>4135</v>
      </c>
      <c r="C16" s="39">
        <v>1</v>
      </c>
      <c r="D16" s="10" t="s">
        <v>4378</v>
      </c>
      <c r="E16" s="39" t="s">
        <v>154</v>
      </c>
      <c r="F16" s="39" t="s">
        <v>154</v>
      </c>
      <c r="G16" s="39" t="s">
        <v>3121</v>
      </c>
      <c r="H16" s="39">
        <v>20200101</v>
      </c>
      <c r="I16" s="60">
        <v>99991231</v>
      </c>
      <c r="J16" s="10" t="s">
        <v>4526</v>
      </c>
      <c r="K16" s="44" t="s">
        <v>523</v>
      </c>
      <c r="L16" s="10" t="s">
        <v>4526</v>
      </c>
      <c r="M16" s="44" t="s">
        <v>523</v>
      </c>
      <c r="N16" s="44" t="str">
        <f t="shared" si="0"/>
        <v>INSERT INTO dbo.SysDocumentRule (Guid,RuleSerNo,RuleName,ChannelCode,SecondChannelCode,PlanCode,BgnDate,EndDate,CreateTime,Creator,ModifyTime,Modifier) VALUES ('00000000-0000-0000-0000-000000000015',1,'全通路版-C4-元大人壽真心保護防癌終身健康保險附約-條款樣張','*','*','C4','20200101','99991231',GETDATE(),'Alvin',GETDATE(),'Alvin')</v>
      </c>
    </row>
    <row r="17" spans="2:14" s="117" customFormat="1" ht="13.8">
      <c r="B17" s="60" t="s">
        <v>4136</v>
      </c>
      <c r="C17" s="39">
        <v>1</v>
      </c>
      <c r="D17" s="10" t="s">
        <v>4379</v>
      </c>
      <c r="E17" s="39" t="s">
        <v>154</v>
      </c>
      <c r="F17" s="39" t="s">
        <v>154</v>
      </c>
      <c r="G17" s="39" t="s">
        <v>3118</v>
      </c>
      <c r="H17" s="39">
        <v>20200101</v>
      </c>
      <c r="I17" s="60">
        <v>99991231</v>
      </c>
      <c r="J17" s="10" t="s">
        <v>4526</v>
      </c>
      <c r="K17" s="44" t="s">
        <v>523</v>
      </c>
      <c r="L17" s="10" t="s">
        <v>4526</v>
      </c>
      <c r="M17" s="44" t="s">
        <v>523</v>
      </c>
      <c r="N17" s="44" t="str">
        <f t="shared" si="0"/>
        <v>INSERT INTO dbo.SysDocumentRule (Guid,RuleSerNo,RuleName,ChannelCode,SecondChannelCode,PlanCode,BgnDate,EndDate,CreateTime,Creator,ModifyTime,Modifier) VALUES ('00000000-0000-0000-0000-000000000016',1,'全通路版-CY-元大人壽一年期防癌健康保險附約-商品DM','*','*','CY','20200101','99991231',GETDATE(),'Alvin',GETDATE(),'Alvin')</v>
      </c>
    </row>
    <row r="18" spans="2:14" s="117" customFormat="1" ht="13.8">
      <c r="B18" s="60" t="s">
        <v>4137</v>
      </c>
      <c r="C18" s="39">
        <v>1</v>
      </c>
      <c r="D18" s="10" t="s">
        <v>4380</v>
      </c>
      <c r="E18" s="39" t="s">
        <v>154</v>
      </c>
      <c r="F18" s="39" t="s">
        <v>154</v>
      </c>
      <c r="G18" s="39" t="s">
        <v>3118</v>
      </c>
      <c r="H18" s="39">
        <v>20200101</v>
      </c>
      <c r="I18" s="60">
        <v>99991231</v>
      </c>
      <c r="J18" s="10" t="s">
        <v>4526</v>
      </c>
      <c r="K18" s="44" t="s">
        <v>523</v>
      </c>
      <c r="L18" s="10" t="s">
        <v>4526</v>
      </c>
      <c r="M18" s="44" t="s">
        <v>523</v>
      </c>
      <c r="N18" s="44" t="str">
        <f t="shared" si="0"/>
        <v>INSERT INTO dbo.SysDocumentRule (Guid,RuleSerNo,RuleName,ChannelCode,SecondChannelCode,PlanCode,BgnDate,EndDate,CreateTime,Creator,ModifyTime,Modifier) VALUES ('00000000-0000-0000-0000-000000000017',1,'全通路版-CY-元大人壽一年期防癌健康保險附約-商品費率表','*','*','CY','20200101','99991231',GETDATE(),'Alvin',GETDATE(),'Alvin')</v>
      </c>
    </row>
    <row r="19" spans="2:14" s="117" customFormat="1" ht="13.8">
      <c r="B19" s="60" t="s">
        <v>4138</v>
      </c>
      <c r="C19" s="39">
        <v>1</v>
      </c>
      <c r="D19" s="10" t="s">
        <v>4381</v>
      </c>
      <c r="E19" s="39" t="s">
        <v>154</v>
      </c>
      <c r="F19" s="39" t="s">
        <v>154</v>
      </c>
      <c r="G19" s="39" t="s">
        <v>3118</v>
      </c>
      <c r="H19" s="39">
        <v>20200101</v>
      </c>
      <c r="I19" s="60">
        <v>99991231</v>
      </c>
      <c r="J19" s="10" t="s">
        <v>4526</v>
      </c>
      <c r="K19" s="44" t="s">
        <v>523</v>
      </c>
      <c r="L19" s="10" t="s">
        <v>4526</v>
      </c>
      <c r="M19" s="44" t="s">
        <v>523</v>
      </c>
      <c r="N19" s="44" t="str">
        <f t="shared" si="0"/>
        <v>INSERT INTO dbo.SysDocumentRule (Guid,RuleSerNo,RuleName,ChannelCode,SecondChannelCode,PlanCode,BgnDate,EndDate,CreateTime,Creator,ModifyTime,Modifier) VALUES ('00000000-0000-0000-0000-000000000018',1,'全通路版-CY-元大人壽一年期防癌健康保險附約-商品條款','*','*','CY','20200101','99991231',GETDATE(),'Alvin',GETDATE(),'Alvin')</v>
      </c>
    </row>
    <row r="20" spans="2:14" s="117" customFormat="1" ht="13.8">
      <c r="B20" s="60" t="s">
        <v>4181</v>
      </c>
      <c r="C20" s="39">
        <v>1</v>
      </c>
      <c r="D20" s="10" t="s">
        <v>4382</v>
      </c>
      <c r="E20" s="39" t="s">
        <v>154</v>
      </c>
      <c r="F20" s="39" t="s">
        <v>154</v>
      </c>
      <c r="G20" s="39" t="s">
        <v>3118</v>
      </c>
      <c r="H20" s="39">
        <v>20200101</v>
      </c>
      <c r="I20" s="60">
        <v>99991231</v>
      </c>
      <c r="J20" s="10" t="s">
        <v>4526</v>
      </c>
      <c r="K20" s="44" t="s">
        <v>523</v>
      </c>
      <c r="L20" s="10" t="s">
        <v>4526</v>
      </c>
      <c r="M20" s="44" t="s">
        <v>523</v>
      </c>
      <c r="N20" s="44" t="str">
        <f t="shared" si="0"/>
        <v>INSERT INTO dbo.SysDocumentRule (Guid,RuleSerNo,RuleName,ChannelCode,SecondChannelCode,PlanCode,BgnDate,EndDate,CreateTime,Creator,ModifyTime,Modifier) VALUES ('00000000-0000-0000-0000-000000000019',1,'全通路版-CY-元大人壽一年期防癌健康保險附約-條款樣張','*','*','CY','20200101','99991231',GETDATE(),'Alvin',GETDATE(),'Alvin')</v>
      </c>
    </row>
    <row r="21" spans="2:14" s="117" customFormat="1" ht="13.8">
      <c r="B21" s="60" t="s">
        <v>4182</v>
      </c>
      <c r="C21" s="39">
        <v>1</v>
      </c>
      <c r="D21" s="10" t="s">
        <v>4383</v>
      </c>
      <c r="E21" s="39" t="s">
        <v>154</v>
      </c>
      <c r="F21" s="39" t="s">
        <v>154</v>
      </c>
      <c r="G21" s="39" t="s">
        <v>3119</v>
      </c>
      <c r="H21" s="39">
        <v>20200101</v>
      </c>
      <c r="I21" s="60">
        <v>99991231</v>
      </c>
      <c r="J21" s="10" t="s">
        <v>4526</v>
      </c>
      <c r="K21" s="44" t="s">
        <v>523</v>
      </c>
      <c r="L21" s="10" t="s">
        <v>4526</v>
      </c>
      <c r="M21" s="44" t="s">
        <v>523</v>
      </c>
      <c r="N21" s="44" t="str">
        <f t="shared" si="0"/>
        <v>INSERT INTO dbo.SysDocumentRule (Guid,RuleSerNo,RuleName,ChannelCode,SecondChannelCode,PlanCode,BgnDate,EndDate,CreateTime,Creator,ModifyTime,Modifier) VALUES ('00000000-0000-0000-0000-000000000020',1,'全通路版-DD-元大人壽重大疾病暨特定傷病健康保險附約(II)-商品DM','*','*','DD','20200101','99991231',GETDATE(),'Alvin',GETDATE(),'Alvin')</v>
      </c>
    </row>
    <row r="22" spans="2:14" s="117" customFormat="1" ht="13.8">
      <c r="B22" s="60" t="s">
        <v>4183</v>
      </c>
      <c r="C22" s="39">
        <v>1</v>
      </c>
      <c r="D22" s="10" t="s">
        <v>4384</v>
      </c>
      <c r="E22" s="39" t="s">
        <v>154</v>
      </c>
      <c r="F22" s="39" t="s">
        <v>154</v>
      </c>
      <c r="G22" s="39" t="s">
        <v>3119</v>
      </c>
      <c r="H22" s="39">
        <v>20200101</v>
      </c>
      <c r="I22" s="60">
        <v>99991231</v>
      </c>
      <c r="J22" s="10" t="s">
        <v>4526</v>
      </c>
      <c r="K22" s="44" t="s">
        <v>523</v>
      </c>
      <c r="L22" s="10" t="s">
        <v>4526</v>
      </c>
      <c r="M22" s="44" t="s">
        <v>523</v>
      </c>
      <c r="N22" s="44" t="str">
        <f t="shared" si="0"/>
        <v>INSERT INTO dbo.SysDocumentRule (Guid,RuleSerNo,RuleName,ChannelCode,SecondChannelCode,PlanCode,BgnDate,EndDate,CreateTime,Creator,ModifyTime,Modifier) VALUES ('00000000-0000-0000-0000-000000000021',1,'全通路版-DD-元大人壽重大疾病暨特定傷病健康保險附約(II)-商品費率表','*','*','DD','20200101','99991231',GETDATE(),'Alvin',GETDATE(),'Alvin')</v>
      </c>
    </row>
    <row r="23" spans="2:14" s="117" customFormat="1" ht="13.8">
      <c r="B23" s="60" t="s">
        <v>4209</v>
      </c>
      <c r="C23" s="39">
        <v>1</v>
      </c>
      <c r="D23" s="10" t="s">
        <v>4385</v>
      </c>
      <c r="E23" s="39" t="s">
        <v>154</v>
      </c>
      <c r="F23" s="39" t="s">
        <v>154</v>
      </c>
      <c r="G23" s="39" t="s">
        <v>3119</v>
      </c>
      <c r="H23" s="39">
        <v>20200101</v>
      </c>
      <c r="I23" s="60">
        <v>99991231</v>
      </c>
      <c r="J23" s="10" t="s">
        <v>4526</v>
      </c>
      <c r="K23" s="44" t="s">
        <v>523</v>
      </c>
      <c r="L23" s="10" t="s">
        <v>4526</v>
      </c>
      <c r="M23" s="44" t="s">
        <v>523</v>
      </c>
      <c r="N23" s="44" t="str">
        <f t="shared" si="0"/>
        <v>INSERT INTO dbo.SysDocumentRule (Guid,RuleSerNo,RuleName,ChannelCode,SecondChannelCode,PlanCode,BgnDate,EndDate,CreateTime,Creator,ModifyTime,Modifier) VALUES ('00000000-0000-0000-0000-000000000022',1,'全通路版-DD-元大人壽重大疾病暨特定傷病健康保險附約(II)-商品條款','*','*','DD','20200101','99991231',GETDATE(),'Alvin',GETDATE(),'Alvin')</v>
      </c>
    </row>
    <row r="24" spans="2:14" s="117" customFormat="1" ht="13.8">
      <c r="B24" s="60" t="s">
        <v>4210</v>
      </c>
      <c r="C24" s="39">
        <v>1</v>
      </c>
      <c r="D24" s="10" t="s">
        <v>4386</v>
      </c>
      <c r="E24" s="39" t="s">
        <v>154</v>
      </c>
      <c r="F24" s="39" t="s">
        <v>154</v>
      </c>
      <c r="G24" s="39" t="s">
        <v>3119</v>
      </c>
      <c r="H24" s="39">
        <v>20200101</v>
      </c>
      <c r="I24" s="60">
        <v>99991231</v>
      </c>
      <c r="J24" s="10" t="s">
        <v>4526</v>
      </c>
      <c r="K24" s="44" t="s">
        <v>523</v>
      </c>
      <c r="L24" s="10" t="s">
        <v>4526</v>
      </c>
      <c r="M24" s="44" t="s">
        <v>523</v>
      </c>
      <c r="N24" s="44" t="str">
        <f t="shared" si="0"/>
        <v>INSERT INTO dbo.SysDocumentRule (Guid,RuleSerNo,RuleName,ChannelCode,SecondChannelCode,PlanCode,BgnDate,EndDate,CreateTime,Creator,ModifyTime,Modifier) VALUES ('00000000-0000-0000-0000-000000000023',1,'全通路版-DD-元大人壽重大疾病暨特定傷病健康保險附約(II)-條款樣張','*','*','DD','20200101','99991231',GETDATE(),'Alvin',GETDATE(),'Alvin')</v>
      </c>
    </row>
    <row r="25" spans="2:14" s="117" customFormat="1" ht="13.8">
      <c r="B25" s="60" t="s">
        <v>4211</v>
      </c>
      <c r="C25" s="39">
        <v>1</v>
      </c>
      <c r="D25" s="10" t="s">
        <v>4387</v>
      </c>
      <c r="E25" s="39" t="s">
        <v>154</v>
      </c>
      <c r="F25" s="39" t="s">
        <v>154</v>
      </c>
      <c r="G25" s="39" t="s">
        <v>3123</v>
      </c>
      <c r="H25" s="39">
        <v>20200101</v>
      </c>
      <c r="I25" s="60">
        <v>99991231</v>
      </c>
      <c r="J25" s="10" t="s">
        <v>4526</v>
      </c>
      <c r="K25" s="44" t="s">
        <v>523</v>
      </c>
      <c r="L25" s="10" t="s">
        <v>4526</v>
      </c>
      <c r="M25" s="44" t="s">
        <v>523</v>
      </c>
      <c r="N25" s="44" t="str">
        <f t="shared" si="0"/>
        <v>INSERT INTO dbo.SysDocumentRule (Guid,RuleSerNo,RuleName,ChannelCode,SecondChannelCode,PlanCode,BgnDate,EndDate,CreateTime,Creator,ModifyTime,Modifier) VALUES ('00000000-0000-0000-0000-000000000024',1,'全通路版-DJ-元大人壽幸扶一世雙重照護終身保險-不分紅-商品DM','*','*','DJ','20200101','99991231',GETDATE(),'Alvin',GETDATE(),'Alvin')</v>
      </c>
    </row>
    <row r="26" spans="2:14" s="117" customFormat="1" ht="13.8">
      <c r="B26" s="60" t="s">
        <v>4297</v>
      </c>
      <c r="C26" s="39">
        <v>1</v>
      </c>
      <c r="D26" s="10" t="s">
        <v>4388</v>
      </c>
      <c r="E26" s="39" t="s">
        <v>154</v>
      </c>
      <c r="F26" s="39" t="s">
        <v>154</v>
      </c>
      <c r="G26" s="39" t="s">
        <v>3123</v>
      </c>
      <c r="H26" s="39">
        <v>20200101</v>
      </c>
      <c r="I26" s="60">
        <v>99991231</v>
      </c>
      <c r="J26" s="10" t="s">
        <v>4526</v>
      </c>
      <c r="K26" s="44" t="s">
        <v>523</v>
      </c>
      <c r="L26" s="10" t="s">
        <v>4526</v>
      </c>
      <c r="M26" s="44" t="s">
        <v>523</v>
      </c>
      <c r="N26" s="44" t="str">
        <f t="shared" si="0"/>
        <v>INSERT INTO dbo.SysDocumentRule (Guid,RuleSerNo,RuleName,ChannelCode,SecondChannelCode,PlanCode,BgnDate,EndDate,CreateTime,Creator,ModifyTime,Modifier) VALUES ('00000000-0000-0000-0000-000000000025',1,'全通路版-DJ-元大人壽幸扶一世雙重照護終身保險-不分紅-商品費率表','*','*','DJ','20200101','99991231',GETDATE(),'Alvin',GETDATE(),'Alvin')</v>
      </c>
    </row>
    <row r="27" spans="2:14" s="117" customFormat="1" ht="13.8">
      <c r="B27" s="60" t="s">
        <v>4298</v>
      </c>
      <c r="C27" s="39">
        <v>1</v>
      </c>
      <c r="D27" s="10" t="s">
        <v>4389</v>
      </c>
      <c r="E27" s="39" t="s">
        <v>154</v>
      </c>
      <c r="F27" s="39" t="s">
        <v>154</v>
      </c>
      <c r="G27" s="39" t="s">
        <v>3123</v>
      </c>
      <c r="H27" s="39">
        <v>20200101</v>
      </c>
      <c r="I27" s="60">
        <v>99991231</v>
      </c>
      <c r="J27" s="10" t="s">
        <v>4526</v>
      </c>
      <c r="K27" s="44" t="s">
        <v>523</v>
      </c>
      <c r="L27" s="10" t="s">
        <v>4526</v>
      </c>
      <c r="M27" s="44" t="s">
        <v>523</v>
      </c>
      <c r="N27" s="44" t="str">
        <f t="shared" si="0"/>
        <v>INSERT INTO dbo.SysDocumentRule (Guid,RuleSerNo,RuleName,ChannelCode,SecondChannelCode,PlanCode,BgnDate,EndDate,CreateTime,Creator,ModifyTime,Modifier) VALUES ('00000000-0000-0000-0000-000000000026',1,'全通路版-DJ-元大人壽幸扶一世雙重照護終身保險-不分紅-商品條款','*','*','DJ','20200101','99991231',GETDATE(),'Alvin',GETDATE(),'Alvin')</v>
      </c>
    </row>
    <row r="28" spans="2:14" s="117" customFormat="1" ht="13.8">
      <c r="B28" s="60" t="s">
        <v>4299</v>
      </c>
      <c r="C28" s="39">
        <v>1</v>
      </c>
      <c r="D28" s="10" t="s">
        <v>4390</v>
      </c>
      <c r="E28" s="39" t="s">
        <v>154</v>
      </c>
      <c r="F28" s="39" t="s">
        <v>154</v>
      </c>
      <c r="G28" s="39" t="s">
        <v>3123</v>
      </c>
      <c r="H28" s="39">
        <v>20200101</v>
      </c>
      <c r="I28" s="60">
        <v>99991231</v>
      </c>
      <c r="J28" s="10" t="s">
        <v>4526</v>
      </c>
      <c r="K28" s="44" t="s">
        <v>523</v>
      </c>
      <c r="L28" s="10" t="s">
        <v>4526</v>
      </c>
      <c r="M28" s="44" t="s">
        <v>523</v>
      </c>
      <c r="N28" s="44" t="str">
        <f t="shared" si="0"/>
        <v>INSERT INTO dbo.SysDocumentRule (Guid,RuleSerNo,RuleName,ChannelCode,SecondChannelCode,PlanCode,BgnDate,EndDate,CreateTime,Creator,ModifyTime,Modifier) VALUES ('00000000-0000-0000-0000-000000000027',1,'全通路版-DJ-元大人壽幸扶一世雙重照護終身保險-不分紅-條款樣張','*','*','DJ','20200101','99991231',GETDATE(),'Alvin',GETDATE(),'Alvin')</v>
      </c>
    </row>
    <row r="29" spans="2:14" s="117" customFormat="1" ht="13.8">
      <c r="B29" s="60" t="s">
        <v>4300</v>
      </c>
      <c r="C29" s="39">
        <v>1</v>
      </c>
      <c r="D29" s="10" t="s">
        <v>4391</v>
      </c>
      <c r="E29" s="39" t="s">
        <v>154</v>
      </c>
      <c r="F29" s="39" t="s">
        <v>154</v>
      </c>
      <c r="G29" s="39" t="s">
        <v>3120</v>
      </c>
      <c r="H29" s="39">
        <v>20200101</v>
      </c>
      <c r="I29" s="60">
        <v>99991231</v>
      </c>
      <c r="J29" s="10" t="s">
        <v>4526</v>
      </c>
      <c r="K29" s="44" t="s">
        <v>523</v>
      </c>
      <c r="L29" s="10" t="s">
        <v>4526</v>
      </c>
      <c r="M29" s="44" t="s">
        <v>523</v>
      </c>
      <c r="N29" s="44" t="str">
        <f t="shared" si="0"/>
        <v>INSERT INTO dbo.SysDocumentRule (Guid,RuleSerNo,RuleName,ChannelCode,SecondChannelCode,PlanCode,BgnDate,EndDate,CreateTime,Creator,ModifyTime,Modifier) VALUES ('00000000-0000-0000-0000-000000000028',1,'全通路版-DP-元大人壽重大疾病健康保險附約(乙型)-商品DM','*','*','DP','20200101','99991231',GETDATE(),'Alvin',GETDATE(),'Alvin')</v>
      </c>
    </row>
    <row r="30" spans="2:14" s="117" customFormat="1" ht="13.8">
      <c r="B30" s="60" t="s">
        <v>4301</v>
      </c>
      <c r="C30" s="39">
        <v>1</v>
      </c>
      <c r="D30" s="10" t="s">
        <v>4392</v>
      </c>
      <c r="E30" s="39" t="s">
        <v>154</v>
      </c>
      <c r="F30" s="39" t="s">
        <v>154</v>
      </c>
      <c r="G30" s="39" t="s">
        <v>3120</v>
      </c>
      <c r="H30" s="39">
        <v>20200101</v>
      </c>
      <c r="I30" s="60">
        <v>99991231</v>
      </c>
      <c r="J30" s="10" t="s">
        <v>4526</v>
      </c>
      <c r="K30" s="44" t="s">
        <v>523</v>
      </c>
      <c r="L30" s="10" t="s">
        <v>4526</v>
      </c>
      <c r="M30" s="44" t="s">
        <v>523</v>
      </c>
      <c r="N30" s="44" t="str">
        <f t="shared" si="0"/>
        <v>INSERT INTO dbo.SysDocumentRule (Guid,RuleSerNo,RuleName,ChannelCode,SecondChannelCode,PlanCode,BgnDate,EndDate,CreateTime,Creator,ModifyTime,Modifier) VALUES ('00000000-0000-0000-0000-000000000029',1,'全通路版-DP-元大人壽重大疾病健康保險附約(乙型)-商品費率表','*','*','DP','20200101','99991231',GETDATE(),'Alvin',GETDATE(),'Alvin')</v>
      </c>
    </row>
    <row r="31" spans="2:14" s="117" customFormat="1" ht="13.8">
      <c r="B31" s="60" t="s">
        <v>4302</v>
      </c>
      <c r="C31" s="39">
        <v>1</v>
      </c>
      <c r="D31" s="10" t="s">
        <v>4393</v>
      </c>
      <c r="E31" s="39" t="s">
        <v>154</v>
      </c>
      <c r="F31" s="39" t="s">
        <v>154</v>
      </c>
      <c r="G31" s="39" t="s">
        <v>3120</v>
      </c>
      <c r="H31" s="39">
        <v>20200101</v>
      </c>
      <c r="I31" s="60">
        <v>99991231</v>
      </c>
      <c r="J31" s="10" t="s">
        <v>4526</v>
      </c>
      <c r="K31" s="44" t="s">
        <v>523</v>
      </c>
      <c r="L31" s="10" t="s">
        <v>4526</v>
      </c>
      <c r="M31" s="44" t="s">
        <v>523</v>
      </c>
      <c r="N31" s="44" t="str">
        <f t="shared" si="0"/>
        <v>INSERT INTO dbo.SysDocumentRule (Guid,RuleSerNo,RuleName,ChannelCode,SecondChannelCode,PlanCode,BgnDate,EndDate,CreateTime,Creator,ModifyTime,Modifier) VALUES ('00000000-0000-0000-0000-000000000030',1,'全通路版-DP-元大人壽重大疾病健康保險附約(乙型)-商品條款','*','*','DP','20200101','99991231',GETDATE(),'Alvin',GETDATE(),'Alvin')</v>
      </c>
    </row>
    <row r="32" spans="2:14" s="117" customFormat="1" ht="13.8">
      <c r="B32" s="60" t="s">
        <v>4303</v>
      </c>
      <c r="C32" s="39">
        <v>1</v>
      </c>
      <c r="D32" s="10" t="s">
        <v>4394</v>
      </c>
      <c r="E32" s="39" t="s">
        <v>154</v>
      </c>
      <c r="F32" s="39" t="s">
        <v>154</v>
      </c>
      <c r="G32" s="39" t="s">
        <v>3120</v>
      </c>
      <c r="H32" s="39">
        <v>20200101</v>
      </c>
      <c r="I32" s="60">
        <v>99991231</v>
      </c>
      <c r="J32" s="10" t="s">
        <v>4526</v>
      </c>
      <c r="K32" s="44" t="s">
        <v>523</v>
      </c>
      <c r="L32" s="10" t="s">
        <v>4526</v>
      </c>
      <c r="M32" s="44" t="s">
        <v>523</v>
      </c>
      <c r="N32" s="44" t="str">
        <f t="shared" si="0"/>
        <v>INSERT INTO dbo.SysDocumentRule (Guid,RuleSerNo,RuleName,ChannelCode,SecondChannelCode,PlanCode,BgnDate,EndDate,CreateTime,Creator,ModifyTime,Modifier) VALUES ('00000000-0000-0000-0000-000000000031',1,'全通路版-DP-元大人壽重大疾病健康保險附約(乙型)-條款樣張','*','*','DP','20200101','99991231',GETDATE(),'Alvin',GETDATE(),'Alvin')</v>
      </c>
    </row>
    <row r="33" spans="2:14" s="117" customFormat="1" ht="13.8">
      <c r="B33" s="60" t="s">
        <v>4304</v>
      </c>
      <c r="C33" s="39">
        <v>1</v>
      </c>
      <c r="D33" s="10" t="s">
        <v>4395</v>
      </c>
      <c r="E33" s="39" t="s">
        <v>154</v>
      </c>
      <c r="F33" s="39" t="s">
        <v>154</v>
      </c>
      <c r="G33" s="39" t="s">
        <v>3128</v>
      </c>
      <c r="H33" s="39">
        <v>20200101</v>
      </c>
      <c r="I33" s="60">
        <v>99991231</v>
      </c>
      <c r="J33" s="10" t="s">
        <v>4526</v>
      </c>
      <c r="K33" s="44" t="s">
        <v>523</v>
      </c>
      <c r="L33" s="10" t="s">
        <v>4526</v>
      </c>
      <c r="M33" s="44" t="s">
        <v>523</v>
      </c>
      <c r="N33" s="44" t="str">
        <f t="shared" si="0"/>
        <v>INSERT INTO dbo.SysDocumentRule (Guid,RuleSerNo,RuleName,ChannelCode,SecondChannelCode,PlanCode,BgnDate,EndDate,CreateTime,Creator,ModifyTime,Modifier) VALUES ('00000000-0000-0000-0000-000000000032',1,'全通路版-EW-元大人壽億達利率變動型增額終身壽險-不分紅-商品DM','*','*','EW','20200101','99991231',GETDATE(),'Alvin',GETDATE(),'Alvin')</v>
      </c>
    </row>
    <row r="34" spans="2:14" s="117" customFormat="1" ht="13.8">
      <c r="B34" s="60" t="s">
        <v>4305</v>
      </c>
      <c r="C34" s="39">
        <v>1</v>
      </c>
      <c r="D34" s="10" t="s">
        <v>4396</v>
      </c>
      <c r="E34" s="39" t="s">
        <v>154</v>
      </c>
      <c r="F34" s="39" t="s">
        <v>154</v>
      </c>
      <c r="G34" s="39" t="s">
        <v>3128</v>
      </c>
      <c r="H34" s="39">
        <v>20200101</v>
      </c>
      <c r="I34" s="60">
        <v>99991231</v>
      </c>
      <c r="J34" s="10" t="s">
        <v>4526</v>
      </c>
      <c r="K34" s="44" t="s">
        <v>523</v>
      </c>
      <c r="L34" s="10" t="s">
        <v>4526</v>
      </c>
      <c r="M34" s="44" t="s">
        <v>523</v>
      </c>
      <c r="N34" s="44" t="str">
        <f t="shared" si="0"/>
        <v>INSERT INTO dbo.SysDocumentRule (Guid,RuleSerNo,RuleName,ChannelCode,SecondChannelCode,PlanCode,BgnDate,EndDate,CreateTime,Creator,ModifyTime,Modifier) VALUES ('00000000-0000-0000-0000-000000000033',1,'全通路版-EW-元大人壽億達利率變動型增額終身壽險-不分紅-商品費率表','*','*','EW','20200101','99991231',GETDATE(),'Alvin',GETDATE(),'Alvin')</v>
      </c>
    </row>
    <row r="35" spans="2:14" s="117" customFormat="1" ht="13.8">
      <c r="B35" s="60" t="s">
        <v>4306</v>
      </c>
      <c r="C35" s="39">
        <v>1</v>
      </c>
      <c r="D35" s="10" t="s">
        <v>4397</v>
      </c>
      <c r="E35" s="39" t="s">
        <v>154</v>
      </c>
      <c r="F35" s="39" t="s">
        <v>154</v>
      </c>
      <c r="G35" s="39" t="s">
        <v>3128</v>
      </c>
      <c r="H35" s="39">
        <v>20200101</v>
      </c>
      <c r="I35" s="60">
        <v>99991231</v>
      </c>
      <c r="J35" s="10" t="s">
        <v>4526</v>
      </c>
      <c r="K35" s="44" t="s">
        <v>523</v>
      </c>
      <c r="L35" s="10" t="s">
        <v>4526</v>
      </c>
      <c r="M35" s="44" t="s">
        <v>523</v>
      </c>
      <c r="N35" s="44" t="str">
        <f t="shared" si="0"/>
        <v>INSERT INTO dbo.SysDocumentRule (Guid,RuleSerNo,RuleName,ChannelCode,SecondChannelCode,PlanCode,BgnDate,EndDate,CreateTime,Creator,ModifyTime,Modifier) VALUES ('00000000-0000-0000-0000-000000000034',1,'全通路版-EW-元大人壽億達利率變動型增額終身壽險-不分紅-商品條款','*','*','EW','20200101','99991231',GETDATE(),'Alvin',GETDATE(),'Alvin')</v>
      </c>
    </row>
    <row r="36" spans="2:14" s="117" customFormat="1" ht="13.8">
      <c r="B36" s="60" t="s">
        <v>4307</v>
      </c>
      <c r="C36" s="39">
        <v>1</v>
      </c>
      <c r="D36" s="10" t="s">
        <v>4398</v>
      </c>
      <c r="E36" s="39" t="s">
        <v>154</v>
      </c>
      <c r="F36" s="39" t="s">
        <v>154</v>
      </c>
      <c r="G36" s="39" t="s">
        <v>3128</v>
      </c>
      <c r="H36" s="39">
        <v>20200101</v>
      </c>
      <c r="I36" s="60">
        <v>99991231</v>
      </c>
      <c r="J36" s="10" t="s">
        <v>4526</v>
      </c>
      <c r="K36" s="44" t="s">
        <v>523</v>
      </c>
      <c r="L36" s="10" t="s">
        <v>4526</v>
      </c>
      <c r="M36" s="44" t="s">
        <v>523</v>
      </c>
      <c r="N36" s="44" t="str">
        <f t="shared" si="0"/>
        <v>INSERT INTO dbo.SysDocumentRule (Guid,RuleSerNo,RuleName,ChannelCode,SecondChannelCode,PlanCode,BgnDate,EndDate,CreateTime,Creator,ModifyTime,Modifier) VALUES ('00000000-0000-0000-0000-000000000035',1,'全通路版-EW-元大人壽億達利率變動型增額終身壽險-不分紅-條款樣張','*','*','EW','20200101','99991231',GETDATE(),'Alvin',GETDATE(),'Alvin')</v>
      </c>
    </row>
    <row r="37" spans="2:14" s="117" customFormat="1" ht="13.8">
      <c r="B37" s="60" t="s">
        <v>4308</v>
      </c>
      <c r="C37" s="39">
        <v>1</v>
      </c>
      <c r="D37" s="10" t="s">
        <v>4399</v>
      </c>
      <c r="E37" s="39" t="s">
        <v>154</v>
      </c>
      <c r="F37" s="39" t="s">
        <v>154</v>
      </c>
      <c r="G37" s="39" t="s">
        <v>169</v>
      </c>
      <c r="H37" s="39">
        <v>20200101</v>
      </c>
      <c r="I37" s="60">
        <v>99991231</v>
      </c>
      <c r="J37" s="10" t="s">
        <v>4526</v>
      </c>
      <c r="K37" s="44" t="s">
        <v>523</v>
      </c>
      <c r="L37" s="10" t="s">
        <v>4526</v>
      </c>
      <c r="M37" s="44" t="s">
        <v>523</v>
      </c>
      <c r="N37" s="44" t="str">
        <f t="shared" si="0"/>
        <v>INSERT INTO dbo.SysDocumentRule (Guid,RuleSerNo,RuleName,ChannelCode,SecondChannelCode,PlanCode,BgnDate,EndDate,CreateTime,Creator,ModifyTime,Modifier) VALUES ('00000000-0000-0000-0000-000000000036',1,'全通路版-FM-元大人壽美億達美元利率變動型增額終身壽險-不分紅-商品DM','*','*','FM','20200101','99991231',GETDATE(),'Alvin',GETDATE(),'Alvin')</v>
      </c>
    </row>
    <row r="38" spans="2:14" s="117" customFormat="1" ht="13.8">
      <c r="B38" s="60" t="s">
        <v>4309</v>
      </c>
      <c r="C38" s="39">
        <v>1</v>
      </c>
      <c r="D38" s="10" t="s">
        <v>4400</v>
      </c>
      <c r="E38" s="39" t="s">
        <v>154</v>
      </c>
      <c r="F38" s="39" t="s">
        <v>154</v>
      </c>
      <c r="G38" s="39" t="s">
        <v>169</v>
      </c>
      <c r="H38" s="39">
        <v>20200101</v>
      </c>
      <c r="I38" s="60">
        <v>99991231</v>
      </c>
      <c r="J38" s="10" t="s">
        <v>4526</v>
      </c>
      <c r="K38" s="44" t="s">
        <v>523</v>
      </c>
      <c r="L38" s="10" t="s">
        <v>4526</v>
      </c>
      <c r="M38" s="44" t="s">
        <v>523</v>
      </c>
      <c r="N38" s="44" t="str">
        <f t="shared" si="0"/>
        <v>INSERT INTO dbo.SysDocumentRule (Guid,RuleSerNo,RuleName,ChannelCode,SecondChannelCode,PlanCode,BgnDate,EndDate,CreateTime,Creator,ModifyTime,Modifier) VALUES ('00000000-0000-0000-0000-000000000037',1,'全通路版-FM-元大人壽美億達美元利率變動型增額終身壽險-不分紅-商品費率表','*','*','FM','20200101','99991231',GETDATE(),'Alvin',GETDATE(),'Alvin')</v>
      </c>
    </row>
    <row r="39" spans="2:14" s="117" customFormat="1" ht="13.8">
      <c r="B39" s="60" t="s">
        <v>4310</v>
      </c>
      <c r="C39" s="39">
        <v>1</v>
      </c>
      <c r="D39" s="10" t="s">
        <v>4401</v>
      </c>
      <c r="E39" s="39" t="s">
        <v>154</v>
      </c>
      <c r="F39" s="39" t="s">
        <v>154</v>
      </c>
      <c r="G39" s="39" t="s">
        <v>169</v>
      </c>
      <c r="H39" s="39">
        <v>20200101</v>
      </c>
      <c r="I39" s="60">
        <v>99991231</v>
      </c>
      <c r="J39" s="10" t="s">
        <v>4526</v>
      </c>
      <c r="K39" s="44" t="s">
        <v>523</v>
      </c>
      <c r="L39" s="10" t="s">
        <v>4526</v>
      </c>
      <c r="M39" s="44" t="s">
        <v>523</v>
      </c>
      <c r="N39" s="44" t="str">
        <f t="shared" si="0"/>
        <v>INSERT INTO dbo.SysDocumentRule (Guid,RuleSerNo,RuleName,ChannelCode,SecondChannelCode,PlanCode,BgnDate,EndDate,CreateTime,Creator,ModifyTime,Modifier) VALUES ('00000000-0000-0000-0000-000000000038',1,'全通路版-FM-元大人壽美億達美元利率變動型增額終身壽險-不分紅-商品條款','*','*','FM','20200101','99991231',GETDATE(),'Alvin',GETDATE(),'Alvin')</v>
      </c>
    </row>
    <row r="40" spans="2:14" s="117" customFormat="1" ht="13.8">
      <c r="B40" s="60" t="s">
        <v>4311</v>
      </c>
      <c r="C40" s="39">
        <v>1</v>
      </c>
      <c r="D40" s="10" t="s">
        <v>4402</v>
      </c>
      <c r="E40" s="39" t="s">
        <v>154</v>
      </c>
      <c r="F40" s="39" t="s">
        <v>154</v>
      </c>
      <c r="G40" s="39" t="s">
        <v>169</v>
      </c>
      <c r="H40" s="39">
        <v>20200101</v>
      </c>
      <c r="I40" s="60">
        <v>99991231</v>
      </c>
      <c r="J40" s="10" t="s">
        <v>4526</v>
      </c>
      <c r="K40" s="44" t="s">
        <v>523</v>
      </c>
      <c r="L40" s="10" t="s">
        <v>4526</v>
      </c>
      <c r="M40" s="44" t="s">
        <v>523</v>
      </c>
      <c r="N40" s="44" t="str">
        <f t="shared" si="0"/>
        <v>INSERT INTO dbo.SysDocumentRule (Guid,RuleSerNo,RuleName,ChannelCode,SecondChannelCode,PlanCode,BgnDate,EndDate,CreateTime,Creator,ModifyTime,Modifier) VALUES ('00000000-0000-0000-0000-000000000039',1,'全通路版-FM-元大人壽美億達美元利率變動型增額終身壽險-不分紅-條款樣張','*','*','FM','20200101','99991231',GETDATE(),'Alvin',GETDATE(),'Alvin')</v>
      </c>
    </row>
    <row r="41" spans="2:14" s="117" customFormat="1" ht="13.8">
      <c r="B41" s="60" t="s">
        <v>4312</v>
      </c>
      <c r="C41" s="39">
        <v>1</v>
      </c>
      <c r="D41" s="10" t="s">
        <v>4403</v>
      </c>
      <c r="E41" s="39" t="s">
        <v>154</v>
      </c>
      <c r="F41" s="39" t="s">
        <v>154</v>
      </c>
      <c r="G41" s="39" t="s">
        <v>553</v>
      </c>
      <c r="H41" s="39">
        <v>20200101</v>
      </c>
      <c r="I41" s="60">
        <v>99991231</v>
      </c>
      <c r="J41" s="10" t="s">
        <v>4526</v>
      </c>
      <c r="K41" s="44" t="s">
        <v>523</v>
      </c>
      <c r="L41" s="10" t="s">
        <v>4526</v>
      </c>
      <c r="M41" s="44" t="s">
        <v>523</v>
      </c>
      <c r="N41" s="44" t="str">
        <f t="shared" si="0"/>
        <v>INSERT INTO dbo.SysDocumentRule (Guid,RuleSerNo,RuleName,ChannelCode,SecondChannelCode,PlanCode,BgnDate,EndDate,CreateTime,Creator,ModifyTime,Modifier) VALUES ('00000000-0000-0000-0000-000000000040',1,'全通路版-HI-元大人壽住院日額給付保險附約-商品DM','*','*','HI','20200101','99991231',GETDATE(),'Alvin',GETDATE(),'Alvin')</v>
      </c>
    </row>
    <row r="42" spans="2:14" s="117" customFormat="1" ht="13.8">
      <c r="B42" s="60" t="s">
        <v>4313</v>
      </c>
      <c r="C42" s="39">
        <v>1</v>
      </c>
      <c r="D42" s="10" t="s">
        <v>4404</v>
      </c>
      <c r="E42" s="39" t="s">
        <v>154</v>
      </c>
      <c r="F42" s="39" t="s">
        <v>154</v>
      </c>
      <c r="G42" s="39" t="s">
        <v>553</v>
      </c>
      <c r="H42" s="39">
        <v>20200101</v>
      </c>
      <c r="I42" s="60">
        <v>99991231</v>
      </c>
      <c r="J42" s="10" t="s">
        <v>4526</v>
      </c>
      <c r="K42" s="44" t="s">
        <v>523</v>
      </c>
      <c r="L42" s="10" t="s">
        <v>4526</v>
      </c>
      <c r="M42" s="44" t="s">
        <v>523</v>
      </c>
      <c r="N42" s="44" t="str">
        <f t="shared" si="0"/>
        <v>INSERT INTO dbo.SysDocumentRule (Guid,RuleSerNo,RuleName,ChannelCode,SecondChannelCode,PlanCode,BgnDate,EndDate,CreateTime,Creator,ModifyTime,Modifier) VALUES ('00000000-0000-0000-0000-000000000041',1,'全通路版-HI-元大人壽住院日額給付保險附約-商品費率表','*','*','HI','20200101','99991231',GETDATE(),'Alvin',GETDATE(),'Alvin')</v>
      </c>
    </row>
    <row r="43" spans="2:14" s="117" customFormat="1" ht="13.8">
      <c r="B43" s="60" t="s">
        <v>4314</v>
      </c>
      <c r="C43" s="39">
        <v>1</v>
      </c>
      <c r="D43" s="10" t="s">
        <v>4405</v>
      </c>
      <c r="E43" s="39" t="s">
        <v>154</v>
      </c>
      <c r="F43" s="39" t="s">
        <v>154</v>
      </c>
      <c r="G43" s="39" t="s">
        <v>553</v>
      </c>
      <c r="H43" s="39">
        <v>20200101</v>
      </c>
      <c r="I43" s="60">
        <v>99991231</v>
      </c>
      <c r="J43" s="10" t="s">
        <v>4526</v>
      </c>
      <c r="K43" s="44" t="s">
        <v>523</v>
      </c>
      <c r="L43" s="10" t="s">
        <v>4526</v>
      </c>
      <c r="M43" s="44" t="s">
        <v>523</v>
      </c>
      <c r="N43" s="44" t="str">
        <f t="shared" si="0"/>
        <v>INSERT INTO dbo.SysDocumentRule (Guid,RuleSerNo,RuleName,ChannelCode,SecondChannelCode,PlanCode,BgnDate,EndDate,CreateTime,Creator,ModifyTime,Modifier) VALUES ('00000000-0000-0000-0000-000000000042',1,'全通路版-HI-元大人壽住院日額給付保險附約-商品條款','*','*','HI','20200101','99991231',GETDATE(),'Alvin',GETDATE(),'Alvin')</v>
      </c>
    </row>
    <row r="44" spans="2:14" s="117" customFormat="1" ht="13.8">
      <c r="B44" s="60" t="s">
        <v>4315</v>
      </c>
      <c r="C44" s="39">
        <v>1</v>
      </c>
      <c r="D44" s="10" t="s">
        <v>4406</v>
      </c>
      <c r="E44" s="39" t="s">
        <v>154</v>
      </c>
      <c r="F44" s="39" t="s">
        <v>154</v>
      </c>
      <c r="G44" s="39" t="s">
        <v>553</v>
      </c>
      <c r="H44" s="39">
        <v>20200101</v>
      </c>
      <c r="I44" s="60">
        <v>99991231</v>
      </c>
      <c r="J44" s="10" t="s">
        <v>4526</v>
      </c>
      <c r="K44" s="44" t="s">
        <v>523</v>
      </c>
      <c r="L44" s="10" t="s">
        <v>4526</v>
      </c>
      <c r="M44" s="44" t="s">
        <v>523</v>
      </c>
      <c r="N44" s="44" t="str">
        <f t="shared" si="0"/>
        <v>INSERT INTO dbo.SysDocumentRule (Guid,RuleSerNo,RuleName,ChannelCode,SecondChannelCode,PlanCode,BgnDate,EndDate,CreateTime,Creator,ModifyTime,Modifier) VALUES ('00000000-0000-0000-0000-000000000043',1,'全通路版-HI-元大人壽住院日額給付保險附約-條款樣張','*','*','HI','20200101','99991231',GETDATE(),'Alvin',GETDATE(),'Alvin')</v>
      </c>
    </row>
    <row r="45" spans="2:14" s="117" customFormat="1" ht="13.8">
      <c r="B45" s="60" t="s">
        <v>4316</v>
      </c>
      <c r="C45" s="39">
        <v>1</v>
      </c>
      <c r="D45" s="10" t="s">
        <v>4407</v>
      </c>
      <c r="E45" s="39" t="s">
        <v>154</v>
      </c>
      <c r="F45" s="39" t="s">
        <v>154</v>
      </c>
      <c r="G45" s="39" t="s">
        <v>184</v>
      </c>
      <c r="H45" s="39">
        <v>20200101</v>
      </c>
      <c r="I45" s="60">
        <v>99991231</v>
      </c>
      <c r="J45" s="10" t="s">
        <v>4526</v>
      </c>
      <c r="K45" s="44" t="s">
        <v>523</v>
      </c>
      <c r="L45" s="10" t="s">
        <v>4526</v>
      </c>
      <c r="M45" s="44" t="s">
        <v>523</v>
      </c>
      <c r="N45" s="44" t="str">
        <f t="shared" si="0"/>
        <v>INSERT INTO dbo.SysDocumentRule (Guid,RuleSerNo,RuleName,ChannelCode,SecondChannelCode,PlanCode,BgnDate,EndDate,CreateTime,Creator,ModifyTime,Modifier) VALUES ('00000000-0000-0000-0000-000000000044',1,'全通路版-HS-元大人壽綜合住院醫療保險附約-商品DM','*','*','HS','20200101','99991231',GETDATE(),'Alvin',GETDATE(),'Alvin')</v>
      </c>
    </row>
    <row r="46" spans="2:14" s="117" customFormat="1" ht="13.8">
      <c r="B46" s="60" t="s">
        <v>4317</v>
      </c>
      <c r="C46" s="39">
        <v>1</v>
      </c>
      <c r="D46" s="10" t="s">
        <v>4408</v>
      </c>
      <c r="E46" s="39" t="s">
        <v>154</v>
      </c>
      <c r="F46" s="39" t="s">
        <v>154</v>
      </c>
      <c r="G46" s="39" t="s">
        <v>184</v>
      </c>
      <c r="H46" s="39">
        <v>20200101</v>
      </c>
      <c r="I46" s="60">
        <v>99991231</v>
      </c>
      <c r="J46" s="10" t="s">
        <v>4526</v>
      </c>
      <c r="K46" s="44" t="s">
        <v>523</v>
      </c>
      <c r="L46" s="10" t="s">
        <v>4526</v>
      </c>
      <c r="M46" s="44" t="s">
        <v>523</v>
      </c>
      <c r="N46" s="44" t="str">
        <f t="shared" si="0"/>
        <v>INSERT INTO dbo.SysDocumentRule (Guid,RuleSerNo,RuleName,ChannelCode,SecondChannelCode,PlanCode,BgnDate,EndDate,CreateTime,Creator,ModifyTime,Modifier) VALUES ('00000000-0000-0000-0000-000000000045',1,'全通路版-HS-元大人壽綜合住院醫療保險附約-商品費率表','*','*','HS','20200101','99991231',GETDATE(),'Alvin',GETDATE(),'Alvin')</v>
      </c>
    </row>
    <row r="47" spans="2:14" s="117" customFormat="1" ht="13.8">
      <c r="B47" s="60" t="s">
        <v>4318</v>
      </c>
      <c r="C47" s="39">
        <v>1</v>
      </c>
      <c r="D47" s="10" t="s">
        <v>4409</v>
      </c>
      <c r="E47" s="39" t="s">
        <v>154</v>
      </c>
      <c r="F47" s="39" t="s">
        <v>154</v>
      </c>
      <c r="G47" s="39" t="s">
        <v>184</v>
      </c>
      <c r="H47" s="39">
        <v>20200101</v>
      </c>
      <c r="I47" s="60">
        <v>99991231</v>
      </c>
      <c r="J47" s="10" t="s">
        <v>4526</v>
      </c>
      <c r="K47" s="44" t="s">
        <v>523</v>
      </c>
      <c r="L47" s="10" t="s">
        <v>4526</v>
      </c>
      <c r="M47" s="44" t="s">
        <v>523</v>
      </c>
      <c r="N47" s="44" t="str">
        <f t="shared" si="0"/>
        <v>INSERT INTO dbo.SysDocumentRule (Guid,RuleSerNo,RuleName,ChannelCode,SecondChannelCode,PlanCode,BgnDate,EndDate,CreateTime,Creator,ModifyTime,Modifier) VALUES ('00000000-0000-0000-0000-000000000046',1,'全通路版-HS-元大人壽綜合住院醫療保險附約-商品條款','*','*','HS','20200101','99991231',GETDATE(),'Alvin',GETDATE(),'Alvin')</v>
      </c>
    </row>
    <row r="48" spans="2:14" s="117" customFormat="1" ht="13.8">
      <c r="B48" s="60" t="s">
        <v>4319</v>
      </c>
      <c r="C48" s="39">
        <v>1</v>
      </c>
      <c r="D48" s="10" t="s">
        <v>4410</v>
      </c>
      <c r="E48" s="39" t="s">
        <v>154</v>
      </c>
      <c r="F48" s="39" t="s">
        <v>154</v>
      </c>
      <c r="G48" s="39" t="s">
        <v>184</v>
      </c>
      <c r="H48" s="39">
        <v>20200101</v>
      </c>
      <c r="I48" s="60">
        <v>99991231</v>
      </c>
      <c r="J48" s="10" t="s">
        <v>4526</v>
      </c>
      <c r="K48" s="44" t="s">
        <v>523</v>
      </c>
      <c r="L48" s="10" t="s">
        <v>4526</v>
      </c>
      <c r="M48" s="44" t="s">
        <v>523</v>
      </c>
      <c r="N48" s="44" t="str">
        <f t="shared" si="0"/>
        <v>INSERT INTO dbo.SysDocumentRule (Guid,RuleSerNo,RuleName,ChannelCode,SecondChannelCode,PlanCode,BgnDate,EndDate,CreateTime,Creator,ModifyTime,Modifier) VALUES ('00000000-0000-0000-0000-000000000047',1,'全通路版-HS-元大人壽綜合住院醫療保險附約-條款樣張','*','*','HS','20200101','99991231',GETDATE(),'Alvin',GETDATE(),'Alvin')</v>
      </c>
    </row>
    <row r="49" spans="2:14" s="117" customFormat="1" ht="13.8">
      <c r="B49" s="60" t="s">
        <v>4320</v>
      </c>
      <c r="C49" s="39">
        <v>1</v>
      </c>
      <c r="D49" s="10" t="s">
        <v>4411</v>
      </c>
      <c r="E49" s="39" t="s">
        <v>154</v>
      </c>
      <c r="F49" s="39" t="s">
        <v>154</v>
      </c>
      <c r="G49" s="39" t="s">
        <v>2915</v>
      </c>
      <c r="H49" s="39">
        <v>20200101</v>
      </c>
      <c r="I49" s="60">
        <v>99991231</v>
      </c>
      <c r="J49" s="10" t="s">
        <v>4526</v>
      </c>
      <c r="K49" s="44" t="s">
        <v>523</v>
      </c>
      <c r="L49" s="10" t="s">
        <v>4526</v>
      </c>
      <c r="M49" s="44" t="s">
        <v>523</v>
      </c>
      <c r="N49" s="44" t="str">
        <f t="shared" si="0"/>
        <v>INSERT INTO dbo.SysDocumentRule (Guid,RuleSerNo,RuleName,ChannelCode,SecondChannelCode,PlanCode,BgnDate,EndDate,CreateTime,Creator,ModifyTime,Modifier) VALUES ('00000000-0000-0000-0000-000000000048',1,'全通路版-JR-元大人壽享有心住院醫療健康保險附約-不分紅-商品DM','*','*','JR','20200101','99991231',GETDATE(),'Alvin',GETDATE(),'Alvin')</v>
      </c>
    </row>
    <row r="50" spans="2:14" s="117" customFormat="1" ht="13.8">
      <c r="B50" s="60" t="s">
        <v>4321</v>
      </c>
      <c r="C50" s="39">
        <v>1</v>
      </c>
      <c r="D50" s="10" t="s">
        <v>4412</v>
      </c>
      <c r="E50" s="39" t="s">
        <v>154</v>
      </c>
      <c r="F50" s="39" t="s">
        <v>154</v>
      </c>
      <c r="G50" s="39" t="s">
        <v>2915</v>
      </c>
      <c r="H50" s="39">
        <v>20200101</v>
      </c>
      <c r="I50" s="60">
        <v>99991231</v>
      </c>
      <c r="J50" s="10" t="s">
        <v>4526</v>
      </c>
      <c r="K50" s="44" t="s">
        <v>523</v>
      </c>
      <c r="L50" s="10" t="s">
        <v>4526</v>
      </c>
      <c r="M50" s="44" t="s">
        <v>523</v>
      </c>
      <c r="N50" s="44" t="str">
        <f t="shared" si="0"/>
        <v>INSERT INTO dbo.SysDocumentRule (Guid,RuleSerNo,RuleName,ChannelCode,SecondChannelCode,PlanCode,BgnDate,EndDate,CreateTime,Creator,ModifyTime,Modifier) VALUES ('00000000-0000-0000-0000-000000000049',1,'全通路版-JR-元大人壽享有心住院醫療健康保險附約-不分紅-商品費率表','*','*','JR','20200101','99991231',GETDATE(),'Alvin',GETDATE(),'Alvin')</v>
      </c>
    </row>
    <row r="51" spans="2:14" s="117" customFormat="1" ht="13.8">
      <c r="B51" s="60" t="s">
        <v>4322</v>
      </c>
      <c r="C51" s="39">
        <v>1</v>
      </c>
      <c r="D51" s="10" t="s">
        <v>4413</v>
      </c>
      <c r="E51" s="39" t="s">
        <v>154</v>
      </c>
      <c r="F51" s="39" t="s">
        <v>154</v>
      </c>
      <c r="G51" s="39" t="s">
        <v>2915</v>
      </c>
      <c r="H51" s="39">
        <v>20200101</v>
      </c>
      <c r="I51" s="60">
        <v>99991231</v>
      </c>
      <c r="J51" s="10" t="s">
        <v>4526</v>
      </c>
      <c r="K51" s="44" t="s">
        <v>523</v>
      </c>
      <c r="L51" s="10" t="s">
        <v>4526</v>
      </c>
      <c r="M51" s="44" t="s">
        <v>523</v>
      </c>
      <c r="N51" s="44" t="str">
        <f t="shared" si="0"/>
        <v>INSERT INTO dbo.SysDocumentRule (Guid,RuleSerNo,RuleName,ChannelCode,SecondChannelCode,PlanCode,BgnDate,EndDate,CreateTime,Creator,ModifyTime,Modifier) VALUES ('00000000-0000-0000-0000-000000000050',1,'全通路版-JR-元大人壽享有心住院醫療健康保險附約-不分紅-商品條款','*','*','JR','20200101','99991231',GETDATE(),'Alvin',GETDATE(),'Alvin')</v>
      </c>
    </row>
    <row r="52" spans="2:14" s="117" customFormat="1" ht="13.8">
      <c r="B52" s="60" t="s">
        <v>4323</v>
      </c>
      <c r="C52" s="39">
        <v>1</v>
      </c>
      <c r="D52" s="10" t="s">
        <v>4414</v>
      </c>
      <c r="E52" s="39" t="s">
        <v>154</v>
      </c>
      <c r="F52" s="39" t="s">
        <v>154</v>
      </c>
      <c r="G52" s="39" t="s">
        <v>2915</v>
      </c>
      <c r="H52" s="39">
        <v>20200101</v>
      </c>
      <c r="I52" s="60">
        <v>99991231</v>
      </c>
      <c r="J52" s="10" t="s">
        <v>4526</v>
      </c>
      <c r="K52" s="44" t="s">
        <v>523</v>
      </c>
      <c r="L52" s="10" t="s">
        <v>4526</v>
      </c>
      <c r="M52" s="44" t="s">
        <v>523</v>
      </c>
      <c r="N52" s="44" t="str">
        <f t="shared" si="0"/>
        <v>INSERT INTO dbo.SysDocumentRule (Guid,RuleSerNo,RuleName,ChannelCode,SecondChannelCode,PlanCode,BgnDate,EndDate,CreateTime,Creator,ModifyTime,Modifier) VALUES ('00000000-0000-0000-0000-000000000051',1,'全通路版-JR-元大人壽享有心住院醫療健康保險附約-不分紅-條款樣張','*','*','JR','20200101','99991231',GETDATE(),'Alvin',GETDATE(),'Alvin')</v>
      </c>
    </row>
    <row r="53" spans="2:14" s="117" customFormat="1" ht="13.8">
      <c r="B53" s="60" t="s">
        <v>4324</v>
      </c>
      <c r="C53" s="39">
        <v>1</v>
      </c>
      <c r="D53" s="10" t="s">
        <v>4415</v>
      </c>
      <c r="E53" s="39" t="s">
        <v>154</v>
      </c>
      <c r="F53" s="39" t="s">
        <v>154</v>
      </c>
      <c r="G53" s="39" t="s">
        <v>2954</v>
      </c>
      <c r="H53" s="39">
        <v>20200101</v>
      </c>
      <c r="I53" s="60">
        <v>99991231</v>
      </c>
      <c r="J53" s="10" t="s">
        <v>4526</v>
      </c>
      <c r="K53" s="44" t="s">
        <v>523</v>
      </c>
      <c r="L53" s="10" t="s">
        <v>4526</v>
      </c>
      <c r="M53" s="44" t="s">
        <v>523</v>
      </c>
      <c r="N53" s="44" t="str">
        <f t="shared" si="0"/>
        <v>INSERT INTO dbo.SysDocumentRule (Guid,RuleSerNo,RuleName,ChannelCode,SecondChannelCode,PlanCode,BgnDate,EndDate,CreateTime,Creator,ModifyTime,Modifier) VALUES ('00000000-0000-0000-0000-000000000052',1,'全通路版-LW-元大人壽永愛終身壽險-商品DM','*','*','LW','20200101','99991231',GETDATE(),'Alvin',GETDATE(),'Alvin')</v>
      </c>
    </row>
    <row r="54" spans="2:14" s="117" customFormat="1" ht="13.8">
      <c r="B54" s="60" t="s">
        <v>4325</v>
      </c>
      <c r="C54" s="39">
        <v>1</v>
      </c>
      <c r="D54" s="10" t="s">
        <v>4416</v>
      </c>
      <c r="E54" s="39" t="s">
        <v>154</v>
      </c>
      <c r="F54" s="39" t="s">
        <v>154</v>
      </c>
      <c r="G54" s="39" t="s">
        <v>2954</v>
      </c>
      <c r="H54" s="39">
        <v>20200101</v>
      </c>
      <c r="I54" s="60">
        <v>99991231</v>
      </c>
      <c r="J54" s="10" t="s">
        <v>4526</v>
      </c>
      <c r="K54" s="44" t="s">
        <v>523</v>
      </c>
      <c r="L54" s="10" t="s">
        <v>4526</v>
      </c>
      <c r="M54" s="44" t="s">
        <v>523</v>
      </c>
      <c r="N54" s="44" t="str">
        <f t="shared" si="0"/>
        <v>INSERT INTO dbo.SysDocumentRule (Guid,RuleSerNo,RuleName,ChannelCode,SecondChannelCode,PlanCode,BgnDate,EndDate,CreateTime,Creator,ModifyTime,Modifier) VALUES ('00000000-0000-0000-0000-000000000053',1,'全通路版-LW-元大人壽永愛終身壽險-商品費率表','*','*','LW','20200101','99991231',GETDATE(),'Alvin',GETDATE(),'Alvin')</v>
      </c>
    </row>
    <row r="55" spans="2:14" s="117" customFormat="1" ht="13.8">
      <c r="B55" s="60" t="s">
        <v>4326</v>
      </c>
      <c r="C55" s="39">
        <v>1</v>
      </c>
      <c r="D55" s="10" t="s">
        <v>4417</v>
      </c>
      <c r="E55" s="39" t="s">
        <v>154</v>
      </c>
      <c r="F55" s="39" t="s">
        <v>154</v>
      </c>
      <c r="G55" s="39" t="s">
        <v>2954</v>
      </c>
      <c r="H55" s="39">
        <v>20200101</v>
      </c>
      <c r="I55" s="60">
        <v>99991231</v>
      </c>
      <c r="J55" s="10" t="s">
        <v>4526</v>
      </c>
      <c r="K55" s="44" t="s">
        <v>523</v>
      </c>
      <c r="L55" s="10" t="s">
        <v>4526</v>
      </c>
      <c r="M55" s="44" t="s">
        <v>523</v>
      </c>
      <c r="N55" s="44" t="str">
        <f t="shared" si="0"/>
        <v>INSERT INTO dbo.SysDocumentRule (Guid,RuleSerNo,RuleName,ChannelCode,SecondChannelCode,PlanCode,BgnDate,EndDate,CreateTime,Creator,ModifyTime,Modifier) VALUES ('00000000-0000-0000-0000-000000000054',1,'全通路版-LW-元大人壽永愛終身壽險-商品條款','*','*','LW','20200101','99991231',GETDATE(),'Alvin',GETDATE(),'Alvin')</v>
      </c>
    </row>
    <row r="56" spans="2:14" s="117" customFormat="1" ht="13.8">
      <c r="B56" s="60" t="s">
        <v>4327</v>
      </c>
      <c r="C56" s="39">
        <v>1</v>
      </c>
      <c r="D56" s="10" t="s">
        <v>4418</v>
      </c>
      <c r="E56" s="39" t="s">
        <v>154</v>
      </c>
      <c r="F56" s="39" t="s">
        <v>154</v>
      </c>
      <c r="G56" s="39" t="s">
        <v>2954</v>
      </c>
      <c r="H56" s="39">
        <v>20200101</v>
      </c>
      <c r="I56" s="60">
        <v>99991231</v>
      </c>
      <c r="J56" s="10" t="s">
        <v>4526</v>
      </c>
      <c r="K56" s="44" t="s">
        <v>523</v>
      </c>
      <c r="L56" s="10" t="s">
        <v>4526</v>
      </c>
      <c r="M56" s="44" t="s">
        <v>523</v>
      </c>
      <c r="N56" s="44" t="str">
        <f t="shared" si="0"/>
        <v>INSERT INTO dbo.SysDocumentRule (Guid,RuleSerNo,RuleName,ChannelCode,SecondChannelCode,PlanCode,BgnDate,EndDate,CreateTime,Creator,ModifyTime,Modifier) VALUES ('00000000-0000-0000-0000-000000000055',1,'全通路版-LW-元大人壽永愛終身壽險-條款樣張','*','*','LW','20200101','99991231',GETDATE(),'Alvin',GETDATE(),'Alvin')</v>
      </c>
    </row>
    <row r="57" spans="2:14" s="117" customFormat="1" ht="13.8">
      <c r="B57" s="60" t="s">
        <v>4328</v>
      </c>
      <c r="C57" s="39">
        <v>1</v>
      </c>
      <c r="D57" s="10" t="s">
        <v>4419</v>
      </c>
      <c r="E57" s="39" t="s">
        <v>154</v>
      </c>
      <c r="F57" s="39" t="s">
        <v>154</v>
      </c>
      <c r="G57" s="39" t="s">
        <v>3124</v>
      </c>
      <c r="H57" s="39">
        <v>20200101</v>
      </c>
      <c r="I57" s="60">
        <v>99991231</v>
      </c>
      <c r="J57" s="10" t="s">
        <v>4526</v>
      </c>
      <c r="K57" s="44" t="s">
        <v>523</v>
      </c>
      <c r="L57" s="10" t="s">
        <v>4526</v>
      </c>
      <c r="M57" s="44" t="s">
        <v>523</v>
      </c>
      <c r="N57" s="44" t="str">
        <f t="shared" si="0"/>
        <v>INSERT INTO dbo.SysDocumentRule (Guid,RuleSerNo,RuleName,ChannelCode,SecondChannelCode,PlanCode,BgnDate,EndDate,CreateTime,Creator,ModifyTime,Modifier) VALUES ('00000000-0000-0000-0000-000000000056',1,'全通路版-MI-元大人壽意外傷害住院日額保險附約-商品DM','*','*','MI','20200101','99991231',GETDATE(),'Alvin',GETDATE(),'Alvin')</v>
      </c>
    </row>
    <row r="58" spans="2:14" s="117" customFormat="1" ht="13.8">
      <c r="B58" s="60" t="s">
        <v>4329</v>
      </c>
      <c r="C58" s="39">
        <v>1</v>
      </c>
      <c r="D58" s="10" t="s">
        <v>4420</v>
      </c>
      <c r="E58" s="39" t="s">
        <v>154</v>
      </c>
      <c r="F58" s="39" t="s">
        <v>154</v>
      </c>
      <c r="G58" s="39" t="s">
        <v>3124</v>
      </c>
      <c r="H58" s="39">
        <v>20200101</v>
      </c>
      <c r="I58" s="60">
        <v>99991231</v>
      </c>
      <c r="J58" s="10" t="s">
        <v>4526</v>
      </c>
      <c r="K58" s="44" t="s">
        <v>523</v>
      </c>
      <c r="L58" s="10" t="s">
        <v>4526</v>
      </c>
      <c r="M58" s="44" t="s">
        <v>523</v>
      </c>
      <c r="N58" s="44" t="str">
        <f t="shared" si="0"/>
        <v>INSERT INTO dbo.SysDocumentRule (Guid,RuleSerNo,RuleName,ChannelCode,SecondChannelCode,PlanCode,BgnDate,EndDate,CreateTime,Creator,ModifyTime,Modifier) VALUES ('00000000-0000-0000-0000-000000000057',1,'全通路版-MI-元大人壽意外傷害住院日額保險附約-商品費率表','*','*','MI','20200101','99991231',GETDATE(),'Alvin',GETDATE(),'Alvin')</v>
      </c>
    </row>
    <row r="59" spans="2:14" s="117" customFormat="1" ht="13.8">
      <c r="B59" s="60" t="s">
        <v>4330</v>
      </c>
      <c r="C59" s="39">
        <v>1</v>
      </c>
      <c r="D59" s="10" t="s">
        <v>4421</v>
      </c>
      <c r="E59" s="39" t="s">
        <v>154</v>
      </c>
      <c r="F59" s="39" t="s">
        <v>154</v>
      </c>
      <c r="G59" s="39" t="s">
        <v>3124</v>
      </c>
      <c r="H59" s="39">
        <v>20200101</v>
      </c>
      <c r="I59" s="60">
        <v>99991231</v>
      </c>
      <c r="J59" s="10" t="s">
        <v>4526</v>
      </c>
      <c r="K59" s="44" t="s">
        <v>523</v>
      </c>
      <c r="L59" s="10" t="s">
        <v>4526</v>
      </c>
      <c r="M59" s="44" t="s">
        <v>523</v>
      </c>
      <c r="N59" s="44" t="str">
        <f t="shared" si="0"/>
        <v>INSERT INTO dbo.SysDocumentRule (Guid,RuleSerNo,RuleName,ChannelCode,SecondChannelCode,PlanCode,BgnDate,EndDate,CreateTime,Creator,ModifyTime,Modifier) VALUES ('00000000-0000-0000-0000-000000000058',1,'全通路版-MI-元大人壽意外傷害住院日額保險附約-商品條款','*','*','MI','20200101','99991231',GETDATE(),'Alvin',GETDATE(),'Alvin')</v>
      </c>
    </row>
    <row r="60" spans="2:14" s="117" customFormat="1" ht="13.8">
      <c r="B60" s="60" t="s">
        <v>4331</v>
      </c>
      <c r="C60" s="39">
        <v>1</v>
      </c>
      <c r="D60" s="10" t="s">
        <v>4422</v>
      </c>
      <c r="E60" s="39" t="s">
        <v>154</v>
      </c>
      <c r="F60" s="39" t="s">
        <v>154</v>
      </c>
      <c r="G60" s="39" t="s">
        <v>3124</v>
      </c>
      <c r="H60" s="39">
        <v>20200101</v>
      </c>
      <c r="I60" s="60">
        <v>99991231</v>
      </c>
      <c r="J60" s="10" t="s">
        <v>4526</v>
      </c>
      <c r="K60" s="44" t="s">
        <v>523</v>
      </c>
      <c r="L60" s="10" t="s">
        <v>4526</v>
      </c>
      <c r="M60" s="44" t="s">
        <v>523</v>
      </c>
      <c r="N60" s="44" t="str">
        <f t="shared" si="0"/>
        <v>INSERT INTO dbo.SysDocumentRule (Guid,RuleSerNo,RuleName,ChannelCode,SecondChannelCode,PlanCode,BgnDate,EndDate,CreateTime,Creator,ModifyTime,Modifier) VALUES ('00000000-0000-0000-0000-000000000059',1,'全通路版-MI-元大人壽意外傷害住院日額保險附約-條款樣張','*','*','MI','20200101','99991231',GETDATE(),'Alvin',GETDATE(),'Alvin')</v>
      </c>
    </row>
    <row r="61" spans="2:14" s="117" customFormat="1" ht="13.8">
      <c r="B61" s="60" t="s">
        <v>4332</v>
      </c>
      <c r="C61" s="39">
        <v>1</v>
      </c>
      <c r="D61" s="10" t="s">
        <v>4423</v>
      </c>
      <c r="E61" s="39" t="s">
        <v>154</v>
      </c>
      <c r="F61" s="39" t="s">
        <v>154</v>
      </c>
      <c r="G61" s="39" t="s">
        <v>2916</v>
      </c>
      <c r="H61" s="39">
        <v>20200101</v>
      </c>
      <c r="I61" s="60">
        <v>99991231</v>
      </c>
      <c r="J61" s="10" t="s">
        <v>4526</v>
      </c>
      <c r="K61" s="44" t="s">
        <v>523</v>
      </c>
      <c r="L61" s="10" t="s">
        <v>4526</v>
      </c>
      <c r="M61" s="44" t="s">
        <v>523</v>
      </c>
      <c r="N61" s="44" t="str">
        <f t="shared" si="0"/>
        <v>INSERT INTO dbo.SysDocumentRule (Guid,RuleSerNo,RuleName,ChannelCode,SecondChannelCode,PlanCode,BgnDate,EndDate,CreateTime,Creator,ModifyTime,Modifier) VALUES ('00000000-0000-0000-0000-000000000060',1,'全通路版-NR-元大人壽享安住院醫療健康保險附約-商品DM','*','*','NR','20200101','99991231',GETDATE(),'Alvin',GETDATE(),'Alvin')</v>
      </c>
    </row>
    <row r="62" spans="2:14" s="117" customFormat="1" ht="13.8">
      <c r="B62" s="60" t="s">
        <v>4333</v>
      </c>
      <c r="C62" s="39">
        <v>1</v>
      </c>
      <c r="D62" s="10" t="s">
        <v>4424</v>
      </c>
      <c r="E62" s="39" t="s">
        <v>154</v>
      </c>
      <c r="F62" s="39" t="s">
        <v>154</v>
      </c>
      <c r="G62" s="39" t="s">
        <v>2916</v>
      </c>
      <c r="H62" s="39">
        <v>20200101</v>
      </c>
      <c r="I62" s="60">
        <v>99991231</v>
      </c>
      <c r="J62" s="10" t="s">
        <v>4526</v>
      </c>
      <c r="K62" s="44" t="s">
        <v>523</v>
      </c>
      <c r="L62" s="10" t="s">
        <v>4526</v>
      </c>
      <c r="M62" s="44" t="s">
        <v>523</v>
      </c>
      <c r="N62" s="44" t="str">
        <f t="shared" si="0"/>
        <v>INSERT INTO dbo.SysDocumentRule (Guid,RuleSerNo,RuleName,ChannelCode,SecondChannelCode,PlanCode,BgnDate,EndDate,CreateTime,Creator,ModifyTime,Modifier) VALUES ('00000000-0000-0000-0000-000000000061',1,'全通路版-NR-元大人壽享安住院醫療健康保險附約-商品費率表','*','*','NR','20200101','99991231',GETDATE(),'Alvin',GETDATE(),'Alvin')</v>
      </c>
    </row>
    <row r="63" spans="2:14" s="117" customFormat="1" ht="13.8">
      <c r="B63" s="60" t="s">
        <v>4334</v>
      </c>
      <c r="C63" s="39">
        <v>1</v>
      </c>
      <c r="D63" s="10" t="s">
        <v>4425</v>
      </c>
      <c r="E63" s="39" t="s">
        <v>154</v>
      </c>
      <c r="F63" s="39" t="s">
        <v>154</v>
      </c>
      <c r="G63" s="39" t="s">
        <v>2916</v>
      </c>
      <c r="H63" s="39">
        <v>20200101</v>
      </c>
      <c r="I63" s="60">
        <v>99991231</v>
      </c>
      <c r="J63" s="10" t="s">
        <v>4526</v>
      </c>
      <c r="K63" s="44" t="s">
        <v>523</v>
      </c>
      <c r="L63" s="10" t="s">
        <v>4526</v>
      </c>
      <c r="M63" s="44" t="s">
        <v>523</v>
      </c>
      <c r="N63" s="44" t="str">
        <f t="shared" si="0"/>
        <v>INSERT INTO dbo.SysDocumentRule (Guid,RuleSerNo,RuleName,ChannelCode,SecondChannelCode,PlanCode,BgnDate,EndDate,CreateTime,Creator,ModifyTime,Modifier) VALUES ('00000000-0000-0000-0000-000000000062',1,'全通路版-NR-元大人壽享安住院醫療健康保險附約-商品條款','*','*','NR','20200101','99991231',GETDATE(),'Alvin',GETDATE(),'Alvin')</v>
      </c>
    </row>
    <row r="64" spans="2:14" s="117" customFormat="1" ht="13.8">
      <c r="B64" s="60" t="s">
        <v>4335</v>
      </c>
      <c r="C64" s="39">
        <v>1</v>
      </c>
      <c r="D64" s="10" t="s">
        <v>4426</v>
      </c>
      <c r="E64" s="39" t="s">
        <v>154</v>
      </c>
      <c r="F64" s="39" t="s">
        <v>154</v>
      </c>
      <c r="G64" s="39" t="s">
        <v>2916</v>
      </c>
      <c r="H64" s="39">
        <v>20200101</v>
      </c>
      <c r="I64" s="60">
        <v>99991231</v>
      </c>
      <c r="J64" s="10" t="s">
        <v>4526</v>
      </c>
      <c r="K64" s="44" t="s">
        <v>523</v>
      </c>
      <c r="L64" s="10" t="s">
        <v>4526</v>
      </c>
      <c r="M64" s="44" t="s">
        <v>523</v>
      </c>
      <c r="N64" s="44" t="str">
        <f t="shared" si="0"/>
        <v>INSERT INTO dbo.SysDocumentRule (Guid,RuleSerNo,RuleName,ChannelCode,SecondChannelCode,PlanCode,BgnDate,EndDate,CreateTime,Creator,ModifyTime,Modifier) VALUES ('00000000-0000-0000-0000-000000000063',1,'全通路版-NR-元大人壽享安住院醫療健康保險附約-條款樣張','*','*','NR','20200101','99991231',GETDATE(),'Alvin',GETDATE(),'Alvin')</v>
      </c>
    </row>
    <row r="65" spans="2:14" s="117" customFormat="1" ht="13.8">
      <c r="B65" s="60" t="s">
        <v>4336</v>
      </c>
      <c r="C65" s="39">
        <v>1</v>
      </c>
      <c r="D65" s="10" t="s">
        <v>4427</v>
      </c>
      <c r="E65" s="39" t="s">
        <v>154</v>
      </c>
      <c r="F65" s="39" t="s">
        <v>154</v>
      </c>
      <c r="G65" s="39" t="s">
        <v>3125</v>
      </c>
      <c r="H65" s="39">
        <v>20200101</v>
      </c>
      <c r="I65" s="60">
        <v>99991231</v>
      </c>
      <c r="J65" s="10" t="s">
        <v>4526</v>
      </c>
      <c r="K65" s="44" t="s">
        <v>523</v>
      </c>
      <c r="L65" s="10" t="s">
        <v>4526</v>
      </c>
      <c r="M65" s="44" t="s">
        <v>523</v>
      </c>
      <c r="N65" s="44" t="str">
        <f t="shared" si="0"/>
        <v>INSERT INTO dbo.SysDocumentRule (Guid,RuleSerNo,RuleName,ChannelCode,SecondChannelCode,PlanCode,BgnDate,EndDate,CreateTime,Creator,ModifyTime,Modifier) VALUES ('00000000-0000-0000-0000-000000000064',1,'全通路版-PR-元大人壽人身傷害保險附約(II)-商品DM','*','*','PR','20200101','99991231',GETDATE(),'Alvin',GETDATE(),'Alvin')</v>
      </c>
    </row>
    <row r="66" spans="2:14" s="117" customFormat="1" ht="13.8">
      <c r="B66" s="60" t="s">
        <v>4337</v>
      </c>
      <c r="C66" s="39">
        <v>1</v>
      </c>
      <c r="D66" s="10" t="s">
        <v>4428</v>
      </c>
      <c r="E66" s="39" t="s">
        <v>154</v>
      </c>
      <c r="F66" s="39" t="s">
        <v>154</v>
      </c>
      <c r="G66" s="39" t="s">
        <v>3125</v>
      </c>
      <c r="H66" s="39">
        <v>20200101</v>
      </c>
      <c r="I66" s="60">
        <v>99991231</v>
      </c>
      <c r="J66" s="10" t="s">
        <v>4526</v>
      </c>
      <c r="K66" s="44" t="s">
        <v>523</v>
      </c>
      <c r="L66" s="10" t="s">
        <v>4526</v>
      </c>
      <c r="M66" s="44" t="s">
        <v>523</v>
      </c>
      <c r="N66" s="44" t="str">
        <f t="shared" si="0"/>
        <v>INSERT INTO dbo.SysDocumentRule (Guid,RuleSerNo,RuleName,ChannelCode,SecondChannelCode,PlanCode,BgnDate,EndDate,CreateTime,Creator,ModifyTime,Modifier) VALUES ('00000000-0000-0000-0000-000000000065',1,'全通路版-PR-元大人壽人身傷害保險附約(II)-商品費率表','*','*','PR','20200101','99991231',GETDATE(),'Alvin',GETDATE(),'Alvin')</v>
      </c>
    </row>
    <row r="67" spans="2:14" s="117" customFormat="1" ht="13.8">
      <c r="B67" s="60" t="s">
        <v>4338</v>
      </c>
      <c r="C67" s="39">
        <v>1</v>
      </c>
      <c r="D67" s="10" t="s">
        <v>4429</v>
      </c>
      <c r="E67" s="39" t="s">
        <v>154</v>
      </c>
      <c r="F67" s="39" t="s">
        <v>154</v>
      </c>
      <c r="G67" s="39" t="s">
        <v>3125</v>
      </c>
      <c r="H67" s="39">
        <v>20200101</v>
      </c>
      <c r="I67" s="60">
        <v>99991231</v>
      </c>
      <c r="J67" s="10" t="s">
        <v>4526</v>
      </c>
      <c r="K67" s="44" t="s">
        <v>523</v>
      </c>
      <c r="L67" s="10" t="s">
        <v>4526</v>
      </c>
      <c r="M67" s="44" t="s">
        <v>523</v>
      </c>
      <c r="N67" s="44" t="str">
        <f t="shared" ref="N67:N91" si="1">$N$1 &amp; " VALUES ('"&amp;B67&amp;"',"&amp;C67&amp;",'"&amp;D67&amp;"','"&amp;E67&amp;"','"&amp;F67&amp;"','"&amp;G67&amp;"','"&amp;H67&amp;"','"&amp;I67&amp;"',"&amp;J67&amp;",'"&amp;K67&amp;"',"&amp;L67&amp;",'"&amp;M67&amp;"')"</f>
        <v>INSERT INTO dbo.SysDocumentRule (Guid,RuleSerNo,RuleName,ChannelCode,SecondChannelCode,PlanCode,BgnDate,EndDate,CreateTime,Creator,ModifyTime,Modifier) VALUES ('00000000-0000-0000-0000-000000000066',1,'全通路版-PR-元大人壽人身傷害保險附約(II)-商品條款','*','*','PR','20200101','99991231',GETDATE(),'Alvin',GETDATE(),'Alvin')</v>
      </c>
    </row>
    <row r="68" spans="2:14" s="117" customFormat="1" ht="13.8">
      <c r="B68" s="60" t="s">
        <v>4339</v>
      </c>
      <c r="C68" s="39">
        <v>1</v>
      </c>
      <c r="D68" s="10" t="s">
        <v>4430</v>
      </c>
      <c r="E68" s="39" t="s">
        <v>154</v>
      </c>
      <c r="F68" s="39" t="s">
        <v>154</v>
      </c>
      <c r="G68" s="39" t="s">
        <v>3125</v>
      </c>
      <c r="H68" s="39">
        <v>20200101</v>
      </c>
      <c r="I68" s="60">
        <v>99991231</v>
      </c>
      <c r="J68" s="10" t="s">
        <v>4526</v>
      </c>
      <c r="K68" s="44" t="s">
        <v>523</v>
      </c>
      <c r="L68" s="10" t="s">
        <v>4526</v>
      </c>
      <c r="M68" s="44" t="s">
        <v>523</v>
      </c>
      <c r="N68" s="44" t="str">
        <f t="shared" si="1"/>
        <v>INSERT INTO dbo.SysDocumentRule (Guid,RuleSerNo,RuleName,ChannelCode,SecondChannelCode,PlanCode,BgnDate,EndDate,CreateTime,Creator,ModifyTime,Modifier) VALUES ('00000000-0000-0000-0000-000000000067',1,'全通路版-PR-元大人壽人身傷害保險附約(II)-條款樣張','*','*','PR','20200101','99991231',GETDATE(),'Alvin',GETDATE(),'Alvin')</v>
      </c>
    </row>
    <row r="69" spans="2:14" s="117" customFormat="1" ht="13.8">
      <c r="B69" s="60" t="s">
        <v>4340</v>
      </c>
      <c r="C69" s="39">
        <v>1</v>
      </c>
      <c r="D69" s="10" t="s">
        <v>4431</v>
      </c>
      <c r="E69" s="39" t="s">
        <v>154</v>
      </c>
      <c r="F69" s="39" t="s">
        <v>154</v>
      </c>
      <c r="G69" s="39" t="s">
        <v>4454</v>
      </c>
      <c r="H69" s="39">
        <v>20200101</v>
      </c>
      <c r="I69" s="60">
        <v>99991231</v>
      </c>
      <c r="J69" s="10" t="s">
        <v>4526</v>
      </c>
      <c r="K69" s="44" t="s">
        <v>523</v>
      </c>
      <c r="L69" s="10" t="s">
        <v>4526</v>
      </c>
      <c r="M69" s="44" t="s">
        <v>523</v>
      </c>
      <c r="N69" s="44" t="str">
        <f t="shared" si="1"/>
        <v>INSERT INTO dbo.SysDocumentRule (Guid,RuleSerNo,RuleName,ChannelCode,SecondChannelCode,PlanCode,BgnDate,EndDate,CreateTime,Creator,ModifyTime,Modifier) VALUES ('00000000-0000-0000-0000-000000000068',1,'全通路版-QR-元大人壽新意外傷害醫療保險附約-商品DM','*','*','QR','20200101','99991231',GETDATE(),'Alvin',GETDATE(),'Alvin')</v>
      </c>
    </row>
    <row r="70" spans="2:14" s="117" customFormat="1" ht="13.8">
      <c r="B70" s="60" t="s">
        <v>4341</v>
      </c>
      <c r="C70" s="39">
        <v>1</v>
      </c>
      <c r="D70" s="10" t="s">
        <v>4432</v>
      </c>
      <c r="E70" s="39" t="s">
        <v>154</v>
      </c>
      <c r="F70" s="39" t="s">
        <v>154</v>
      </c>
      <c r="G70" s="39" t="s">
        <v>4454</v>
      </c>
      <c r="H70" s="39">
        <v>20200101</v>
      </c>
      <c r="I70" s="60">
        <v>99991231</v>
      </c>
      <c r="J70" s="10" t="s">
        <v>4526</v>
      </c>
      <c r="K70" s="44" t="s">
        <v>523</v>
      </c>
      <c r="L70" s="10" t="s">
        <v>4526</v>
      </c>
      <c r="M70" s="44" t="s">
        <v>523</v>
      </c>
      <c r="N70" s="44" t="str">
        <f t="shared" si="1"/>
        <v>INSERT INTO dbo.SysDocumentRule (Guid,RuleSerNo,RuleName,ChannelCode,SecondChannelCode,PlanCode,BgnDate,EndDate,CreateTime,Creator,ModifyTime,Modifier) VALUES ('00000000-0000-0000-0000-000000000069',1,'全通路版-QR-元大人壽新意外傷害醫療保險附約-商品費率表','*','*','QR','20200101','99991231',GETDATE(),'Alvin',GETDATE(),'Alvin')</v>
      </c>
    </row>
    <row r="71" spans="2:14" s="117" customFormat="1" ht="13.8">
      <c r="B71" s="60" t="s">
        <v>4342</v>
      </c>
      <c r="C71" s="39">
        <v>1</v>
      </c>
      <c r="D71" s="10" t="s">
        <v>4433</v>
      </c>
      <c r="E71" s="39" t="s">
        <v>154</v>
      </c>
      <c r="F71" s="39" t="s">
        <v>154</v>
      </c>
      <c r="G71" s="39" t="s">
        <v>4454</v>
      </c>
      <c r="H71" s="39">
        <v>20200101</v>
      </c>
      <c r="I71" s="60">
        <v>99991231</v>
      </c>
      <c r="J71" s="10" t="s">
        <v>4526</v>
      </c>
      <c r="K71" s="44" t="s">
        <v>523</v>
      </c>
      <c r="L71" s="10" t="s">
        <v>4526</v>
      </c>
      <c r="M71" s="44" t="s">
        <v>523</v>
      </c>
      <c r="N71" s="44" t="str">
        <f t="shared" si="1"/>
        <v>INSERT INTO dbo.SysDocumentRule (Guid,RuleSerNo,RuleName,ChannelCode,SecondChannelCode,PlanCode,BgnDate,EndDate,CreateTime,Creator,ModifyTime,Modifier) VALUES ('00000000-0000-0000-0000-000000000070',1,'全通路版-QR-元大人壽新意外傷害醫療保險附約-商品條款','*','*','QR','20200101','99991231',GETDATE(),'Alvin',GETDATE(),'Alvin')</v>
      </c>
    </row>
    <row r="72" spans="2:14" ht="13.8">
      <c r="B72" s="60" t="s">
        <v>4343</v>
      </c>
      <c r="C72" s="39">
        <v>1</v>
      </c>
      <c r="D72" s="10" t="s">
        <v>4434</v>
      </c>
      <c r="E72" s="39" t="s">
        <v>154</v>
      </c>
      <c r="F72" s="39" t="s">
        <v>154</v>
      </c>
      <c r="G72" s="39" t="s">
        <v>4454</v>
      </c>
      <c r="H72" s="39">
        <v>20200101</v>
      </c>
      <c r="I72" s="60">
        <v>99991231</v>
      </c>
      <c r="J72" s="10" t="s">
        <v>4526</v>
      </c>
      <c r="K72" s="44" t="s">
        <v>523</v>
      </c>
      <c r="L72" s="10" t="s">
        <v>4526</v>
      </c>
      <c r="M72" s="44" t="s">
        <v>523</v>
      </c>
      <c r="N72" s="44" t="str">
        <f t="shared" si="1"/>
        <v>INSERT INTO dbo.SysDocumentRule (Guid,RuleSerNo,RuleName,ChannelCode,SecondChannelCode,PlanCode,BgnDate,EndDate,CreateTime,Creator,ModifyTime,Modifier) VALUES ('00000000-0000-0000-0000-000000000071',1,'全通路版-QR-元大人壽新意外傷害醫療保險附約-條款樣張','*','*','QR','20200101','99991231',GETDATE(),'Alvin',GETDATE(),'Alvin')</v>
      </c>
    </row>
    <row r="73" spans="2:14" ht="13.8">
      <c r="B73" s="60" t="s">
        <v>4344</v>
      </c>
      <c r="C73" s="39">
        <v>1</v>
      </c>
      <c r="D73" s="10" t="s">
        <v>4435</v>
      </c>
      <c r="E73" s="39" t="s">
        <v>154</v>
      </c>
      <c r="F73" s="39" t="s">
        <v>154</v>
      </c>
      <c r="G73" s="39" t="s">
        <v>3122</v>
      </c>
      <c r="H73" s="39">
        <v>20200101</v>
      </c>
      <c r="I73" s="60">
        <v>99991231</v>
      </c>
      <c r="J73" s="10" t="s">
        <v>4526</v>
      </c>
      <c r="K73" s="44" t="s">
        <v>523</v>
      </c>
      <c r="L73" s="10" t="s">
        <v>4526</v>
      </c>
      <c r="M73" s="44" t="s">
        <v>523</v>
      </c>
      <c r="N73" s="44" t="str">
        <f t="shared" si="1"/>
        <v>INSERT INTO dbo.SysDocumentRule (Guid,RuleSerNo,RuleName,ChannelCode,SecondChannelCode,PlanCode,BgnDate,EndDate,CreateTime,Creator,ModifyTime,Modifier) VALUES ('00000000-0000-0000-0000-000000000072',1,'全通路版-RL-元大人壽好安鑫重大傷病終身健康保險附約-商品DM','*','*','RL','20200101','99991231',GETDATE(),'Alvin',GETDATE(),'Alvin')</v>
      </c>
    </row>
    <row r="74" spans="2:14" ht="13.8">
      <c r="B74" s="60" t="s">
        <v>4345</v>
      </c>
      <c r="C74" s="39">
        <v>1</v>
      </c>
      <c r="D74" s="10" t="s">
        <v>4436</v>
      </c>
      <c r="E74" s="39" t="s">
        <v>154</v>
      </c>
      <c r="F74" s="39" t="s">
        <v>154</v>
      </c>
      <c r="G74" s="39" t="s">
        <v>3122</v>
      </c>
      <c r="H74" s="39">
        <v>20200101</v>
      </c>
      <c r="I74" s="60">
        <v>99991231</v>
      </c>
      <c r="J74" s="10" t="s">
        <v>4526</v>
      </c>
      <c r="K74" s="44" t="s">
        <v>523</v>
      </c>
      <c r="L74" s="10" t="s">
        <v>4526</v>
      </c>
      <c r="M74" s="44" t="s">
        <v>523</v>
      </c>
      <c r="N74" s="44" t="str">
        <f t="shared" si="1"/>
        <v>INSERT INTO dbo.SysDocumentRule (Guid,RuleSerNo,RuleName,ChannelCode,SecondChannelCode,PlanCode,BgnDate,EndDate,CreateTime,Creator,ModifyTime,Modifier) VALUES ('00000000-0000-0000-0000-000000000073',1,'全通路版-RL-元大人壽好安鑫重大傷病終身健康保險附約-商品費率表','*','*','RL','20200101','99991231',GETDATE(),'Alvin',GETDATE(),'Alvin')</v>
      </c>
    </row>
    <row r="75" spans="2:14" ht="13.8">
      <c r="B75" s="60" t="s">
        <v>4346</v>
      </c>
      <c r="C75" s="39">
        <v>1</v>
      </c>
      <c r="D75" s="10" t="s">
        <v>4437</v>
      </c>
      <c r="E75" s="39" t="s">
        <v>154</v>
      </c>
      <c r="F75" s="39" t="s">
        <v>154</v>
      </c>
      <c r="G75" s="39" t="s">
        <v>3122</v>
      </c>
      <c r="H75" s="39">
        <v>20200101</v>
      </c>
      <c r="I75" s="60">
        <v>99991231</v>
      </c>
      <c r="J75" s="10" t="s">
        <v>4526</v>
      </c>
      <c r="K75" s="44" t="s">
        <v>523</v>
      </c>
      <c r="L75" s="10" t="s">
        <v>4526</v>
      </c>
      <c r="M75" s="44" t="s">
        <v>523</v>
      </c>
      <c r="N75" s="44" t="str">
        <f t="shared" si="1"/>
        <v>INSERT INTO dbo.SysDocumentRule (Guid,RuleSerNo,RuleName,ChannelCode,SecondChannelCode,PlanCode,BgnDate,EndDate,CreateTime,Creator,ModifyTime,Modifier) VALUES ('00000000-0000-0000-0000-000000000074',1,'全通路版-RL-元大人壽好安鑫重大傷病終身健康保險附約-商品條款','*','*','RL','20200101','99991231',GETDATE(),'Alvin',GETDATE(),'Alvin')</v>
      </c>
    </row>
    <row r="76" spans="2:14" ht="13.8">
      <c r="B76" s="60" t="s">
        <v>4347</v>
      </c>
      <c r="C76" s="39">
        <v>1</v>
      </c>
      <c r="D76" s="10" t="s">
        <v>4438</v>
      </c>
      <c r="E76" s="39" t="s">
        <v>154</v>
      </c>
      <c r="F76" s="39" t="s">
        <v>154</v>
      </c>
      <c r="G76" s="39" t="s">
        <v>3122</v>
      </c>
      <c r="H76" s="39">
        <v>20200101</v>
      </c>
      <c r="I76" s="60">
        <v>99991231</v>
      </c>
      <c r="J76" s="10" t="s">
        <v>4526</v>
      </c>
      <c r="K76" s="44" t="s">
        <v>523</v>
      </c>
      <c r="L76" s="10" t="s">
        <v>4526</v>
      </c>
      <c r="M76" s="44" t="s">
        <v>523</v>
      </c>
      <c r="N76" s="44" t="str">
        <f t="shared" si="1"/>
        <v>INSERT INTO dbo.SysDocumentRule (Guid,RuleSerNo,RuleName,ChannelCode,SecondChannelCode,PlanCode,BgnDate,EndDate,CreateTime,Creator,ModifyTime,Modifier) VALUES ('00000000-0000-0000-0000-000000000075',1,'全通路版-RL-元大人壽好安鑫重大傷病終身健康保險附約-條款樣張','*','*','RL','20200101','99991231',GETDATE(),'Alvin',GETDATE(),'Alvin')</v>
      </c>
    </row>
    <row r="77" spans="2:14" ht="13.8">
      <c r="B77" s="60" t="s">
        <v>4348</v>
      </c>
      <c r="C77" s="39">
        <v>1</v>
      </c>
      <c r="D77" s="10" t="s">
        <v>4439</v>
      </c>
      <c r="E77" s="39" t="s">
        <v>154</v>
      </c>
      <c r="F77" s="39" t="s">
        <v>154</v>
      </c>
      <c r="G77" s="39" t="s">
        <v>3041</v>
      </c>
      <c r="H77" s="39">
        <v>20200101</v>
      </c>
      <c r="I77" s="60">
        <v>99991231</v>
      </c>
      <c r="J77" s="10" t="s">
        <v>4526</v>
      </c>
      <c r="K77" s="44" t="s">
        <v>523</v>
      </c>
      <c r="L77" s="10" t="s">
        <v>4526</v>
      </c>
      <c r="M77" s="44" t="s">
        <v>523</v>
      </c>
      <c r="N77" s="44" t="str">
        <f t="shared" si="1"/>
        <v>INSERT INTO dbo.SysDocumentRule (Guid,RuleSerNo,RuleName,ChannelCode,SecondChannelCode,PlanCode,BgnDate,EndDate,CreateTime,Creator,ModifyTime,Modifier) VALUES ('00000000-0000-0000-0000-000000000076',1,'全通路版-SH-元大人壽一年期手術醫療健康保險附約-商品DM','*','*','SH','20200101','99991231',GETDATE(),'Alvin',GETDATE(),'Alvin')</v>
      </c>
    </row>
    <row r="78" spans="2:14" ht="13.8">
      <c r="B78" s="60" t="s">
        <v>4349</v>
      </c>
      <c r="C78" s="39">
        <v>1</v>
      </c>
      <c r="D78" s="10" t="s">
        <v>4440</v>
      </c>
      <c r="E78" s="39" t="s">
        <v>154</v>
      </c>
      <c r="F78" s="39" t="s">
        <v>154</v>
      </c>
      <c r="G78" s="39" t="s">
        <v>3041</v>
      </c>
      <c r="H78" s="39">
        <v>20200101</v>
      </c>
      <c r="I78" s="60">
        <v>99991231</v>
      </c>
      <c r="J78" s="10" t="s">
        <v>4526</v>
      </c>
      <c r="K78" s="44" t="s">
        <v>523</v>
      </c>
      <c r="L78" s="10" t="s">
        <v>4526</v>
      </c>
      <c r="M78" s="44" t="s">
        <v>523</v>
      </c>
      <c r="N78" s="44" t="str">
        <f t="shared" si="1"/>
        <v>INSERT INTO dbo.SysDocumentRule (Guid,RuleSerNo,RuleName,ChannelCode,SecondChannelCode,PlanCode,BgnDate,EndDate,CreateTime,Creator,ModifyTime,Modifier) VALUES ('00000000-0000-0000-0000-000000000077',1,'全通路版-SH-元大人壽一年期手術醫療健康保險附約-商品費率表','*','*','SH','20200101','99991231',GETDATE(),'Alvin',GETDATE(),'Alvin')</v>
      </c>
    </row>
    <row r="79" spans="2:14" ht="13.8">
      <c r="B79" s="60" t="s">
        <v>4350</v>
      </c>
      <c r="C79" s="39">
        <v>1</v>
      </c>
      <c r="D79" s="10" t="s">
        <v>4441</v>
      </c>
      <c r="E79" s="39" t="s">
        <v>154</v>
      </c>
      <c r="F79" s="39" t="s">
        <v>154</v>
      </c>
      <c r="G79" s="39" t="s">
        <v>3041</v>
      </c>
      <c r="H79" s="39">
        <v>20200101</v>
      </c>
      <c r="I79" s="60">
        <v>99991231</v>
      </c>
      <c r="J79" s="10" t="s">
        <v>4526</v>
      </c>
      <c r="K79" s="44" t="s">
        <v>523</v>
      </c>
      <c r="L79" s="10" t="s">
        <v>4526</v>
      </c>
      <c r="M79" s="44" t="s">
        <v>523</v>
      </c>
      <c r="N79" s="44" t="str">
        <f t="shared" si="1"/>
        <v>INSERT INTO dbo.SysDocumentRule (Guid,RuleSerNo,RuleName,ChannelCode,SecondChannelCode,PlanCode,BgnDate,EndDate,CreateTime,Creator,ModifyTime,Modifier) VALUES ('00000000-0000-0000-0000-000000000078',1,'全通路版-SH-元大人壽一年期手術醫療健康保險附約-商品條款','*','*','SH','20200101','99991231',GETDATE(),'Alvin',GETDATE(),'Alvin')</v>
      </c>
    </row>
    <row r="80" spans="2:14" ht="13.8">
      <c r="B80" s="60" t="s">
        <v>4351</v>
      </c>
      <c r="C80" s="39">
        <v>1</v>
      </c>
      <c r="D80" s="10" t="s">
        <v>4442</v>
      </c>
      <c r="E80" s="39" t="s">
        <v>154</v>
      </c>
      <c r="F80" s="39" t="s">
        <v>154</v>
      </c>
      <c r="G80" s="39" t="s">
        <v>3041</v>
      </c>
      <c r="H80" s="39">
        <v>20200101</v>
      </c>
      <c r="I80" s="60">
        <v>99991231</v>
      </c>
      <c r="J80" s="10" t="s">
        <v>4526</v>
      </c>
      <c r="K80" s="44" t="s">
        <v>523</v>
      </c>
      <c r="L80" s="10" t="s">
        <v>4526</v>
      </c>
      <c r="M80" s="44" t="s">
        <v>523</v>
      </c>
      <c r="N80" s="44" t="str">
        <f t="shared" si="1"/>
        <v>INSERT INTO dbo.SysDocumentRule (Guid,RuleSerNo,RuleName,ChannelCode,SecondChannelCode,PlanCode,BgnDate,EndDate,CreateTime,Creator,ModifyTime,Modifier) VALUES ('00000000-0000-0000-0000-000000000079',1,'全通路版-SH-元大人壽一年期手術醫療健康保險附約-條款樣張','*','*','SH','20200101','99991231',GETDATE(),'Alvin',GETDATE(),'Alvin')</v>
      </c>
    </row>
    <row r="81" spans="2:14" ht="13.8">
      <c r="B81" s="60" t="s">
        <v>4352</v>
      </c>
      <c r="C81" s="39">
        <v>1</v>
      </c>
      <c r="D81" s="10" t="s">
        <v>4443</v>
      </c>
      <c r="E81" s="39" t="s">
        <v>154</v>
      </c>
      <c r="F81" s="39" t="s">
        <v>154</v>
      </c>
      <c r="G81" s="39" t="s">
        <v>543</v>
      </c>
      <c r="H81" s="39">
        <v>20200101</v>
      </c>
      <c r="I81" s="60">
        <v>99991231</v>
      </c>
      <c r="J81" s="10" t="s">
        <v>4526</v>
      </c>
      <c r="K81" s="44" t="s">
        <v>523</v>
      </c>
      <c r="L81" s="10" t="s">
        <v>4526</v>
      </c>
      <c r="M81" s="44" t="s">
        <v>523</v>
      </c>
      <c r="N81" s="44" t="str">
        <f t="shared" si="1"/>
        <v>INSERT INTO dbo.SysDocumentRule (Guid,RuleSerNo,RuleName,ChannelCode,SecondChannelCode,PlanCode,BgnDate,EndDate,CreateTime,Creator,ModifyTime,Modifier) VALUES ('00000000-0000-0000-0000-000000000080',1,'全通路版-TM-元大人壽新加值定期壽險-商品DM','*','*','TM','20200101','99991231',GETDATE(),'Alvin',GETDATE(),'Alvin')</v>
      </c>
    </row>
    <row r="82" spans="2:14" ht="13.8">
      <c r="B82" s="60" t="s">
        <v>4353</v>
      </c>
      <c r="C82" s="39">
        <v>1</v>
      </c>
      <c r="D82" s="10" t="s">
        <v>4444</v>
      </c>
      <c r="E82" s="39" t="s">
        <v>154</v>
      </c>
      <c r="F82" s="39" t="s">
        <v>154</v>
      </c>
      <c r="G82" s="39" t="s">
        <v>543</v>
      </c>
      <c r="H82" s="39">
        <v>20200101</v>
      </c>
      <c r="I82" s="60">
        <v>99991231</v>
      </c>
      <c r="J82" s="10" t="s">
        <v>4526</v>
      </c>
      <c r="K82" s="44" t="s">
        <v>523</v>
      </c>
      <c r="L82" s="10" t="s">
        <v>4526</v>
      </c>
      <c r="M82" s="44" t="s">
        <v>523</v>
      </c>
      <c r="N82" s="44" t="str">
        <f t="shared" si="1"/>
        <v>INSERT INTO dbo.SysDocumentRule (Guid,RuleSerNo,RuleName,ChannelCode,SecondChannelCode,PlanCode,BgnDate,EndDate,CreateTime,Creator,ModifyTime,Modifier) VALUES ('00000000-0000-0000-0000-000000000081',1,'全通路版-TM-元大人壽新加值定期壽險-商品費率表','*','*','TM','20200101','99991231',GETDATE(),'Alvin',GETDATE(),'Alvin')</v>
      </c>
    </row>
    <row r="83" spans="2:14" ht="13.8">
      <c r="B83" s="60" t="s">
        <v>4354</v>
      </c>
      <c r="C83" s="39">
        <v>1</v>
      </c>
      <c r="D83" s="10" t="s">
        <v>4445</v>
      </c>
      <c r="E83" s="39" t="s">
        <v>154</v>
      </c>
      <c r="F83" s="39" t="s">
        <v>154</v>
      </c>
      <c r="G83" s="39" t="s">
        <v>543</v>
      </c>
      <c r="H83" s="39">
        <v>20200101</v>
      </c>
      <c r="I83" s="60">
        <v>99991231</v>
      </c>
      <c r="J83" s="10" t="s">
        <v>4526</v>
      </c>
      <c r="K83" s="44" t="s">
        <v>523</v>
      </c>
      <c r="L83" s="10" t="s">
        <v>4526</v>
      </c>
      <c r="M83" s="44" t="s">
        <v>523</v>
      </c>
      <c r="N83" s="44" t="str">
        <f t="shared" si="1"/>
        <v>INSERT INTO dbo.SysDocumentRule (Guid,RuleSerNo,RuleName,ChannelCode,SecondChannelCode,PlanCode,BgnDate,EndDate,CreateTime,Creator,ModifyTime,Modifier) VALUES ('00000000-0000-0000-0000-000000000082',1,'全通路版-TM-元大人壽新加值定期壽險-商品條款','*','*','TM','20200101','99991231',GETDATE(),'Alvin',GETDATE(),'Alvin')</v>
      </c>
    </row>
    <row r="84" spans="2:14" ht="13.8">
      <c r="B84" s="60" t="s">
        <v>4355</v>
      </c>
      <c r="C84" s="39">
        <v>1</v>
      </c>
      <c r="D84" s="10" t="s">
        <v>4446</v>
      </c>
      <c r="E84" s="39" t="s">
        <v>154</v>
      </c>
      <c r="F84" s="39" t="s">
        <v>154</v>
      </c>
      <c r="G84" s="39" t="s">
        <v>543</v>
      </c>
      <c r="H84" s="39">
        <v>20200101</v>
      </c>
      <c r="I84" s="60">
        <v>99991231</v>
      </c>
      <c r="J84" s="10" t="s">
        <v>4526</v>
      </c>
      <c r="K84" s="44" t="s">
        <v>523</v>
      </c>
      <c r="L84" s="10" t="s">
        <v>4526</v>
      </c>
      <c r="M84" s="44" t="s">
        <v>523</v>
      </c>
      <c r="N84" s="44" t="str">
        <f t="shared" si="1"/>
        <v>INSERT INTO dbo.SysDocumentRule (Guid,RuleSerNo,RuleName,ChannelCode,SecondChannelCode,PlanCode,BgnDate,EndDate,CreateTime,Creator,ModifyTime,Modifier) VALUES ('00000000-0000-0000-0000-000000000083',1,'全通路版-TM-元大人壽新加值定期壽險-條款樣張','*','*','TM','20200101','99991231',GETDATE(),'Alvin',GETDATE(),'Alvin')</v>
      </c>
    </row>
    <row r="85" spans="2:14" ht="13.8">
      <c r="B85" s="60" t="s">
        <v>4356</v>
      </c>
      <c r="C85" s="39">
        <v>1</v>
      </c>
      <c r="D85" s="10" t="s">
        <v>4447</v>
      </c>
      <c r="E85" s="39" t="s">
        <v>154</v>
      </c>
      <c r="F85" s="39" t="s">
        <v>154</v>
      </c>
      <c r="G85" s="39" t="s">
        <v>565</v>
      </c>
      <c r="H85" s="39">
        <v>20200101</v>
      </c>
      <c r="I85" s="60">
        <v>99991231</v>
      </c>
      <c r="J85" s="10" t="s">
        <v>4526</v>
      </c>
      <c r="K85" s="44" t="s">
        <v>523</v>
      </c>
      <c r="L85" s="10" t="s">
        <v>4526</v>
      </c>
      <c r="M85" s="44" t="s">
        <v>523</v>
      </c>
      <c r="N85" s="44" t="str">
        <f t="shared" si="1"/>
        <v>INSERT INTO dbo.SysDocumentRule (Guid,RuleSerNo,RuleName,ChannelCode,SecondChannelCode,PlanCode,BgnDate,EndDate,CreateTime,Creator,ModifyTime,Modifier) VALUES ('00000000-0000-0000-0000-000000000084',1,'全通路版-WB-元大人壽真意豁免保險費附約-商品DM','*','*','WB','20200101','99991231',GETDATE(),'Alvin',GETDATE(),'Alvin')</v>
      </c>
    </row>
    <row r="86" spans="2:14" ht="13.8">
      <c r="B86" s="60" t="s">
        <v>4357</v>
      </c>
      <c r="C86" s="39">
        <v>1</v>
      </c>
      <c r="D86" s="10" t="s">
        <v>4448</v>
      </c>
      <c r="E86" s="39" t="s">
        <v>154</v>
      </c>
      <c r="F86" s="39" t="s">
        <v>154</v>
      </c>
      <c r="G86" s="39" t="s">
        <v>565</v>
      </c>
      <c r="H86" s="39">
        <v>20200101</v>
      </c>
      <c r="I86" s="60">
        <v>99991231</v>
      </c>
      <c r="J86" s="10" t="s">
        <v>4526</v>
      </c>
      <c r="K86" s="44" t="s">
        <v>523</v>
      </c>
      <c r="L86" s="10" t="s">
        <v>4526</v>
      </c>
      <c r="M86" s="44" t="s">
        <v>523</v>
      </c>
      <c r="N86" s="44" t="str">
        <f t="shared" si="1"/>
        <v>INSERT INTO dbo.SysDocumentRule (Guid,RuleSerNo,RuleName,ChannelCode,SecondChannelCode,PlanCode,BgnDate,EndDate,CreateTime,Creator,ModifyTime,Modifier) VALUES ('00000000-0000-0000-0000-000000000085',1,'全通路版-WB-元大人壽真意豁免保險費附約-商品費率表','*','*','WB','20200101','99991231',GETDATE(),'Alvin',GETDATE(),'Alvin')</v>
      </c>
    </row>
    <row r="87" spans="2:14" ht="13.8">
      <c r="B87" s="60" t="s">
        <v>4358</v>
      </c>
      <c r="C87" s="39">
        <v>1</v>
      </c>
      <c r="D87" s="10" t="s">
        <v>4449</v>
      </c>
      <c r="E87" s="39" t="s">
        <v>154</v>
      </c>
      <c r="F87" s="39" t="s">
        <v>154</v>
      </c>
      <c r="G87" s="39" t="s">
        <v>565</v>
      </c>
      <c r="H87" s="39">
        <v>20200101</v>
      </c>
      <c r="I87" s="60">
        <v>99991231</v>
      </c>
      <c r="J87" s="10" t="s">
        <v>4526</v>
      </c>
      <c r="K87" s="44" t="s">
        <v>523</v>
      </c>
      <c r="L87" s="10" t="s">
        <v>4526</v>
      </c>
      <c r="M87" s="44" t="s">
        <v>523</v>
      </c>
      <c r="N87" s="44" t="str">
        <f t="shared" si="1"/>
        <v>INSERT INTO dbo.SysDocumentRule (Guid,RuleSerNo,RuleName,ChannelCode,SecondChannelCode,PlanCode,BgnDate,EndDate,CreateTime,Creator,ModifyTime,Modifier) VALUES ('00000000-0000-0000-0000-000000000086',1,'全通路版-WB-元大人壽真意豁免保險費附約-商品條款','*','*','WB','20200101','99991231',GETDATE(),'Alvin',GETDATE(),'Alvin')</v>
      </c>
    </row>
    <row r="88" spans="2:14" ht="13.8">
      <c r="B88" s="60" t="s">
        <v>4359</v>
      </c>
      <c r="C88" s="39">
        <v>1</v>
      </c>
      <c r="D88" s="10" t="s">
        <v>4450</v>
      </c>
      <c r="E88" s="39" t="s">
        <v>154</v>
      </c>
      <c r="F88" s="39" t="s">
        <v>154</v>
      </c>
      <c r="G88" s="39" t="s">
        <v>565</v>
      </c>
      <c r="H88" s="39">
        <v>20200101</v>
      </c>
      <c r="I88" s="60">
        <v>99991231</v>
      </c>
      <c r="J88" s="10" t="s">
        <v>4526</v>
      </c>
      <c r="K88" s="44" t="s">
        <v>523</v>
      </c>
      <c r="L88" s="10" t="s">
        <v>4526</v>
      </c>
      <c r="M88" s="44" t="s">
        <v>523</v>
      </c>
      <c r="N88" s="44" t="str">
        <f t="shared" si="1"/>
        <v>INSERT INTO dbo.SysDocumentRule (Guid,RuleSerNo,RuleName,ChannelCode,SecondChannelCode,PlanCode,BgnDate,EndDate,CreateTime,Creator,ModifyTime,Modifier) VALUES ('00000000-0000-0000-0000-000000000087',1,'全通路版-WB-元大人壽真意豁免保險費附約-條款樣張','*','*','WB','20200101','99991231',GETDATE(),'Alvin',GETDATE(),'Alvin')</v>
      </c>
    </row>
    <row r="89" spans="2:14" ht="13.8">
      <c r="B89" s="60" t="s">
        <v>4360</v>
      </c>
      <c r="C89" s="39">
        <v>1</v>
      </c>
      <c r="D89" s="10" t="s">
        <v>4451</v>
      </c>
      <c r="E89" s="39" t="s">
        <v>154</v>
      </c>
      <c r="F89" s="39" t="s">
        <v>154</v>
      </c>
      <c r="G89" s="39" t="s">
        <v>4455</v>
      </c>
      <c r="H89" s="39">
        <v>20200101</v>
      </c>
      <c r="I89" s="60">
        <v>99991231</v>
      </c>
      <c r="J89" s="10" t="s">
        <v>4526</v>
      </c>
      <c r="K89" s="44" t="s">
        <v>523</v>
      </c>
      <c r="L89" s="10" t="s">
        <v>4526</v>
      </c>
      <c r="M89" s="44" t="s">
        <v>523</v>
      </c>
      <c r="N89" s="44" t="str">
        <f t="shared" si="1"/>
        <v>INSERT INTO dbo.SysDocumentRule (Guid,RuleSerNo,RuleName,ChannelCode,SecondChannelCode,PlanCode,BgnDate,EndDate,CreateTime,Creator,ModifyTime,Modifier) VALUES ('00000000-0000-0000-0000-000000000088',1,'全通路版-WD-元大人壽真心豁免保險費附約-商品DM','*','*','WD','20200101','99991231',GETDATE(),'Alvin',GETDATE(),'Alvin')</v>
      </c>
    </row>
    <row r="90" spans="2:14" ht="13.8">
      <c r="B90" s="60" t="s">
        <v>4361</v>
      </c>
      <c r="C90" s="39">
        <v>1</v>
      </c>
      <c r="D90" s="10" t="s">
        <v>4452</v>
      </c>
      <c r="E90" s="39" t="s">
        <v>154</v>
      </c>
      <c r="F90" s="39" t="s">
        <v>154</v>
      </c>
      <c r="G90" s="39" t="s">
        <v>4455</v>
      </c>
      <c r="H90" s="39">
        <v>20200101</v>
      </c>
      <c r="I90" s="60">
        <v>99991231</v>
      </c>
      <c r="J90" s="10" t="s">
        <v>4526</v>
      </c>
      <c r="K90" s="44" t="s">
        <v>523</v>
      </c>
      <c r="L90" s="10" t="s">
        <v>4526</v>
      </c>
      <c r="M90" s="44" t="s">
        <v>523</v>
      </c>
      <c r="N90" s="44" t="str">
        <f t="shared" si="1"/>
        <v>INSERT INTO dbo.SysDocumentRule (Guid,RuleSerNo,RuleName,ChannelCode,SecondChannelCode,PlanCode,BgnDate,EndDate,CreateTime,Creator,ModifyTime,Modifier) VALUES ('00000000-0000-0000-0000-000000000089',1,'全通路版-WD-元大人壽真心豁免保險費附約-商品費率表','*','*','WD','20200101','99991231',GETDATE(),'Alvin',GETDATE(),'Alvin')</v>
      </c>
    </row>
    <row r="91" spans="2:14" ht="13.8">
      <c r="B91" s="60" t="s">
        <v>4362</v>
      </c>
      <c r="C91" s="39">
        <v>1</v>
      </c>
      <c r="D91" s="10" t="s">
        <v>4453</v>
      </c>
      <c r="E91" s="39" t="s">
        <v>154</v>
      </c>
      <c r="F91" s="39" t="s">
        <v>154</v>
      </c>
      <c r="G91" s="39" t="s">
        <v>4455</v>
      </c>
      <c r="H91" s="39">
        <v>20200101</v>
      </c>
      <c r="I91" s="60">
        <v>99991231</v>
      </c>
      <c r="J91" s="10" t="s">
        <v>4526</v>
      </c>
      <c r="K91" s="44" t="s">
        <v>523</v>
      </c>
      <c r="L91" s="10" t="s">
        <v>4526</v>
      </c>
      <c r="M91" s="44" t="s">
        <v>523</v>
      </c>
      <c r="N91" s="44" t="str">
        <f t="shared" si="1"/>
        <v>INSERT INTO dbo.SysDocumentRule (Guid,RuleSerNo,RuleName,ChannelCode,SecondChannelCode,PlanCode,BgnDate,EndDate,CreateTime,Creator,ModifyTime,Modifier) VALUES ('00000000-0000-0000-0000-000000000090',1,'全通路版-WD-元大人壽真心豁免保險費附約-商品條款','*','*','WD','20200101','99991231',GETDATE(),'Alvin',GETDATE(),'Alvin')</v>
      </c>
    </row>
    <row r="92" spans="2:14" ht="13.8">
      <c r="B92" s="60" t="s">
        <v>4363</v>
      </c>
      <c r="C92" s="39">
        <v>1</v>
      </c>
      <c r="D92" s="10" t="s">
        <v>4574</v>
      </c>
      <c r="E92" s="39" t="s">
        <v>154</v>
      </c>
      <c r="F92" s="39" t="s">
        <v>154</v>
      </c>
      <c r="G92" s="39" t="s">
        <v>4455</v>
      </c>
      <c r="H92" s="39">
        <v>20200101</v>
      </c>
      <c r="I92" s="60">
        <v>99991231</v>
      </c>
      <c r="J92" s="10" t="s">
        <v>4526</v>
      </c>
      <c r="K92" s="44" t="s">
        <v>523</v>
      </c>
      <c r="L92" s="10" t="s">
        <v>4526</v>
      </c>
      <c r="M92" s="44" t="s">
        <v>523</v>
      </c>
      <c r="N92" s="44" t="str">
        <f>$N$1 &amp; " VALUES ('"&amp;B92&amp;"',"&amp;C92&amp;",'"&amp;D92&amp;"','"&amp;E92&amp;"','"&amp;F92&amp;"','"&amp;G92&amp;"','"&amp;H92&amp;"','"&amp;I92&amp;"',"&amp;J92&amp;",'"&amp;K92&amp;"',"&amp;L92&amp;",'"&amp;M92&amp;"')"</f>
        <v>INSERT INTO dbo.SysDocumentRule (Guid,RuleSerNo,RuleName,ChannelCode,SecondChannelCode,PlanCode,BgnDate,EndDate,CreateTime,Creator,ModifyTime,Modifier) VALUES ('00000000-0000-0000-0000-000000000091',1,'全通路版-WD-元大人壽真心豁免保險費附約-條款樣張','*','*','WD','20200101','99991231',GETDATE(),'Alvin',GETDATE(),'Alvin')</v>
      </c>
    </row>
    <row r="93" spans="2:14" ht="13.8">
      <c r="B93" s="60" t="s">
        <v>4566</v>
      </c>
      <c r="C93" s="39">
        <v>1</v>
      </c>
      <c r="D93" s="10" t="s">
        <v>4575</v>
      </c>
      <c r="E93" s="39" t="s">
        <v>154</v>
      </c>
      <c r="F93" s="39" t="s">
        <v>154</v>
      </c>
      <c r="G93" s="39" t="s">
        <v>4583</v>
      </c>
      <c r="H93" s="39">
        <v>20200101</v>
      </c>
      <c r="I93" s="60">
        <v>99991231</v>
      </c>
      <c r="J93" s="10" t="s">
        <v>4526</v>
      </c>
      <c r="K93" s="44" t="s">
        <v>523</v>
      </c>
      <c r="L93" s="10" t="s">
        <v>4526</v>
      </c>
      <c r="M93" s="44" t="s">
        <v>523</v>
      </c>
      <c r="N93" s="44" t="str">
        <f t="shared" ref="N93:N100" si="2">$N$1 &amp; " VALUES ('"&amp;B93&amp;"',"&amp;C93&amp;",'"&amp;D93&amp;"','"&amp;E93&amp;"','"&amp;F93&amp;"','"&amp;G93&amp;"','"&amp;H93&amp;"','"&amp;I93&amp;"',"&amp;J93&amp;",'"&amp;K93&amp;"',"&amp;L93&amp;",'"&amp;M93&amp;"')"</f>
        <v>INSERT INTO dbo.SysDocumentRule (Guid,RuleSerNo,RuleName,ChannelCode,SecondChannelCode,PlanCode,BgnDate,EndDate,CreateTime,Creator,ModifyTime,Modifier) VALUES ('00000000-0000-0000-0000-000000000092',1,'全通路版-WH-元大人壽美意美元豁免保險費附約-商品DM','*','*','WH','20200101','99991231',GETDATE(),'Alvin',GETDATE(),'Alvin')</v>
      </c>
    </row>
    <row r="94" spans="2:14" ht="13.8">
      <c r="B94" s="60" t="s">
        <v>4567</v>
      </c>
      <c r="C94" s="39">
        <v>1</v>
      </c>
      <c r="D94" s="10" t="s">
        <v>4576</v>
      </c>
      <c r="E94" s="39" t="s">
        <v>154</v>
      </c>
      <c r="F94" s="39" t="s">
        <v>154</v>
      </c>
      <c r="G94" s="39" t="s">
        <v>4583</v>
      </c>
      <c r="H94" s="39">
        <v>20200101</v>
      </c>
      <c r="I94" s="60">
        <v>99991231</v>
      </c>
      <c r="J94" s="10" t="s">
        <v>4526</v>
      </c>
      <c r="K94" s="44" t="s">
        <v>523</v>
      </c>
      <c r="L94" s="10" t="s">
        <v>4526</v>
      </c>
      <c r="M94" s="44" t="s">
        <v>523</v>
      </c>
      <c r="N94" s="44" t="str">
        <f t="shared" si="2"/>
        <v>INSERT INTO dbo.SysDocumentRule (Guid,RuleSerNo,RuleName,ChannelCode,SecondChannelCode,PlanCode,BgnDate,EndDate,CreateTime,Creator,ModifyTime,Modifier) VALUES ('00000000-0000-0000-0000-000000000093',1,'全通路版-WH-元大人壽美意美元豁免保險費附約-商品費率表','*','*','WH','20200101','99991231',GETDATE(),'Alvin',GETDATE(),'Alvin')</v>
      </c>
    </row>
    <row r="95" spans="2:14" ht="13.8">
      <c r="B95" s="60" t="s">
        <v>4568</v>
      </c>
      <c r="C95" s="39">
        <v>1</v>
      </c>
      <c r="D95" s="10" t="s">
        <v>4577</v>
      </c>
      <c r="E95" s="39" t="s">
        <v>154</v>
      </c>
      <c r="F95" s="39" t="s">
        <v>154</v>
      </c>
      <c r="G95" s="39" t="s">
        <v>4583</v>
      </c>
      <c r="H95" s="39">
        <v>20200101</v>
      </c>
      <c r="I95" s="60">
        <v>99991231</v>
      </c>
      <c r="J95" s="10" t="s">
        <v>4526</v>
      </c>
      <c r="K95" s="44" t="s">
        <v>523</v>
      </c>
      <c r="L95" s="10" t="s">
        <v>4526</v>
      </c>
      <c r="M95" s="44" t="s">
        <v>523</v>
      </c>
      <c r="N95" s="44" t="str">
        <f t="shared" si="2"/>
        <v>INSERT INTO dbo.SysDocumentRule (Guid,RuleSerNo,RuleName,ChannelCode,SecondChannelCode,PlanCode,BgnDate,EndDate,CreateTime,Creator,ModifyTime,Modifier) VALUES ('00000000-0000-0000-0000-000000000094',1,'全通路版-WH-元大人壽美意美元豁免保險費附約-商品條款','*','*','WH','20200101','99991231',GETDATE(),'Alvin',GETDATE(),'Alvin')</v>
      </c>
    </row>
    <row r="96" spans="2:14" ht="13.8">
      <c r="B96" s="60" t="s">
        <v>4569</v>
      </c>
      <c r="C96" s="39">
        <v>1</v>
      </c>
      <c r="D96" s="10" t="s">
        <v>4578</v>
      </c>
      <c r="E96" s="39" t="s">
        <v>154</v>
      </c>
      <c r="F96" s="39" t="s">
        <v>154</v>
      </c>
      <c r="G96" s="39" t="s">
        <v>4583</v>
      </c>
      <c r="H96" s="39">
        <v>20200101</v>
      </c>
      <c r="I96" s="60">
        <v>99991231</v>
      </c>
      <c r="J96" s="10" t="s">
        <v>4526</v>
      </c>
      <c r="K96" s="44" t="s">
        <v>523</v>
      </c>
      <c r="L96" s="10" t="s">
        <v>4526</v>
      </c>
      <c r="M96" s="44" t="s">
        <v>523</v>
      </c>
      <c r="N96" s="44" t="str">
        <f t="shared" si="2"/>
        <v>INSERT INTO dbo.SysDocumentRule (Guid,RuleSerNo,RuleName,ChannelCode,SecondChannelCode,PlanCode,BgnDate,EndDate,CreateTime,Creator,ModifyTime,Modifier) VALUES ('00000000-0000-0000-0000-000000000095',1,'全通路版-WH-元大人壽美意美元豁免保險費附約-條款樣張','*','*','WH','20200101','99991231',GETDATE(),'Alvin',GETDATE(),'Alvin')</v>
      </c>
    </row>
    <row r="97" spans="2:14" ht="13.8">
      <c r="B97" s="60" t="s">
        <v>4570</v>
      </c>
      <c r="C97" s="39">
        <v>1</v>
      </c>
      <c r="D97" s="10" t="s">
        <v>4579</v>
      </c>
      <c r="E97" s="39" t="s">
        <v>154</v>
      </c>
      <c r="F97" s="39" t="s">
        <v>154</v>
      </c>
      <c r="G97" s="39" t="s">
        <v>4584</v>
      </c>
      <c r="H97" s="39">
        <v>20200101</v>
      </c>
      <c r="I97" s="60">
        <v>99991231</v>
      </c>
      <c r="J97" s="10" t="s">
        <v>4526</v>
      </c>
      <c r="K97" s="44" t="s">
        <v>523</v>
      </c>
      <c r="L97" s="10" t="s">
        <v>4526</v>
      </c>
      <c r="M97" s="44" t="s">
        <v>523</v>
      </c>
      <c r="N97" s="44" t="str">
        <f t="shared" si="2"/>
        <v>INSERT INTO dbo.SysDocumentRule (Guid,RuleSerNo,RuleName,ChannelCode,SecondChannelCode,PlanCode,BgnDate,EndDate,CreateTime,Creator,ModifyTime,Modifier) VALUES ('00000000-0000-0000-0000-000000000096',1,'全通路版-WI-元大人壽美心美元豁免保險費附約-商品DM','*','*','WI','20200101','99991231',GETDATE(),'Alvin',GETDATE(),'Alvin')</v>
      </c>
    </row>
    <row r="98" spans="2:14" ht="13.8">
      <c r="B98" s="60" t="s">
        <v>4571</v>
      </c>
      <c r="C98" s="39">
        <v>1</v>
      </c>
      <c r="D98" s="10" t="s">
        <v>4580</v>
      </c>
      <c r="E98" s="39" t="s">
        <v>154</v>
      </c>
      <c r="F98" s="39" t="s">
        <v>154</v>
      </c>
      <c r="G98" s="39" t="s">
        <v>4584</v>
      </c>
      <c r="H98" s="39">
        <v>20200101</v>
      </c>
      <c r="I98" s="60">
        <v>99991231</v>
      </c>
      <c r="J98" s="10" t="s">
        <v>4526</v>
      </c>
      <c r="K98" s="44" t="s">
        <v>523</v>
      </c>
      <c r="L98" s="10" t="s">
        <v>4526</v>
      </c>
      <c r="M98" s="44" t="s">
        <v>523</v>
      </c>
      <c r="N98" s="44" t="str">
        <f t="shared" si="2"/>
        <v>INSERT INTO dbo.SysDocumentRule (Guid,RuleSerNo,RuleName,ChannelCode,SecondChannelCode,PlanCode,BgnDate,EndDate,CreateTime,Creator,ModifyTime,Modifier) VALUES ('00000000-0000-0000-0000-000000000097',1,'全通路版-WI-元大人壽美心美元豁免保險費附約-商品費率表','*','*','WI','20200101','99991231',GETDATE(),'Alvin',GETDATE(),'Alvin')</v>
      </c>
    </row>
    <row r="99" spans="2:14" ht="13.8">
      <c r="B99" s="60" t="s">
        <v>4572</v>
      </c>
      <c r="C99" s="39">
        <v>1</v>
      </c>
      <c r="D99" s="10" t="s">
        <v>4581</v>
      </c>
      <c r="E99" s="39" t="s">
        <v>154</v>
      </c>
      <c r="F99" s="39" t="s">
        <v>154</v>
      </c>
      <c r="G99" s="39" t="s">
        <v>4584</v>
      </c>
      <c r="H99" s="39">
        <v>20200101</v>
      </c>
      <c r="I99" s="60">
        <v>99991231</v>
      </c>
      <c r="J99" s="10" t="s">
        <v>4526</v>
      </c>
      <c r="K99" s="44" t="s">
        <v>523</v>
      </c>
      <c r="L99" s="10" t="s">
        <v>4526</v>
      </c>
      <c r="M99" s="44" t="s">
        <v>523</v>
      </c>
      <c r="N99" s="44" t="str">
        <f t="shared" si="2"/>
        <v>INSERT INTO dbo.SysDocumentRule (Guid,RuleSerNo,RuleName,ChannelCode,SecondChannelCode,PlanCode,BgnDate,EndDate,CreateTime,Creator,ModifyTime,Modifier) VALUES ('00000000-0000-0000-0000-000000000098',1,'全通路版-WI-元大人壽美心美元豁免保險費附約-商品條款','*','*','WI','20200101','99991231',GETDATE(),'Alvin',GETDATE(),'Alvin')</v>
      </c>
    </row>
    <row r="100" spans="2:14" ht="13.8">
      <c r="B100" s="60" t="s">
        <v>4573</v>
      </c>
      <c r="C100" s="39">
        <v>1</v>
      </c>
      <c r="D100" s="10" t="s">
        <v>4582</v>
      </c>
      <c r="E100" s="39" t="s">
        <v>154</v>
      </c>
      <c r="F100" s="39" t="s">
        <v>154</v>
      </c>
      <c r="G100" s="39" t="s">
        <v>4584</v>
      </c>
      <c r="H100" s="39">
        <v>20200101</v>
      </c>
      <c r="I100" s="60">
        <v>99991231</v>
      </c>
      <c r="J100" s="10" t="s">
        <v>4526</v>
      </c>
      <c r="K100" s="44" t="s">
        <v>523</v>
      </c>
      <c r="L100" s="10" t="s">
        <v>4526</v>
      </c>
      <c r="M100" s="44" t="s">
        <v>523</v>
      </c>
      <c r="N100" s="44" t="str">
        <f t="shared" si="2"/>
        <v>INSERT INTO dbo.SysDocumentRule (Guid,RuleSerNo,RuleName,ChannelCode,SecondChannelCode,PlanCode,BgnDate,EndDate,CreateTime,Creator,ModifyTime,Modifier) VALUES ('00000000-0000-0000-0000-000000000099',1,'全通路版-WI-元大人壽美心美元豁免保險費附約-條款樣張','*','*','WI','20200101','99991231',GETDATE(),'Alvin',GETDATE(),'Alvin')</v>
      </c>
    </row>
  </sheetData>
  <phoneticPr fontId="3" type="noConversion"/>
  <hyperlinks>
    <hyperlink ref="A1" location="目錄!A1" display="回到目錄"/>
  </hyperlinks>
  <pageMargins left="0.7" right="0.7" top="0.75" bottom="0.75" header="0.3" footer="0.3"/>
  <pageSetup paperSize="9" orientation="portrait" horizontalDpi="300" verticalDpi="300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5"/>
  <dimension ref="A1:R101"/>
  <sheetViews>
    <sheetView workbookViewId="0">
      <pane ySplit="1" topLeftCell="A89" activePane="bottomLeft" state="frozen"/>
      <selection activeCell="B1" sqref="B1"/>
      <selection pane="bottomLeft"/>
    </sheetView>
  </sheetViews>
  <sheetFormatPr defaultRowHeight="13.8"/>
  <cols>
    <col min="1" max="1" width="7.453125" style="44" bestFit="1" customWidth="1"/>
    <col min="2" max="2" width="34.7265625" style="39" bestFit="1" customWidth="1"/>
    <col min="3" max="3" width="6.1796875" style="39" customWidth="1"/>
    <col min="4" max="4" width="9.54296875" style="39" customWidth="1"/>
    <col min="5" max="6" width="8.54296875" style="39" bestFit="1" customWidth="1"/>
    <col min="7" max="7" width="7.54296875" style="39" bestFit="1" customWidth="1"/>
    <col min="8" max="8" width="55.08984375" style="44" bestFit="1" customWidth="1"/>
    <col min="9" max="9" width="11.36328125" style="44" bestFit="1" customWidth="1"/>
    <col min="10" max="10" width="7.453125" style="39" customWidth="1"/>
    <col min="11" max="11" width="12.54296875" style="44" bestFit="1" customWidth="1"/>
    <col min="12" max="12" width="15" style="44" customWidth="1"/>
    <col min="13" max="13" width="10" style="44" bestFit="1" customWidth="1"/>
    <col min="14" max="14" width="7" style="44" customWidth="1"/>
    <col min="15" max="15" width="10.36328125" style="44" bestFit="1" customWidth="1"/>
    <col min="16" max="16" width="7.7265625" style="2" bestFit="1" customWidth="1"/>
    <col min="17" max="16384" width="8.7265625" style="44"/>
  </cols>
  <sheetData>
    <row r="1" spans="1:18">
      <c r="A1" s="43" t="s">
        <v>36</v>
      </c>
      <c r="B1" s="92" t="s">
        <v>4093</v>
      </c>
      <c r="C1" s="87" t="s">
        <v>4172</v>
      </c>
      <c r="D1" s="87" t="s">
        <v>4174</v>
      </c>
      <c r="E1" s="92" t="s">
        <v>3730</v>
      </c>
      <c r="F1" s="92" t="s">
        <v>2924</v>
      </c>
      <c r="G1" s="87" t="s">
        <v>4106</v>
      </c>
      <c r="H1" s="88" t="s">
        <v>2927</v>
      </c>
      <c r="I1" s="88" t="s">
        <v>2928</v>
      </c>
      <c r="J1" s="92" t="s">
        <v>4104</v>
      </c>
      <c r="K1" s="88" t="s">
        <v>4188</v>
      </c>
      <c r="L1" s="88" t="s">
        <v>4189</v>
      </c>
      <c r="M1" s="88" t="s">
        <v>0</v>
      </c>
      <c r="N1" s="88" t="s">
        <v>1</v>
      </c>
      <c r="O1" s="88" t="s">
        <v>19</v>
      </c>
      <c r="P1" s="93" t="s">
        <v>2</v>
      </c>
      <c r="R1" s="42" t="str">
        <f>"INSERT INTO dbo.SysDocumentFile ("&amp;B1&amp;","&amp;C1&amp;","&amp;D1&amp;","&amp;E1&amp;","&amp;F1&amp;","&amp;G1&amp;","&amp;H1&amp;","&amp;I1&amp;","&amp;J1&amp;","&amp;K1&amp;","&amp;L1&amp;","&amp;M1&amp;","&amp;N1&amp;","&amp;O1&amp;","&amp;P1&amp;")"</f>
        <v>INSERT INTO dbo.SysDocumentFile (Guid,RuleSerNo,FileSerNo,BgnDate,EndDate,FileType,FileName,FileExtension,FileSize,FileBinaryData,FileHyperlink,CreateTime,Creator,ModifyTime,Modifier)</v>
      </c>
    </row>
    <row r="2" spans="1:18">
      <c r="A2" s="44" t="s">
        <v>4549</v>
      </c>
      <c r="B2" s="60" t="s">
        <v>4094</v>
      </c>
      <c r="C2" s="39">
        <v>1</v>
      </c>
      <c r="D2" s="39">
        <v>1</v>
      </c>
      <c r="E2" s="39">
        <v>20200101</v>
      </c>
      <c r="F2" s="60">
        <v>99991231</v>
      </c>
      <c r="G2" s="39">
        <v>1</v>
      </c>
      <c r="H2" s="10" t="s">
        <v>4551</v>
      </c>
      <c r="I2" s="44" t="s">
        <v>4457</v>
      </c>
      <c r="J2" s="60">
        <v>1</v>
      </c>
      <c r="K2" s="49" t="str">
        <f t="shared" ref="K2:K4" si="0">"D:\Systex\F25B\元大人壽\商品資料\第一批商品\商品資訊\"&amp;A2&amp;"\"&amp;H2&amp;"."&amp;I2</f>
        <v>D:\Systex\F25B\元大人壽\商品資料\第一批商品\商品資訊\公用文件\公司簡介.pdf</v>
      </c>
      <c r="L2" s="49"/>
      <c r="M2" s="10" t="s">
        <v>4526</v>
      </c>
      <c r="N2" s="44" t="s">
        <v>4112</v>
      </c>
      <c r="O2" s="10" t="s">
        <v>4526</v>
      </c>
      <c r="P2" s="44" t="s">
        <v>4112</v>
      </c>
      <c r="R2" s="44" t="str">
        <f>$R$1 &amp; " VALUES ('"&amp;B2&amp;"',"&amp;C2&amp;","&amp;D2&amp;",'"&amp;E2&amp;"','"&amp;F2&amp;"',"&amp;G2&amp;",'"&amp;H2&amp;"','"&amp;I2&amp;"',"&amp;J2&amp;","&amp;"(SELECT * FROM OPENROWSET(BULK N'"&amp;K2&amp;"', SINGLE_BLOB) AS binarydata)"&amp;",'"&amp;L2&amp;"',"&amp;M2&amp;",'"&amp;N2&amp;"',"&amp;O2&amp;",'"&amp;P2&amp;"')"</f>
        <v>INSERT INTO dbo.SysDocumentFile (Guid,RuleSerNo,FileSerNo,BgnDate,EndDate,FileType,FileName,FileExtension,FileSize,FileBinaryData,FileHyperlink,CreateTime,Creator,ModifyTime,Modifier) VALUES ('00000000-0000-0000-0000-000000000001',1,1,'20200101','99991231',1,'公司簡介','pdf',1,(SELECT * FROM OPENROWSET(BULK N'D:\Systex\F25B\元大人壽\商品資料\第一批商品\商品資訊\公用文件\公司簡介.pdf', SINGLE_BLOB) AS binarydata),'',GETDATE(),'Alvin',GETDATE(),'Alvin')</v>
      </c>
    </row>
    <row r="3" spans="1:18">
      <c r="A3" s="44" t="s">
        <v>4549</v>
      </c>
      <c r="B3" s="60" t="s">
        <v>4095</v>
      </c>
      <c r="C3" s="39">
        <v>1</v>
      </c>
      <c r="D3" s="39">
        <v>1</v>
      </c>
      <c r="E3" s="39">
        <v>20200101</v>
      </c>
      <c r="F3" s="60">
        <v>99991231</v>
      </c>
      <c r="G3" s="39">
        <v>1</v>
      </c>
      <c r="H3" s="10" t="s">
        <v>4553</v>
      </c>
      <c r="I3" s="44" t="s">
        <v>4550</v>
      </c>
      <c r="J3" s="60">
        <v>1</v>
      </c>
      <c r="K3" s="49" t="str">
        <f t="shared" si="0"/>
        <v>D:\Systex\F25B\元大人壽\商品資料\第一批商品\商品資訊\公用文件\集彙檔案20210104.xls</v>
      </c>
      <c r="L3" s="49"/>
      <c r="M3" s="10" t="s">
        <v>4526</v>
      </c>
      <c r="N3" s="44" t="s">
        <v>523</v>
      </c>
      <c r="O3" s="10" t="s">
        <v>4526</v>
      </c>
      <c r="P3" s="44" t="s">
        <v>523</v>
      </c>
      <c r="R3" s="44" t="str">
        <f t="shared" ref="R3:R66" si="1">$R$1 &amp; " VALUES ('"&amp;B3&amp;"',"&amp;C3&amp;","&amp;D3&amp;",'"&amp;E3&amp;"','"&amp;F3&amp;"',"&amp;G3&amp;",'"&amp;H3&amp;"','"&amp;I3&amp;"',"&amp;J3&amp;","&amp;"(SELECT * FROM OPENROWSET(BULK N'"&amp;K3&amp;"', SINGLE_BLOB) AS binarydata)"&amp;",'"&amp;L3&amp;"',"&amp;M3&amp;",'"&amp;N3&amp;"',"&amp;O3&amp;",'"&amp;P3&amp;"')"</f>
        <v>INSERT INTO dbo.SysDocumentFile (Guid,RuleSerNo,FileSerNo,BgnDate,EndDate,FileType,FileName,FileExtension,FileSize,FileBinaryData,FileHyperlink,CreateTime,Creator,ModifyTime,Modifier) VALUES ('00000000-0000-0000-0000-000000000002',1,1,'20200101','99991231',1,'集彙檔案20210104','xls',1,(SELECT * FROM OPENROWSET(BULK N'D:\Systex\F25B\元大人壽\商品資料\第一批商品\商品資訊\公用文件\集彙檔案20210104.xls', SINGLE_BLOB) AS binarydata),'',GETDATE(),'Alvin',GETDATE(),'Alvin')</v>
      </c>
    </row>
    <row r="4" spans="1:18">
      <c r="A4" s="44" t="s">
        <v>4549</v>
      </c>
      <c r="B4" s="60" t="s">
        <v>4097</v>
      </c>
      <c r="C4" s="39">
        <v>1</v>
      </c>
      <c r="D4" s="39">
        <v>1</v>
      </c>
      <c r="E4" s="39">
        <v>20200101</v>
      </c>
      <c r="F4" s="60">
        <v>99991231</v>
      </c>
      <c r="G4" s="39">
        <v>1</v>
      </c>
      <c r="H4" s="10" t="s">
        <v>4552</v>
      </c>
      <c r="I4" s="44" t="s">
        <v>4457</v>
      </c>
      <c r="J4" s="60">
        <v>1</v>
      </c>
      <c r="K4" s="49" t="str">
        <f t="shared" si="0"/>
        <v>D:\Systex\F25B\元大人壽\商品資料\第一批商品\商品資訊\公用文件\特約體檢醫院1091221.pdf</v>
      </c>
      <c r="L4" s="118"/>
      <c r="M4" s="10" t="s">
        <v>4526</v>
      </c>
      <c r="N4" s="44" t="s">
        <v>523</v>
      </c>
      <c r="O4" s="10" t="s">
        <v>4526</v>
      </c>
      <c r="P4" s="44" t="s">
        <v>523</v>
      </c>
      <c r="R4" s="44" t="str">
        <f t="shared" si="1"/>
        <v>INSERT INTO dbo.SysDocumentFile (Guid,RuleSerNo,FileSerNo,BgnDate,EndDate,FileType,FileName,FileExtension,FileSize,FileBinaryData,FileHyperlink,CreateTime,Creator,ModifyTime,Modifier) VALUES ('00000000-0000-0000-0000-000000000003',1,1,'20200101','99991231',1,'特約體檢醫院1091221','pdf',1,(SELECT * FROM OPENROWSET(BULK N'D:\Systex\F25B\元大人壽\商品資料\第一批商品\商品資訊\公用文件\特約體檢醫院1091221.pdf', SINGLE_BLOB) AS binarydata),'',GETDATE(),'Alvin',GETDATE(),'Alvin')</v>
      </c>
    </row>
    <row r="5" spans="1:18">
      <c r="A5" s="44" t="s">
        <v>4207</v>
      </c>
      <c r="B5" s="60" t="s">
        <v>4208</v>
      </c>
      <c r="C5" s="39">
        <v>1</v>
      </c>
      <c r="D5" s="39">
        <v>1</v>
      </c>
      <c r="E5" s="39">
        <v>20200101</v>
      </c>
      <c r="F5" s="60">
        <v>99991231</v>
      </c>
      <c r="G5" s="39">
        <v>1</v>
      </c>
      <c r="H5" s="10" t="s">
        <v>4456</v>
      </c>
      <c r="I5" s="44" t="s">
        <v>4457</v>
      </c>
      <c r="J5" s="60">
        <v>1</v>
      </c>
      <c r="K5" s="49" t="str">
        <f>"D:\Systex\F25B\元大人壽\商品資料\第一批商品\商品資訊\"&amp;A5&amp;"\"&amp;H5&amp;"."&amp;I5</f>
        <v>D:\Systex\F25B\元大人壽\商品資料\第一批商品\商品資訊\A2\A2_文宣字第1090671號.pdf</v>
      </c>
      <c r="L5" s="49"/>
      <c r="M5" s="10" t="s">
        <v>4526</v>
      </c>
      <c r="N5" s="44" t="s">
        <v>523</v>
      </c>
      <c r="O5" s="10" t="s">
        <v>4526</v>
      </c>
      <c r="P5" s="44" t="s">
        <v>523</v>
      </c>
      <c r="R5" s="44" t="str">
        <f t="shared" si="1"/>
        <v>INSERT INTO dbo.SysDocumentFile (Guid,RuleSerNo,FileSerNo,BgnDate,EndDate,FileType,FileName,FileExtension,FileSize,FileBinaryData,FileHyperlink,CreateTime,Creator,ModifyTime,Modifier) VALUES ('00000000-0000-0000-0000-000000000004',1,1,'20200101','99991231',1,'A2_文宣字第1090671號','pdf',1,(SELECT * FROM OPENROWSET(BULK N'D:\Systex\F25B\元大人壽\商品資料\第一批商品\商品資訊\A2\A2_文宣字第1090671號.pdf', SINGLE_BLOB) AS binarydata),'',GETDATE(),'Alvin',GETDATE(),'Alvin')</v>
      </c>
    </row>
    <row r="6" spans="1:18">
      <c r="A6" s="44" t="s">
        <v>4207</v>
      </c>
      <c r="B6" s="60" t="s">
        <v>4096</v>
      </c>
      <c r="C6" s="39">
        <v>1</v>
      </c>
      <c r="D6" s="39">
        <v>1</v>
      </c>
      <c r="E6" s="39">
        <v>20200101</v>
      </c>
      <c r="F6" s="60">
        <v>99991231</v>
      </c>
      <c r="G6" s="39">
        <v>1</v>
      </c>
      <c r="H6" s="10" t="s">
        <v>4458</v>
      </c>
      <c r="I6" s="44" t="s">
        <v>4459</v>
      </c>
      <c r="J6" s="60">
        <v>1</v>
      </c>
      <c r="K6" s="49" t="str">
        <f t="shared" ref="K6:K69" si="2">"D:\Systex\F25B\元大人壽\商品資料\第一批商品\商品資訊\"&amp;A6&amp;"\"&amp;H6&amp;"."&amp;I6</f>
        <v>D:\Systex\F25B\元大人壽\商品資料\第一批商品\商品資訊\A2\A2E費率表_含保費折扣.xlsx</v>
      </c>
      <c r="L6" s="49"/>
      <c r="M6" s="10" t="s">
        <v>4526</v>
      </c>
      <c r="N6" s="44" t="s">
        <v>523</v>
      </c>
      <c r="O6" s="10" t="s">
        <v>4526</v>
      </c>
      <c r="P6" s="44" t="s">
        <v>523</v>
      </c>
      <c r="R6" s="44" t="str">
        <f t="shared" si="1"/>
        <v>INSERT INTO dbo.SysDocumentFile (Guid,RuleSerNo,FileSerNo,BgnDate,EndDate,FileType,FileName,FileExtension,FileSize,FileBinaryData,FileHyperlink,CreateTime,Creator,ModifyTime,Modifier) VALUES ('00000000-0000-0000-0000-000000000005',1,1,'20200101','99991231',1,'A2E費率表_含保費折扣','xlsx',1,(SELECT * FROM OPENROWSET(BULK N'D:\Systex\F25B\元大人壽\商品資料\第一批商品\商品資訊\A2\A2E費率表_含保費折扣.xlsx', SINGLE_BLOB) AS binarydata),'',GETDATE(),'Alvin',GETDATE(),'Alvin')</v>
      </c>
    </row>
    <row r="7" spans="1:18">
      <c r="A7" s="44" t="s">
        <v>4207</v>
      </c>
      <c r="B7" s="60" t="s">
        <v>4098</v>
      </c>
      <c r="C7" s="39">
        <v>1</v>
      </c>
      <c r="D7" s="39">
        <v>1</v>
      </c>
      <c r="E7" s="39">
        <v>20200101</v>
      </c>
      <c r="F7" s="60">
        <v>99991231</v>
      </c>
      <c r="G7" s="39">
        <v>1</v>
      </c>
      <c r="H7" s="10" t="s">
        <v>4207</v>
      </c>
      <c r="I7" s="44" t="s">
        <v>4457</v>
      </c>
      <c r="J7" s="60">
        <v>1</v>
      </c>
      <c r="K7" s="49" t="str">
        <f t="shared" si="2"/>
        <v>D:\Systex\F25B\元大人壽\商品資料\第一批商品\商品資訊\A2\A2.pdf</v>
      </c>
      <c r="L7" s="49"/>
      <c r="M7" s="10" t="s">
        <v>4526</v>
      </c>
      <c r="N7" s="44" t="s">
        <v>523</v>
      </c>
      <c r="O7" s="10" t="s">
        <v>4526</v>
      </c>
      <c r="P7" s="44" t="s">
        <v>523</v>
      </c>
      <c r="R7" s="44" t="str">
        <f t="shared" si="1"/>
        <v>INSERT INTO dbo.SysDocumentFile (Guid,RuleSerNo,FileSerNo,BgnDate,EndDate,FileType,FileName,FileExtension,FileSize,FileBinaryData,FileHyperlink,CreateTime,Creator,ModifyTime,Modifier) VALUES ('00000000-0000-0000-0000-000000000006',1,1,'20200101','99991231',1,'A2','pdf',1,(SELECT * FROM OPENROWSET(BULK N'D:\Systex\F25B\元大人壽\商品資料\第一批商品\商品資訊\A2\A2.pdf', SINGLE_BLOB) AS binarydata),'',GETDATE(),'Alvin',GETDATE(),'Alvin')</v>
      </c>
    </row>
    <row r="8" spans="1:18">
      <c r="A8" s="44" t="s">
        <v>4207</v>
      </c>
      <c r="B8" s="60" t="s">
        <v>4099</v>
      </c>
      <c r="C8" s="39">
        <v>1</v>
      </c>
      <c r="D8" s="39">
        <v>1</v>
      </c>
      <c r="E8" s="39">
        <v>20200101</v>
      </c>
      <c r="F8" s="60">
        <v>99991231</v>
      </c>
      <c r="G8" s="39">
        <v>1</v>
      </c>
      <c r="H8" s="10" t="s">
        <v>4460</v>
      </c>
      <c r="I8" s="44" t="s">
        <v>4457</v>
      </c>
      <c r="J8" s="60">
        <v>1</v>
      </c>
      <c r="K8" s="49" t="str">
        <f t="shared" si="2"/>
        <v>D:\Systex\F25B\元大人壽\商品資料\第一批商品\商品資訊\A2\A2-s.pdf</v>
      </c>
      <c r="L8" s="49"/>
      <c r="M8" s="10" t="s">
        <v>4526</v>
      </c>
      <c r="N8" s="44" t="s">
        <v>523</v>
      </c>
      <c r="O8" s="10" t="s">
        <v>4526</v>
      </c>
      <c r="P8" s="44" t="s">
        <v>523</v>
      </c>
      <c r="R8" s="44" t="str">
        <f t="shared" si="1"/>
        <v>INSERT INTO dbo.SysDocumentFile (Guid,RuleSerNo,FileSerNo,BgnDate,EndDate,FileType,FileName,FileExtension,FileSize,FileBinaryData,FileHyperlink,CreateTime,Creator,ModifyTime,Modifier) VALUES ('00000000-0000-0000-0000-000000000007',1,1,'20200101','99991231',1,'A2-s','pdf',1,(SELECT * FROM OPENROWSET(BULK N'D:\Systex\F25B\元大人壽\商品資料\第一批商品\商品資訊\A2\A2-s.pdf', SINGLE_BLOB) AS binarydata),'',GETDATE(),'Alvin',GETDATE(),'Alvin')</v>
      </c>
    </row>
    <row r="9" spans="1:18">
      <c r="A9" s="44" t="s">
        <v>4527</v>
      </c>
      <c r="B9" s="60" t="s">
        <v>4100</v>
      </c>
      <c r="C9" s="39">
        <v>1</v>
      </c>
      <c r="D9" s="39">
        <v>1</v>
      </c>
      <c r="E9" s="39">
        <v>20200101</v>
      </c>
      <c r="F9" s="60">
        <v>99991231</v>
      </c>
      <c r="G9" s="39">
        <v>1</v>
      </c>
      <c r="H9" s="10" t="s">
        <v>4461</v>
      </c>
      <c r="I9" s="44" t="s">
        <v>4457</v>
      </c>
      <c r="J9" s="60">
        <v>1</v>
      </c>
      <c r="K9" s="49" t="str">
        <f t="shared" si="2"/>
        <v>D:\Systex\F25B\元大人壽\商品資料\第一批商品\商品資訊\A3\A3_文宣字第109189號.pdf</v>
      </c>
      <c r="L9" s="49"/>
      <c r="M9" s="10" t="s">
        <v>4526</v>
      </c>
      <c r="N9" s="44" t="s">
        <v>523</v>
      </c>
      <c r="O9" s="10" t="s">
        <v>4526</v>
      </c>
      <c r="P9" s="44" t="s">
        <v>523</v>
      </c>
      <c r="R9" s="44" t="str">
        <f t="shared" si="1"/>
        <v>INSERT INTO dbo.SysDocumentFile (Guid,RuleSerNo,FileSerNo,BgnDate,EndDate,FileType,FileName,FileExtension,FileSize,FileBinaryData,FileHyperlink,CreateTime,Creator,ModifyTime,Modifier) VALUES ('00000000-0000-0000-0000-000000000008',1,1,'20200101','99991231',1,'A3_文宣字第109189號','pdf',1,(SELECT * FROM OPENROWSET(BULK N'D:\Systex\F25B\元大人壽\商品資料\第一批商品\商品資訊\A3\A3_文宣字第109189號.pdf', SINGLE_BLOB) AS binarydata),'',GETDATE(),'Alvin',GETDATE(),'Alvin')</v>
      </c>
    </row>
    <row r="10" spans="1:18">
      <c r="A10" s="44" t="s">
        <v>4527</v>
      </c>
      <c r="B10" s="60" t="s">
        <v>4101</v>
      </c>
      <c r="C10" s="39">
        <v>1</v>
      </c>
      <c r="D10" s="39">
        <v>1</v>
      </c>
      <c r="E10" s="39">
        <v>20200101</v>
      </c>
      <c r="F10" s="60">
        <v>99991231</v>
      </c>
      <c r="G10" s="39">
        <v>1</v>
      </c>
      <c r="H10" s="10" t="s">
        <v>4462</v>
      </c>
      <c r="I10" s="44" t="s">
        <v>4459</v>
      </c>
      <c r="J10" s="60">
        <v>1</v>
      </c>
      <c r="K10" s="49" t="str">
        <f t="shared" si="2"/>
        <v>D:\Systex\F25B\元大人壽\商品資料\第一批商品\商品資訊\A3\A3C費率表_含保費折扣.xlsx</v>
      </c>
      <c r="L10" s="49"/>
      <c r="M10" s="10" t="s">
        <v>4526</v>
      </c>
      <c r="N10" s="44" t="s">
        <v>523</v>
      </c>
      <c r="O10" s="10" t="s">
        <v>4526</v>
      </c>
      <c r="P10" s="44" t="s">
        <v>523</v>
      </c>
      <c r="R10" s="44" t="str">
        <f t="shared" si="1"/>
        <v>INSERT INTO dbo.SysDocumentFile (Guid,RuleSerNo,FileSerNo,BgnDate,EndDate,FileType,FileName,FileExtension,FileSize,FileBinaryData,FileHyperlink,CreateTime,Creator,ModifyTime,Modifier) VALUES ('00000000-0000-0000-0000-000000000009',1,1,'20200101','99991231',1,'A3C費率表_含保費折扣','xlsx',1,(SELECT * FROM OPENROWSET(BULK N'D:\Systex\F25B\元大人壽\商品資料\第一批商品\商品資訊\A3\A3C費率表_含保費折扣.xlsx', SINGLE_BLOB) AS binarydata),'',GETDATE(),'Alvin',GETDATE(),'Alvin')</v>
      </c>
    </row>
    <row r="11" spans="1:18">
      <c r="A11" s="44" t="s">
        <v>4527</v>
      </c>
      <c r="B11" s="60" t="s">
        <v>4102</v>
      </c>
      <c r="C11" s="39">
        <v>1</v>
      </c>
      <c r="D11" s="39">
        <v>1</v>
      </c>
      <c r="E11" s="39">
        <v>20200101</v>
      </c>
      <c r="F11" s="60">
        <v>99991231</v>
      </c>
      <c r="G11" s="39">
        <v>1</v>
      </c>
      <c r="H11" s="10" t="s">
        <v>177</v>
      </c>
      <c r="I11" s="44" t="s">
        <v>4457</v>
      </c>
      <c r="J11" s="60">
        <v>1</v>
      </c>
      <c r="K11" s="49" t="str">
        <f t="shared" si="2"/>
        <v>D:\Systex\F25B\元大人壽\商品資料\第一批商品\商品資訊\A3\A3.pdf</v>
      </c>
      <c r="L11" s="49"/>
      <c r="M11" s="10" t="s">
        <v>4526</v>
      </c>
      <c r="N11" s="44" t="s">
        <v>523</v>
      </c>
      <c r="O11" s="10" t="s">
        <v>4526</v>
      </c>
      <c r="P11" s="44" t="s">
        <v>523</v>
      </c>
      <c r="R11" s="44" t="str">
        <f t="shared" si="1"/>
        <v>INSERT INTO dbo.SysDocumentFile (Guid,RuleSerNo,FileSerNo,BgnDate,EndDate,FileType,FileName,FileExtension,FileSize,FileBinaryData,FileHyperlink,CreateTime,Creator,ModifyTime,Modifier) VALUES ('00000000-0000-0000-0000-000000000010',1,1,'20200101','99991231',1,'A3','pdf',1,(SELECT * FROM OPENROWSET(BULK N'D:\Systex\F25B\元大人壽\商品資料\第一批商品\商品資訊\A3\A3.pdf', SINGLE_BLOB) AS binarydata),'',GETDATE(),'Alvin',GETDATE(),'Alvin')</v>
      </c>
    </row>
    <row r="12" spans="1:18">
      <c r="A12" s="44" t="s">
        <v>4527</v>
      </c>
      <c r="B12" s="60" t="s">
        <v>4103</v>
      </c>
      <c r="C12" s="39">
        <v>1</v>
      </c>
      <c r="D12" s="39">
        <v>1</v>
      </c>
      <c r="E12" s="39">
        <v>20200101</v>
      </c>
      <c r="F12" s="60">
        <v>99991231</v>
      </c>
      <c r="G12" s="39">
        <v>1</v>
      </c>
      <c r="H12" s="10" t="s">
        <v>4463</v>
      </c>
      <c r="I12" s="44" t="s">
        <v>4457</v>
      </c>
      <c r="J12" s="60">
        <v>1</v>
      </c>
      <c r="K12" s="49" t="str">
        <f t="shared" si="2"/>
        <v>D:\Systex\F25B\元大人壽\商品資料\第一批商品\商品資訊\A3\A3-s.pdf</v>
      </c>
      <c r="L12" s="49"/>
      <c r="M12" s="10" t="s">
        <v>4526</v>
      </c>
      <c r="N12" s="44" t="s">
        <v>523</v>
      </c>
      <c r="O12" s="10" t="s">
        <v>4526</v>
      </c>
      <c r="P12" s="44" t="s">
        <v>523</v>
      </c>
      <c r="R12" s="44" t="str">
        <f t="shared" si="1"/>
        <v>INSERT INTO dbo.SysDocumentFile (Guid,RuleSerNo,FileSerNo,BgnDate,EndDate,FileType,FileName,FileExtension,FileSize,FileBinaryData,FileHyperlink,CreateTime,Creator,ModifyTime,Modifier) VALUES ('00000000-0000-0000-0000-000000000011',1,1,'20200101','99991231',1,'A3-s','pdf',1,(SELECT * FROM OPENROWSET(BULK N'D:\Systex\F25B\元大人壽\商品資料\第一批商品\商品資訊\A3\A3-s.pdf', SINGLE_BLOB) AS binarydata),'',GETDATE(),'Alvin',GETDATE(),'Alvin')</v>
      </c>
    </row>
    <row r="13" spans="1:18">
      <c r="A13" s="44" t="s">
        <v>4528</v>
      </c>
      <c r="B13" s="60" t="s">
        <v>4109</v>
      </c>
      <c r="C13" s="39">
        <v>1</v>
      </c>
      <c r="D13" s="39">
        <v>1</v>
      </c>
      <c r="E13" s="39">
        <v>20200101</v>
      </c>
      <c r="F13" s="60">
        <v>99991231</v>
      </c>
      <c r="G13" s="39">
        <v>1</v>
      </c>
      <c r="H13" s="10" t="s">
        <v>4464</v>
      </c>
      <c r="I13" s="44" t="s">
        <v>4457</v>
      </c>
      <c r="J13" s="60">
        <v>1</v>
      </c>
      <c r="K13" s="49" t="str">
        <f t="shared" si="2"/>
        <v>D:\Systex\F25B\元大人壽\商品資料\第一批商品\商品資訊\C4\C4_文宣字第109189號.pdf</v>
      </c>
      <c r="L13" s="49"/>
      <c r="M13" s="10" t="s">
        <v>4526</v>
      </c>
      <c r="N13" s="44" t="s">
        <v>523</v>
      </c>
      <c r="O13" s="10" t="s">
        <v>4526</v>
      </c>
      <c r="P13" s="44" t="s">
        <v>523</v>
      </c>
      <c r="R13" s="44" t="str">
        <f t="shared" si="1"/>
        <v>INSERT INTO dbo.SysDocumentFile (Guid,RuleSerNo,FileSerNo,BgnDate,EndDate,FileType,FileName,FileExtension,FileSize,FileBinaryData,FileHyperlink,CreateTime,Creator,ModifyTime,Modifier) VALUES ('00000000-0000-0000-0000-000000000012',1,1,'20200101','99991231',1,'C4_文宣字第109189號','pdf',1,(SELECT * FROM OPENROWSET(BULK N'D:\Systex\F25B\元大人壽\商品資料\第一批商品\商品資訊\C4\C4_文宣字第109189號.pdf', SINGLE_BLOB) AS binarydata),'',GETDATE(),'Alvin',GETDATE(),'Alvin')</v>
      </c>
    </row>
    <row r="14" spans="1:18">
      <c r="A14" s="44" t="s">
        <v>4528</v>
      </c>
      <c r="B14" s="60" t="s">
        <v>4110</v>
      </c>
      <c r="C14" s="39">
        <v>1</v>
      </c>
      <c r="D14" s="39">
        <v>1</v>
      </c>
      <c r="E14" s="39">
        <v>20200101</v>
      </c>
      <c r="F14" s="60">
        <v>99991231</v>
      </c>
      <c r="G14" s="39">
        <v>1</v>
      </c>
      <c r="H14" s="10" t="s">
        <v>4465</v>
      </c>
      <c r="I14" s="44" t="s">
        <v>4459</v>
      </c>
      <c r="J14" s="60">
        <v>1</v>
      </c>
      <c r="K14" s="49" t="str">
        <f t="shared" si="2"/>
        <v>D:\Systex\F25B\元大人壽\商品資料\第一批商品\商品資訊\C4\C4F費率表_含保費折扣.xlsx</v>
      </c>
      <c r="L14" s="49"/>
      <c r="M14" s="10" t="s">
        <v>4526</v>
      </c>
      <c r="N14" s="44" t="s">
        <v>523</v>
      </c>
      <c r="O14" s="10" t="s">
        <v>4526</v>
      </c>
      <c r="P14" s="44" t="s">
        <v>523</v>
      </c>
      <c r="R14" s="44" t="str">
        <f t="shared" si="1"/>
        <v>INSERT INTO dbo.SysDocumentFile (Guid,RuleSerNo,FileSerNo,BgnDate,EndDate,FileType,FileName,FileExtension,FileSize,FileBinaryData,FileHyperlink,CreateTime,Creator,ModifyTime,Modifier) VALUES ('00000000-0000-0000-0000-000000000013',1,1,'20200101','99991231',1,'C4F費率表_含保費折扣','xlsx',1,(SELECT * FROM OPENROWSET(BULK N'D:\Systex\F25B\元大人壽\商品資料\第一批商品\商品資訊\C4\C4F費率表_含保費折扣.xlsx', SINGLE_BLOB) AS binarydata),'',GETDATE(),'Alvin',GETDATE(),'Alvin')</v>
      </c>
    </row>
    <row r="15" spans="1:18">
      <c r="A15" s="44" t="s">
        <v>4528</v>
      </c>
      <c r="B15" s="60" t="s">
        <v>4134</v>
      </c>
      <c r="C15" s="39">
        <v>1</v>
      </c>
      <c r="D15" s="39">
        <v>1</v>
      </c>
      <c r="E15" s="39">
        <v>20200101</v>
      </c>
      <c r="F15" s="60">
        <v>99991231</v>
      </c>
      <c r="G15" s="39">
        <v>1</v>
      </c>
      <c r="H15" s="10" t="s">
        <v>510</v>
      </c>
      <c r="I15" s="44" t="s">
        <v>4457</v>
      </c>
      <c r="J15" s="60">
        <v>1</v>
      </c>
      <c r="K15" s="49" t="str">
        <f t="shared" si="2"/>
        <v>D:\Systex\F25B\元大人壽\商品資料\第一批商品\商品資訊\C4\C4.pdf</v>
      </c>
      <c r="M15" s="10" t="s">
        <v>4526</v>
      </c>
      <c r="N15" s="44" t="s">
        <v>523</v>
      </c>
      <c r="O15" s="10" t="s">
        <v>4526</v>
      </c>
      <c r="P15" s="44" t="s">
        <v>523</v>
      </c>
      <c r="R15" s="44" t="str">
        <f t="shared" si="1"/>
        <v>INSERT INTO dbo.SysDocumentFile (Guid,RuleSerNo,FileSerNo,BgnDate,EndDate,FileType,FileName,FileExtension,FileSize,FileBinaryData,FileHyperlink,CreateTime,Creator,ModifyTime,Modifier) VALUES ('00000000-0000-0000-0000-000000000014',1,1,'20200101','99991231',1,'C4','pdf',1,(SELECT * FROM OPENROWSET(BULK N'D:\Systex\F25B\元大人壽\商品資料\第一批商品\商品資訊\C4\C4.pdf', SINGLE_BLOB) AS binarydata),'',GETDATE(),'Alvin',GETDATE(),'Alvin')</v>
      </c>
    </row>
    <row r="16" spans="1:18">
      <c r="A16" s="44" t="s">
        <v>4528</v>
      </c>
      <c r="B16" s="60" t="s">
        <v>4135</v>
      </c>
      <c r="C16" s="39">
        <v>1</v>
      </c>
      <c r="D16" s="39">
        <v>1</v>
      </c>
      <c r="E16" s="39">
        <v>20200101</v>
      </c>
      <c r="F16" s="60">
        <v>99991231</v>
      </c>
      <c r="G16" s="39">
        <v>1</v>
      </c>
      <c r="H16" s="10" t="s">
        <v>4466</v>
      </c>
      <c r="I16" s="44" t="s">
        <v>4457</v>
      </c>
      <c r="J16" s="60">
        <v>1</v>
      </c>
      <c r="K16" s="49" t="str">
        <f t="shared" si="2"/>
        <v>D:\Systex\F25B\元大人壽\商品資料\第一批商品\商品資訊\C4\C4-s.pdf</v>
      </c>
      <c r="L16" s="49"/>
      <c r="M16" s="10" t="s">
        <v>4526</v>
      </c>
      <c r="N16" s="44" t="s">
        <v>523</v>
      </c>
      <c r="O16" s="10" t="s">
        <v>4526</v>
      </c>
      <c r="P16" s="44" t="s">
        <v>523</v>
      </c>
      <c r="R16" s="44" t="str">
        <f t="shared" si="1"/>
        <v>INSERT INTO dbo.SysDocumentFile (Guid,RuleSerNo,FileSerNo,BgnDate,EndDate,FileType,FileName,FileExtension,FileSize,FileBinaryData,FileHyperlink,CreateTime,Creator,ModifyTime,Modifier) VALUES ('00000000-0000-0000-0000-000000000015',1,1,'20200101','99991231',1,'C4-s','pdf',1,(SELECT * FROM OPENROWSET(BULK N'D:\Systex\F25B\元大人壽\商品資料\第一批商品\商品資訊\C4\C4-s.pdf', SINGLE_BLOB) AS binarydata),'',GETDATE(),'Alvin',GETDATE(),'Alvin')</v>
      </c>
    </row>
    <row r="17" spans="1:18">
      <c r="A17" s="44" t="s">
        <v>4529</v>
      </c>
      <c r="B17" s="60" t="s">
        <v>4136</v>
      </c>
      <c r="C17" s="39">
        <v>1</v>
      </c>
      <c r="D17" s="39">
        <v>1</v>
      </c>
      <c r="E17" s="39">
        <v>20200101</v>
      </c>
      <c r="F17" s="60">
        <v>99991231</v>
      </c>
      <c r="G17" s="39">
        <v>1</v>
      </c>
      <c r="H17" s="119" t="s">
        <v>4548</v>
      </c>
      <c r="I17" s="44" t="s">
        <v>4457</v>
      </c>
      <c r="J17" s="60">
        <v>1</v>
      </c>
      <c r="K17" s="49" t="str">
        <f t="shared" si="2"/>
        <v>D:\Systex\F25B\元大人壽\商品資料\第一批商品\商品資訊\CY\CY_文宣字第108321號.pdf</v>
      </c>
      <c r="L17" s="49"/>
      <c r="M17" s="10" t="s">
        <v>4526</v>
      </c>
      <c r="N17" s="44" t="s">
        <v>523</v>
      </c>
      <c r="O17" s="10" t="s">
        <v>4526</v>
      </c>
      <c r="P17" s="44" t="s">
        <v>523</v>
      </c>
      <c r="R17" s="44" t="str">
        <f t="shared" si="1"/>
        <v>INSERT INTO dbo.SysDocumentFile (Guid,RuleSerNo,FileSerNo,BgnDate,EndDate,FileType,FileName,FileExtension,FileSize,FileBinaryData,FileHyperlink,CreateTime,Creator,ModifyTime,Modifier) VALUES ('00000000-0000-0000-0000-000000000016',1,1,'20200101','99991231',1,'CY_文宣字第108321號','pdf',1,(SELECT * FROM OPENROWSET(BULK N'D:\Systex\F25B\元大人壽\商品資料\第一批商品\商品資訊\CY\CY_文宣字第108321號.pdf', SINGLE_BLOB) AS binarydata),'',GETDATE(),'Alvin',GETDATE(),'Alvin')</v>
      </c>
    </row>
    <row r="18" spans="1:18">
      <c r="A18" s="44" t="s">
        <v>4529</v>
      </c>
      <c r="B18" s="60" t="s">
        <v>4137</v>
      </c>
      <c r="C18" s="39">
        <v>1</v>
      </c>
      <c r="D18" s="39">
        <v>1</v>
      </c>
      <c r="E18" s="39">
        <v>20200101</v>
      </c>
      <c r="F18" s="60">
        <v>99991231</v>
      </c>
      <c r="G18" s="39">
        <v>1</v>
      </c>
      <c r="H18" s="10" t="s">
        <v>4467</v>
      </c>
      <c r="I18" s="44" t="s">
        <v>4459</v>
      </c>
      <c r="J18" s="60">
        <v>1</v>
      </c>
      <c r="K18" s="49" t="str">
        <f t="shared" si="2"/>
        <v>D:\Systex\F25B\元大人壽\商品資料\第一批商品\商品資訊\CY\CYA費率表_含折扣費率.xlsx</v>
      </c>
      <c r="L18" s="49"/>
      <c r="M18" s="10" t="s">
        <v>4526</v>
      </c>
      <c r="N18" s="44" t="s">
        <v>523</v>
      </c>
      <c r="O18" s="10" t="s">
        <v>4526</v>
      </c>
      <c r="P18" s="44" t="s">
        <v>523</v>
      </c>
      <c r="R18" s="44" t="str">
        <f t="shared" si="1"/>
        <v>INSERT INTO dbo.SysDocumentFile (Guid,RuleSerNo,FileSerNo,BgnDate,EndDate,FileType,FileName,FileExtension,FileSize,FileBinaryData,FileHyperlink,CreateTime,Creator,ModifyTime,Modifier) VALUES ('00000000-0000-0000-0000-000000000017',1,1,'20200101','99991231',1,'CYA費率表_含折扣費率','xlsx',1,(SELECT * FROM OPENROWSET(BULK N'D:\Systex\F25B\元大人壽\商品資料\第一批商品\商品資訊\CY\CYA費率表_含折扣費率.xlsx', SINGLE_BLOB) AS binarydata),'',GETDATE(),'Alvin',GETDATE(),'Alvin')</v>
      </c>
    </row>
    <row r="19" spans="1:18">
      <c r="A19" s="44" t="s">
        <v>4529</v>
      </c>
      <c r="B19" s="60" t="s">
        <v>4138</v>
      </c>
      <c r="C19" s="39">
        <v>1</v>
      </c>
      <c r="D19" s="39">
        <v>1</v>
      </c>
      <c r="E19" s="39">
        <v>20200101</v>
      </c>
      <c r="F19" s="60">
        <v>99991231</v>
      </c>
      <c r="G19" s="39">
        <v>1</v>
      </c>
      <c r="H19" s="10" t="s">
        <v>507</v>
      </c>
      <c r="I19" s="44" t="s">
        <v>4457</v>
      </c>
      <c r="J19" s="60">
        <v>1</v>
      </c>
      <c r="K19" s="49" t="str">
        <f t="shared" si="2"/>
        <v>D:\Systex\F25B\元大人壽\商品資料\第一批商品\商品資訊\CY\CY.pdf</v>
      </c>
      <c r="L19" s="49"/>
      <c r="M19" s="10" t="s">
        <v>4526</v>
      </c>
      <c r="N19" s="44" t="s">
        <v>523</v>
      </c>
      <c r="O19" s="10" t="s">
        <v>4526</v>
      </c>
      <c r="P19" s="44" t="s">
        <v>523</v>
      </c>
      <c r="R19" s="44" t="str">
        <f t="shared" si="1"/>
        <v>INSERT INTO dbo.SysDocumentFile (Guid,RuleSerNo,FileSerNo,BgnDate,EndDate,FileType,FileName,FileExtension,FileSize,FileBinaryData,FileHyperlink,CreateTime,Creator,ModifyTime,Modifier) VALUES ('00000000-0000-0000-0000-000000000018',1,1,'20200101','99991231',1,'CY','pdf',1,(SELECT * FROM OPENROWSET(BULK N'D:\Systex\F25B\元大人壽\商品資料\第一批商品\商品資訊\CY\CY.pdf', SINGLE_BLOB) AS binarydata),'',GETDATE(),'Alvin',GETDATE(),'Alvin')</v>
      </c>
    </row>
    <row r="20" spans="1:18">
      <c r="A20" s="44" t="s">
        <v>4529</v>
      </c>
      <c r="B20" s="60" t="s">
        <v>4181</v>
      </c>
      <c r="C20" s="39">
        <v>1</v>
      </c>
      <c r="D20" s="39">
        <v>1</v>
      </c>
      <c r="E20" s="39">
        <v>20200101</v>
      </c>
      <c r="F20" s="60">
        <v>99991231</v>
      </c>
      <c r="G20" s="39">
        <v>1</v>
      </c>
      <c r="H20" s="10" t="s">
        <v>4468</v>
      </c>
      <c r="I20" s="44" t="s">
        <v>4457</v>
      </c>
      <c r="J20" s="60">
        <v>1</v>
      </c>
      <c r="K20" s="49" t="str">
        <f t="shared" si="2"/>
        <v>D:\Systex\F25B\元大人壽\商品資料\第一批商品\商品資訊\CY\CY-s.pdf</v>
      </c>
      <c r="L20" s="49"/>
      <c r="M20" s="10" t="s">
        <v>4526</v>
      </c>
      <c r="N20" s="44" t="s">
        <v>523</v>
      </c>
      <c r="O20" s="10" t="s">
        <v>4526</v>
      </c>
      <c r="P20" s="44" t="s">
        <v>523</v>
      </c>
      <c r="R20" s="44" t="str">
        <f t="shared" si="1"/>
        <v>INSERT INTO dbo.SysDocumentFile (Guid,RuleSerNo,FileSerNo,BgnDate,EndDate,FileType,FileName,FileExtension,FileSize,FileBinaryData,FileHyperlink,CreateTime,Creator,ModifyTime,Modifier) VALUES ('00000000-0000-0000-0000-000000000019',1,1,'20200101','99991231',1,'CY-s','pdf',1,(SELECT * FROM OPENROWSET(BULK N'D:\Systex\F25B\元大人壽\商品資料\第一批商品\商品資訊\CY\CY-s.pdf', SINGLE_BLOB) AS binarydata),'',GETDATE(),'Alvin',GETDATE(),'Alvin')</v>
      </c>
    </row>
    <row r="21" spans="1:18">
      <c r="A21" s="44" t="s">
        <v>4530</v>
      </c>
      <c r="B21" s="60" t="s">
        <v>4182</v>
      </c>
      <c r="C21" s="39">
        <v>1</v>
      </c>
      <c r="D21" s="39">
        <v>1</v>
      </c>
      <c r="E21" s="39">
        <v>20200101</v>
      </c>
      <c r="F21" s="60">
        <v>99991231</v>
      </c>
      <c r="G21" s="39">
        <v>1</v>
      </c>
      <c r="H21" s="10" t="s">
        <v>4469</v>
      </c>
      <c r="I21" s="44" t="s">
        <v>4457</v>
      </c>
      <c r="J21" s="60">
        <v>1</v>
      </c>
      <c r="K21" s="49" t="str">
        <f t="shared" si="2"/>
        <v>D:\Systex\F25B\元大人壽\商品資料\第一批商品\商品資訊\DD\DD_文宣字第109027號.pdf</v>
      </c>
      <c r="L21" s="49"/>
      <c r="M21" s="10" t="s">
        <v>4526</v>
      </c>
      <c r="N21" s="44" t="s">
        <v>523</v>
      </c>
      <c r="O21" s="10" t="s">
        <v>4526</v>
      </c>
      <c r="P21" s="44" t="s">
        <v>523</v>
      </c>
      <c r="R21" s="44" t="str">
        <f t="shared" si="1"/>
        <v>INSERT INTO dbo.SysDocumentFile (Guid,RuleSerNo,FileSerNo,BgnDate,EndDate,FileType,FileName,FileExtension,FileSize,FileBinaryData,FileHyperlink,CreateTime,Creator,ModifyTime,Modifier) VALUES ('00000000-0000-0000-0000-000000000020',1,1,'20200101','99991231',1,'DD_文宣字第109027號','pdf',1,(SELECT * FROM OPENROWSET(BULK N'D:\Systex\F25B\元大人壽\商品資料\第一批商品\商品資訊\DD\DD_文宣字第109027號.pdf', SINGLE_BLOB) AS binarydata),'',GETDATE(),'Alvin',GETDATE(),'Alvin')</v>
      </c>
    </row>
    <row r="22" spans="1:18">
      <c r="A22" s="44" t="s">
        <v>4530</v>
      </c>
      <c r="B22" s="60" t="s">
        <v>4183</v>
      </c>
      <c r="C22" s="39">
        <v>1</v>
      </c>
      <c r="D22" s="39">
        <v>1</v>
      </c>
      <c r="E22" s="39">
        <v>20200101</v>
      </c>
      <c r="F22" s="60">
        <v>99991231</v>
      </c>
      <c r="G22" s="39">
        <v>1</v>
      </c>
      <c r="H22" s="10" t="s">
        <v>4470</v>
      </c>
      <c r="I22" s="44" t="s">
        <v>4459</v>
      </c>
      <c r="J22" s="60">
        <v>1</v>
      </c>
      <c r="K22" s="49" t="str">
        <f t="shared" si="2"/>
        <v>D:\Systex\F25B\元大人壽\商品資料\第一批商品\商品資訊\DD\DDF費率表.xlsx</v>
      </c>
      <c r="L22" s="49"/>
      <c r="M22" s="10" t="s">
        <v>4526</v>
      </c>
      <c r="N22" s="44" t="s">
        <v>523</v>
      </c>
      <c r="O22" s="10" t="s">
        <v>4526</v>
      </c>
      <c r="P22" s="44" t="s">
        <v>523</v>
      </c>
      <c r="R22" s="44" t="str">
        <f t="shared" si="1"/>
        <v>INSERT INTO dbo.SysDocumentFile (Guid,RuleSerNo,FileSerNo,BgnDate,EndDate,FileType,FileName,FileExtension,FileSize,FileBinaryData,FileHyperlink,CreateTime,Creator,ModifyTime,Modifier) VALUES ('00000000-0000-0000-0000-000000000021',1,1,'20200101','99991231',1,'DDF費率表','xlsx',1,(SELECT * FROM OPENROWSET(BULK N'D:\Systex\F25B\元大人壽\商品資料\第一批商品\商品資訊\DD\DDF費率表.xlsx', SINGLE_BLOB) AS binarydata),'',GETDATE(),'Alvin',GETDATE(),'Alvin')</v>
      </c>
    </row>
    <row r="23" spans="1:18">
      <c r="A23" s="44" t="s">
        <v>4530</v>
      </c>
      <c r="B23" s="60" t="s">
        <v>4209</v>
      </c>
      <c r="C23" s="39">
        <v>1</v>
      </c>
      <c r="D23" s="39">
        <v>1</v>
      </c>
      <c r="E23" s="39">
        <v>20200101</v>
      </c>
      <c r="F23" s="60">
        <v>99991231</v>
      </c>
      <c r="G23" s="39">
        <v>1</v>
      </c>
      <c r="H23" s="10" t="s">
        <v>508</v>
      </c>
      <c r="I23" s="44" t="s">
        <v>4457</v>
      </c>
      <c r="J23" s="60">
        <v>1</v>
      </c>
      <c r="K23" s="49" t="str">
        <f t="shared" si="2"/>
        <v>D:\Systex\F25B\元大人壽\商品資料\第一批商品\商品資訊\DD\DD.pdf</v>
      </c>
      <c r="L23" s="49"/>
      <c r="M23" s="10" t="s">
        <v>4526</v>
      </c>
      <c r="N23" s="44" t="s">
        <v>523</v>
      </c>
      <c r="O23" s="10" t="s">
        <v>4526</v>
      </c>
      <c r="P23" s="44" t="s">
        <v>523</v>
      </c>
      <c r="R23" s="44" t="str">
        <f t="shared" si="1"/>
        <v>INSERT INTO dbo.SysDocumentFile (Guid,RuleSerNo,FileSerNo,BgnDate,EndDate,FileType,FileName,FileExtension,FileSize,FileBinaryData,FileHyperlink,CreateTime,Creator,ModifyTime,Modifier) VALUES ('00000000-0000-0000-0000-000000000022',1,1,'20200101','99991231',1,'DD','pdf',1,(SELECT * FROM OPENROWSET(BULK N'D:\Systex\F25B\元大人壽\商品資料\第一批商品\商品資訊\DD\DD.pdf', SINGLE_BLOB) AS binarydata),'',GETDATE(),'Alvin',GETDATE(),'Alvin')</v>
      </c>
    </row>
    <row r="24" spans="1:18">
      <c r="A24" s="44" t="s">
        <v>4530</v>
      </c>
      <c r="B24" s="60" t="s">
        <v>4210</v>
      </c>
      <c r="C24" s="39">
        <v>1</v>
      </c>
      <c r="D24" s="39">
        <v>1</v>
      </c>
      <c r="E24" s="39">
        <v>20200101</v>
      </c>
      <c r="F24" s="60">
        <v>99991231</v>
      </c>
      <c r="G24" s="39">
        <v>1</v>
      </c>
      <c r="H24" s="10" t="s">
        <v>4471</v>
      </c>
      <c r="I24" s="44" t="s">
        <v>4457</v>
      </c>
      <c r="J24" s="60">
        <v>1</v>
      </c>
      <c r="K24" s="49" t="str">
        <f t="shared" si="2"/>
        <v>D:\Systex\F25B\元大人壽\商品資料\第一批商品\商品資訊\DD\DD-s.pdf</v>
      </c>
      <c r="L24" s="49"/>
      <c r="M24" s="10" t="s">
        <v>4526</v>
      </c>
      <c r="N24" s="44" t="s">
        <v>523</v>
      </c>
      <c r="O24" s="10" t="s">
        <v>4526</v>
      </c>
      <c r="P24" s="44" t="s">
        <v>523</v>
      </c>
      <c r="R24" s="44" t="str">
        <f t="shared" si="1"/>
        <v>INSERT INTO dbo.SysDocumentFile (Guid,RuleSerNo,FileSerNo,BgnDate,EndDate,FileType,FileName,FileExtension,FileSize,FileBinaryData,FileHyperlink,CreateTime,Creator,ModifyTime,Modifier) VALUES ('00000000-0000-0000-0000-000000000023',1,1,'20200101','99991231',1,'DD-s','pdf',1,(SELECT * FROM OPENROWSET(BULK N'D:\Systex\F25B\元大人壽\商品資料\第一批商品\商品資訊\DD\DD-s.pdf', SINGLE_BLOB) AS binarydata),'',GETDATE(),'Alvin',GETDATE(),'Alvin')</v>
      </c>
    </row>
    <row r="25" spans="1:18">
      <c r="A25" s="44" t="s">
        <v>4531</v>
      </c>
      <c r="B25" s="60" t="s">
        <v>4211</v>
      </c>
      <c r="C25" s="39">
        <v>1</v>
      </c>
      <c r="D25" s="39">
        <v>1</v>
      </c>
      <c r="E25" s="39">
        <v>20200101</v>
      </c>
      <c r="F25" s="60">
        <v>99991231</v>
      </c>
      <c r="G25" s="39">
        <v>1</v>
      </c>
      <c r="H25" s="10" t="s">
        <v>4472</v>
      </c>
      <c r="I25" s="44" t="s">
        <v>4457</v>
      </c>
      <c r="J25" s="60">
        <v>1</v>
      </c>
      <c r="K25" s="49" t="str">
        <f t="shared" si="2"/>
        <v>D:\Systex\F25B\元大人壽\商品資料\第一批商品\商品資訊\DJ\DJ_文宣字第109364號.pdf</v>
      </c>
      <c r="L25" s="49"/>
      <c r="M25" s="10" t="s">
        <v>4526</v>
      </c>
      <c r="N25" s="44" t="s">
        <v>523</v>
      </c>
      <c r="O25" s="10" t="s">
        <v>4526</v>
      </c>
      <c r="P25" s="44" t="s">
        <v>523</v>
      </c>
      <c r="R25" s="44" t="str">
        <f t="shared" si="1"/>
        <v>INSERT INTO dbo.SysDocumentFile (Guid,RuleSerNo,FileSerNo,BgnDate,EndDate,FileType,FileName,FileExtension,FileSize,FileBinaryData,FileHyperlink,CreateTime,Creator,ModifyTime,Modifier) VALUES ('00000000-0000-0000-0000-000000000024',1,1,'20200101','99991231',1,'DJ_文宣字第109364號','pdf',1,(SELECT * FROM OPENROWSET(BULK N'D:\Systex\F25B\元大人壽\商品資料\第一批商品\商品資訊\DJ\DJ_文宣字第109364號.pdf', SINGLE_BLOB) AS binarydata),'',GETDATE(),'Alvin',GETDATE(),'Alvin')</v>
      </c>
    </row>
    <row r="26" spans="1:18">
      <c r="A26" s="44" t="s">
        <v>4531</v>
      </c>
      <c r="B26" s="60" t="s">
        <v>4297</v>
      </c>
      <c r="C26" s="39">
        <v>1</v>
      </c>
      <c r="D26" s="39">
        <v>1</v>
      </c>
      <c r="E26" s="39">
        <v>20200101</v>
      </c>
      <c r="F26" s="60">
        <v>99991231</v>
      </c>
      <c r="G26" s="39">
        <v>1</v>
      </c>
      <c r="H26" s="10" t="s">
        <v>4473</v>
      </c>
      <c r="I26" s="44" t="s">
        <v>4459</v>
      </c>
      <c r="J26" s="60">
        <v>1</v>
      </c>
      <c r="K26" s="49" t="str">
        <f t="shared" si="2"/>
        <v>D:\Systex\F25B\元大人壽\商品資料\第一批商品\商品資訊\DJ\DJE費率表_含保費折扣.xlsx</v>
      </c>
      <c r="L26" s="49"/>
      <c r="M26" s="10" t="s">
        <v>4526</v>
      </c>
      <c r="N26" s="44" t="s">
        <v>523</v>
      </c>
      <c r="O26" s="10" t="s">
        <v>4526</v>
      </c>
      <c r="P26" s="44" t="s">
        <v>523</v>
      </c>
      <c r="R26" s="44" t="str">
        <f t="shared" si="1"/>
        <v>INSERT INTO dbo.SysDocumentFile (Guid,RuleSerNo,FileSerNo,BgnDate,EndDate,FileType,FileName,FileExtension,FileSize,FileBinaryData,FileHyperlink,CreateTime,Creator,ModifyTime,Modifier) VALUES ('00000000-0000-0000-0000-000000000025',1,1,'20200101','99991231',1,'DJE費率表_含保費折扣','xlsx',1,(SELECT * FROM OPENROWSET(BULK N'D:\Systex\F25B\元大人壽\商品資料\第一批商品\商品資訊\DJ\DJE費率表_含保費折扣.xlsx', SINGLE_BLOB) AS binarydata),'',GETDATE(),'Alvin',GETDATE(),'Alvin')</v>
      </c>
    </row>
    <row r="27" spans="1:18">
      <c r="A27" s="44" t="s">
        <v>4531</v>
      </c>
      <c r="B27" s="60" t="s">
        <v>4298</v>
      </c>
      <c r="C27" s="39">
        <v>1</v>
      </c>
      <c r="D27" s="39">
        <v>1</v>
      </c>
      <c r="E27" s="39">
        <v>20200101</v>
      </c>
      <c r="F27" s="60">
        <v>99991231</v>
      </c>
      <c r="G27" s="39">
        <v>1</v>
      </c>
      <c r="H27" s="10" t="s">
        <v>511</v>
      </c>
      <c r="I27" s="44" t="s">
        <v>4457</v>
      </c>
      <c r="J27" s="60">
        <v>1</v>
      </c>
      <c r="K27" s="49" t="str">
        <f t="shared" si="2"/>
        <v>D:\Systex\F25B\元大人壽\商品資料\第一批商品\商品資訊\DJ\DJ.pdf</v>
      </c>
      <c r="L27" s="49"/>
      <c r="M27" s="10" t="s">
        <v>4526</v>
      </c>
      <c r="N27" s="44" t="s">
        <v>523</v>
      </c>
      <c r="O27" s="10" t="s">
        <v>4526</v>
      </c>
      <c r="P27" s="44" t="s">
        <v>523</v>
      </c>
      <c r="R27" s="44" t="str">
        <f t="shared" si="1"/>
        <v>INSERT INTO dbo.SysDocumentFile (Guid,RuleSerNo,FileSerNo,BgnDate,EndDate,FileType,FileName,FileExtension,FileSize,FileBinaryData,FileHyperlink,CreateTime,Creator,ModifyTime,Modifier) VALUES ('00000000-0000-0000-0000-000000000026',1,1,'20200101','99991231',1,'DJ','pdf',1,(SELECT * FROM OPENROWSET(BULK N'D:\Systex\F25B\元大人壽\商品資料\第一批商品\商品資訊\DJ\DJ.pdf', SINGLE_BLOB) AS binarydata),'',GETDATE(),'Alvin',GETDATE(),'Alvin')</v>
      </c>
    </row>
    <row r="28" spans="1:18">
      <c r="A28" s="44" t="s">
        <v>4531</v>
      </c>
      <c r="B28" s="60" t="s">
        <v>4299</v>
      </c>
      <c r="C28" s="39">
        <v>1</v>
      </c>
      <c r="D28" s="39">
        <v>1</v>
      </c>
      <c r="E28" s="39">
        <v>20200101</v>
      </c>
      <c r="F28" s="60">
        <v>99991231</v>
      </c>
      <c r="G28" s="39">
        <v>1</v>
      </c>
      <c r="H28" s="10" t="s">
        <v>4474</v>
      </c>
      <c r="I28" s="44" t="s">
        <v>4457</v>
      </c>
      <c r="J28" s="60">
        <v>1</v>
      </c>
      <c r="K28" s="49" t="str">
        <f t="shared" si="2"/>
        <v>D:\Systex\F25B\元大人壽\商品資料\第一批商品\商品資訊\DJ\DJ-s.pdf</v>
      </c>
      <c r="L28" s="49"/>
      <c r="M28" s="10" t="s">
        <v>4526</v>
      </c>
      <c r="N28" s="44" t="s">
        <v>523</v>
      </c>
      <c r="O28" s="10" t="s">
        <v>4526</v>
      </c>
      <c r="P28" s="44" t="s">
        <v>523</v>
      </c>
      <c r="R28" s="44" t="str">
        <f t="shared" si="1"/>
        <v>INSERT INTO dbo.SysDocumentFile (Guid,RuleSerNo,FileSerNo,BgnDate,EndDate,FileType,FileName,FileExtension,FileSize,FileBinaryData,FileHyperlink,CreateTime,Creator,ModifyTime,Modifier) VALUES ('00000000-0000-0000-0000-000000000027',1,1,'20200101','99991231',1,'DJ-s','pdf',1,(SELECT * FROM OPENROWSET(BULK N'D:\Systex\F25B\元大人壽\商品資料\第一批商品\商品資訊\DJ\DJ-s.pdf', SINGLE_BLOB) AS binarydata),'',GETDATE(),'Alvin',GETDATE(),'Alvin')</v>
      </c>
    </row>
    <row r="29" spans="1:18">
      <c r="A29" s="44" t="s">
        <v>4532</v>
      </c>
      <c r="B29" s="60" t="s">
        <v>4300</v>
      </c>
      <c r="C29" s="39">
        <v>1</v>
      </c>
      <c r="D29" s="39">
        <v>1</v>
      </c>
      <c r="E29" s="39">
        <v>20200101</v>
      </c>
      <c r="F29" s="60">
        <v>99991231</v>
      </c>
      <c r="G29" s="39">
        <v>1</v>
      </c>
      <c r="H29" s="10" t="s">
        <v>4475</v>
      </c>
      <c r="I29" s="44" t="s">
        <v>4457</v>
      </c>
      <c r="J29" s="60">
        <v>1</v>
      </c>
      <c r="K29" s="49" t="str">
        <f t="shared" si="2"/>
        <v>D:\Systex\F25B\元大人壽\商品資料\第一批商品\商品資訊\DP\DP_文宣字第109027號.pdf</v>
      </c>
      <c r="M29" s="10" t="s">
        <v>4526</v>
      </c>
      <c r="N29" s="44" t="s">
        <v>523</v>
      </c>
      <c r="O29" s="10" t="s">
        <v>4526</v>
      </c>
      <c r="P29" s="44" t="s">
        <v>523</v>
      </c>
      <c r="R29" s="44" t="str">
        <f t="shared" si="1"/>
        <v>INSERT INTO dbo.SysDocumentFile (Guid,RuleSerNo,FileSerNo,BgnDate,EndDate,FileType,FileName,FileExtension,FileSize,FileBinaryData,FileHyperlink,CreateTime,Creator,ModifyTime,Modifier) VALUES ('00000000-0000-0000-0000-000000000028',1,1,'20200101','99991231',1,'DP_文宣字第109027號','pdf',1,(SELECT * FROM OPENROWSET(BULK N'D:\Systex\F25B\元大人壽\商品資料\第一批商品\商品資訊\DP\DP_文宣字第109027號.pdf', SINGLE_BLOB) AS binarydata),'',GETDATE(),'Alvin',GETDATE(),'Alvin')</v>
      </c>
    </row>
    <row r="30" spans="1:18">
      <c r="A30" s="44" t="s">
        <v>4532</v>
      </c>
      <c r="B30" s="60" t="s">
        <v>4301</v>
      </c>
      <c r="C30" s="39">
        <v>1</v>
      </c>
      <c r="D30" s="39">
        <v>1</v>
      </c>
      <c r="E30" s="39">
        <v>20200101</v>
      </c>
      <c r="F30" s="60">
        <v>99991231</v>
      </c>
      <c r="G30" s="39">
        <v>1</v>
      </c>
      <c r="H30" s="10" t="s">
        <v>4476</v>
      </c>
      <c r="I30" s="44" t="s">
        <v>4459</v>
      </c>
      <c r="J30" s="60">
        <v>1</v>
      </c>
      <c r="K30" s="49" t="str">
        <f t="shared" si="2"/>
        <v>D:\Systex\F25B\元大人壽\商品資料\第一批商品\商品資訊\DP\DPA費率表_含折扣費率.xlsx</v>
      </c>
      <c r="M30" s="10" t="s">
        <v>4526</v>
      </c>
      <c r="N30" s="44" t="s">
        <v>523</v>
      </c>
      <c r="O30" s="10" t="s">
        <v>4526</v>
      </c>
      <c r="P30" s="44" t="s">
        <v>523</v>
      </c>
      <c r="R30" s="44" t="str">
        <f t="shared" si="1"/>
        <v>INSERT INTO dbo.SysDocumentFile (Guid,RuleSerNo,FileSerNo,BgnDate,EndDate,FileType,FileName,FileExtension,FileSize,FileBinaryData,FileHyperlink,CreateTime,Creator,ModifyTime,Modifier) VALUES ('00000000-0000-0000-0000-000000000029',1,1,'20200101','99991231',1,'DPA費率表_含折扣費率','xlsx',1,(SELECT * FROM OPENROWSET(BULK N'D:\Systex\F25B\元大人壽\商品資料\第一批商品\商品資訊\DP\DPA費率表_含折扣費率.xlsx', SINGLE_BLOB) AS binarydata),'',GETDATE(),'Alvin',GETDATE(),'Alvin')</v>
      </c>
    </row>
    <row r="31" spans="1:18">
      <c r="A31" s="44" t="s">
        <v>4532</v>
      </c>
      <c r="B31" s="60" t="s">
        <v>4302</v>
      </c>
      <c r="C31" s="39">
        <v>1</v>
      </c>
      <c r="D31" s="39">
        <v>1</v>
      </c>
      <c r="E31" s="39">
        <v>20200101</v>
      </c>
      <c r="F31" s="60">
        <v>99991231</v>
      </c>
      <c r="G31" s="39">
        <v>1</v>
      </c>
      <c r="H31" s="10" t="s">
        <v>509</v>
      </c>
      <c r="I31" s="44" t="s">
        <v>4457</v>
      </c>
      <c r="J31" s="60">
        <v>1</v>
      </c>
      <c r="K31" s="49" t="str">
        <f t="shared" si="2"/>
        <v>D:\Systex\F25B\元大人壽\商品資料\第一批商品\商品資訊\DP\DP.pdf</v>
      </c>
      <c r="M31" s="10" t="s">
        <v>4526</v>
      </c>
      <c r="N31" s="44" t="s">
        <v>523</v>
      </c>
      <c r="O31" s="10" t="s">
        <v>4526</v>
      </c>
      <c r="P31" s="44" t="s">
        <v>523</v>
      </c>
      <c r="R31" s="44" t="str">
        <f t="shared" si="1"/>
        <v>INSERT INTO dbo.SysDocumentFile (Guid,RuleSerNo,FileSerNo,BgnDate,EndDate,FileType,FileName,FileExtension,FileSize,FileBinaryData,FileHyperlink,CreateTime,Creator,ModifyTime,Modifier) VALUES ('00000000-0000-0000-0000-000000000030',1,1,'20200101','99991231',1,'DP','pdf',1,(SELECT * FROM OPENROWSET(BULK N'D:\Systex\F25B\元大人壽\商品資料\第一批商品\商品資訊\DP\DP.pdf', SINGLE_BLOB) AS binarydata),'',GETDATE(),'Alvin',GETDATE(),'Alvin')</v>
      </c>
    </row>
    <row r="32" spans="1:18">
      <c r="A32" s="44" t="s">
        <v>4532</v>
      </c>
      <c r="B32" s="60" t="s">
        <v>4303</v>
      </c>
      <c r="C32" s="39">
        <v>1</v>
      </c>
      <c r="D32" s="39">
        <v>1</v>
      </c>
      <c r="E32" s="39">
        <v>20200101</v>
      </c>
      <c r="F32" s="60">
        <v>99991231</v>
      </c>
      <c r="G32" s="39">
        <v>1</v>
      </c>
      <c r="H32" s="10" t="s">
        <v>4477</v>
      </c>
      <c r="I32" s="44" t="s">
        <v>4457</v>
      </c>
      <c r="J32" s="60">
        <v>1</v>
      </c>
      <c r="K32" s="49" t="str">
        <f t="shared" si="2"/>
        <v>D:\Systex\F25B\元大人壽\商品資料\第一批商品\商品資訊\DP\DP-s.pdf</v>
      </c>
      <c r="M32" s="10" t="s">
        <v>4526</v>
      </c>
      <c r="N32" s="44" t="s">
        <v>523</v>
      </c>
      <c r="O32" s="10" t="s">
        <v>4526</v>
      </c>
      <c r="P32" s="44" t="s">
        <v>523</v>
      </c>
      <c r="R32" s="44" t="str">
        <f t="shared" si="1"/>
        <v>INSERT INTO dbo.SysDocumentFile (Guid,RuleSerNo,FileSerNo,BgnDate,EndDate,FileType,FileName,FileExtension,FileSize,FileBinaryData,FileHyperlink,CreateTime,Creator,ModifyTime,Modifier) VALUES ('00000000-0000-0000-0000-000000000031',1,1,'20200101','99991231',1,'DP-s','pdf',1,(SELECT * FROM OPENROWSET(BULK N'D:\Systex\F25B\元大人壽\商品資料\第一批商品\商品資訊\DP\DP-s.pdf', SINGLE_BLOB) AS binarydata),'',GETDATE(),'Alvin',GETDATE(),'Alvin')</v>
      </c>
    </row>
    <row r="33" spans="1:18">
      <c r="A33" s="44" t="s">
        <v>4533</v>
      </c>
      <c r="B33" s="60" t="s">
        <v>4304</v>
      </c>
      <c r="C33" s="39">
        <v>1</v>
      </c>
      <c r="D33" s="39">
        <v>1</v>
      </c>
      <c r="E33" s="39">
        <v>20200101</v>
      </c>
      <c r="F33" s="60">
        <v>99991231</v>
      </c>
      <c r="G33" s="39">
        <v>1</v>
      </c>
      <c r="H33" s="10" t="s">
        <v>4478</v>
      </c>
      <c r="I33" s="44" t="s">
        <v>4457</v>
      </c>
      <c r="J33" s="60">
        <v>1</v>
      </c>
      <c r="K33" s="49" t="str">
        <f t="shared" si="2"/>
        <v>D:\Systex\F25B\元大人壽\商品資料\第一批商品\商品資訊\EW\EW_文宣字第109079號.pdf</v>
      </c>
      <c r="M33" s="10" t="s">
        <v>4526</v>
      </c>
      <c r="N33" s="44" t="s">
        <v>523</v>
      </c>
      <c r="O33" s="10" t="s">
        <v>4526</v>
      </c>
      <c r="P33" s="44" t="s">
        <v>523</v>
      </c>
      <c r="R33" s="44" t="str">
        <f t="shared" si="1"/>
        <v>INSERT INTO dbo.SysDocumentFile (Guid,RuleSerNo,FileSerNo,BgnDate,EndDate,FileType,FileName,FileExtension,FileSize,FileBinaryData,FileHyperlink,CreateTime,Creator,ModifyTime,Modifier) VALUES ('00000000-0000-0000-0000-000000000032',1,1,'20200101','99991231',1,'EW_文宣字第109079號','pdf',1,(SELECT * FROM OPENROWSET(BULK N'D:\Systex\F25B\元大人壽\商品資料\第一批商品\商品資訊\EW\EW_文宣字第109079號.pdf', SINGLE_BLOB) AS binarydata),'',GETDATE(),'Alvin',GETDATE(),'Alvin')</v>
      </c>
    </row>
    <row r="34" spans="1:18">
      <c r="A34" s="44" t="s">
        <v>4533</v>
      </c>
      <c r="B34" s="60" t="s">
        <v>4305</v>
      </c>
      <c r="C34" s="39">
        <v>1</v>
      </c>
      <c r="D34" s="39">
        <v>1</v>
      </c>
      <c r="E34" s="39">
        <v>20200101</v>
      </c>
      <c r="F34" s="60">
        <v>99991231</v>
      </c>
      <c r="G34" s="39">
        <v>1</v>
      </c>
      <c r="H34" s="10" t="s">
        <v>4479</v>
      </c>
      <c r="I34" s="44" t="s">
        <v>4459</v>
      </c>
      <c r="J34" s="60">
        <v>1</v>
      </c>
      <c r="K34" s="49" t="str">
        <f t="shared" si="2"/>
        <v>D:\Systex\F25B\元大人壽\商品資料\第一批商品\商品資訊\EW\EWA費率表_含保費折扣.xlsx</v>
      </c>
      <c r="M34" s="10" t="s">
        <v>4526</v>
      </c>
      <c r="N34" s="44" t="s">
        <v>523</v>
      </c>
      <c r="O34" s="10" t="s">
        <v>4526</v>
      </c>
      <c r="P34" s="44" t="s">
        <v>523</v>
      </c>
      <c r="R34" s="44" t="str">
        <f t="shared" si="1"/>
        <v>INSERT INTO dbo.SysDocumentFile (Guid,RuleSerNo,FileSerNo,BgnDate,EndDate,FileType,FileName,FileExtension,FileSize,FileBinaryData,FileHyperlink,CreateTime,Creator,ModifyTime,Modifier) VALUES ('00000000-0000-0000-0000-000000000033',1,1,'20200101','99991231',1,'EWA費率表_含保費折扣','xlsx',1,(SELECT * FROM OPENROWSET(BULK N'D:\Systex\F25B\元大人壽\商品資料\第一批商品\商品資訊\EW\EWA費率表_含保費折扣.xlsx', SINGLE_BLOB) AS binarydata),'',GETDATE(),'Alvin',GETDATE(),'Alvin')</v>
      </c>
    </row>
    <row r="35" spans="1:18">
      <c r="A35" s="44" t="s">
        <v>4533</v>
      </c>
      <c r="B35" s="60" t="s">
        <v>4306</v>
      </c>
      <c r="C35" s="39">
        <v>1</v>
      </c>
      <c r="D35" s="39">
        <v>1</v>
      </c>
      <c r="E35" s="39">
        <v>20200101</v>
      </c>
      <c r="F35" s="60">
        <v>99991231</v>
      </c>
      <c r="G35" s="39">
        <v>1</v>
      </c>
      <c r="H35" s="10" t="s">
        <v>518</v>
      </c>
      <c r="I35" s="44" t="s">
        <v>4457</v>
      </c>
      <c r="J35" s="60">
        <v>1</v>
      </c>
      <c r="K35" s="49" t="str">
        <f t="shared" si="2"/>
        <v>D:\Systex\F25B\元大人壽\商品資料\第一批商品\商品資訊\EW\EW.pdf</v>
      </c>
      <c r="M35" s="10" t="s">
        <v>4526</v>
      </c>
      <c r="N35" s="44" t="s">
        <v>523</v>
      </c>
      <c r="O35" s="10" t="s">
        <v>4526</v>
      </c>
      <c r="P35" s="44" t="s">
        <v>523</v>
      </c>
      <c r="R35" s="44" t="str">
        <f t="shared" si="1"/>
        <v>INSERT INTO dbo.SysDocumentFile (Guid,RuleSerNo,FileSerNo,BgnDate,EndDate,FileType,FileName,FileExtension,FileSize,FileBinaryData,FileHyperlink,CreateTime,Creator,ModifyTime,Modifier) VALUES ('00000000-0000-0000-0000-000000000034',1,1,'20200101','99991231',1,'EW','pdf',1,(SELECT * FROM OPENROWSET(BULK N'D:\Systex\F25B\元大人壽\商品資料\第一批商品\商品資訊\EW\EW.pdf', SINGLE_BLOB) AS binarydata),'',GETDATE(),'Alvin',GETDATE(),'Alvin')</v>
      </c>
    </row>
    <row r="36" spans="1:18">
      <c r="A36" s="44" t="s">
        <v>4533</v>
      </c>
      <c r="B36" s="60" t="s">
        <v>4307</v>
      </c>
      <c r="C36" s="39">
        <v>1</v>
      </c>
      <c r="D36" s="39">
        <v>1</v>
      </c>
      <c r="E36" s="39">
        <v>20200101</v>
      </c>
      <c r="F36" s="60">
        <v>99991231</v>
      </c>
      <c r="G36" s="39">
        <v>1</v>
      </c>
      <c r="H36" s="10" t="s">
        <v>4480</v>
      </c>
      <c r="I36" s="44" t="s">
        <v>4457</v>
      </c>
      <c r="J36" s="60">
        <v>1</v>
      </c>
      <c r="K36" s="49" t="str">
        <f t="shared" si="2"/>
        <v>D:\Systex\F25B\元大人壽\商品資料\第一批商品\商品資訊\EW\EW-s.pdf</v>
      </c>
      <c r="M36" s="10" t="s">
        <v>4526</v>
      </c>
      <c r="N36" s="44" t="s">
        <v>523</v>
      </c>
      <c r="O36" s="10" t="s">
        <v>4526</v>
      </c>
      <c r="P36" s="44" t="s">
        <v>523</v>
      </c>
      <c r="R36" s="44" t="str">
        <f t="shared" si="1"/>
        <v>INSERT INTO dbo.SysDocumentFile (Guid,RuleSerNo,FileSerNo,BgnDate,EndDate,FileType,FileName,FileExtension,FileSize,FileBinaryData,FileHyperlink,CreateTime,Creator,ModifyTime,Modifier) VALUES ('00000000-0000-0000-0000-000000000035',1,1,'20200101','99991231',1,'EW-s','pdf',1,(SELECT * FROM OPENROWSET(BULK N'D:\Systex\F25B\元大人壽\商品資料\第一批商品\商品資訊\EW\EW-s.pdf', SINGLE_BLOB) AS binarydata),'',GETDATE(),'Alvin',GETDATE(),'Alvin')</v>
      </c>
    </row>
    <row r="37" spans="1:18">
      <c r="A37" s="44" t="s">
        <v>4534</v>
      </c>
      <c r="B37" s="60" t="s">
        <v>4308</v>
      </c>
      <c r="C37" s="39">
        <v>1</v>
      </c>
      <c r="D37" s="39">
        <v>1</v>
      </c>
      <c r="E37" s="39">
        <v>20200101</v>
      </c>
      <c r="F37" s="60">
        <v>99991231</v>
      </c>
      <c r="G37" s="39">
        <v>1</v>
      </c>
      <c r="H37" s="10" t="s">
        <v>4481</v>
      </c>
      <c r="I37" s="44" t="s">
        <v>4457</v>
      </c>
      <c r="J37" s="60">
        <v>1</v>
      </c>
      <c r="K37" s="49" t="str">
        <f t="shared" si="2"/>
        <v>D:\Systex\F25B\元大人壽\商品資料\第一批商品\商品資訊\FM\FM_文宣字第109079號.pdf</v>
      </c>
      <c r="M37" s="10" t="s">
        <v>4526</v>
      </c>
      <c r="N37" s="44" t="s">
        <v>523</v>
      </c>
      <c r="O37" s="10" t="s">
        <v>4526</v>
      </c>
      <c r="P37" s="44" t="s">
        <v>523</v>
      </c>
      <c r="R37" s="44" t="str">
        <f t="shared" si="1"/>
        <v>INSERT INTO dbo.SysDocumentFile (Guid,RuleSerNo,FileSerNo,BgnDate,EndDate,FileType,FileName,FileExtension,FileSize,FileBinaryData,FileHyperlink,CreateTime,Creator,ModifyTime,Modifier) VALUES ('00000000-0000-0000-0000-000000000036',1,1,'20200101','99991231',1,'FM_文宣字第109079號','pdf',1,(SELECT * FROM OPENROWSET(BULK N'D:\Systex\F25B\元大人壽\商品資料\第一批商品\商品資訊\FM\FM_文宣字第109079號.pdf', SINGLE_BLOB) AS binarydata),'',GETDATE(),'Alvin',GETDATE(),'Alvin')</v>
      </c>
    </row>
    <row r="38" spans="1:18">
      <c r="A38" s="44" t="s">
        <v>4534</v>
      </c>
      <c r="B38" s="60" t="s">
        <v>4309</v>
      </c>
      <c r="C38" s="39">
        <v>1</v>
      </c>
      <c r="D38" s="39">
        <v>1</v>
      </c>
      <c r="E38" s="39">
        <v>20200101</v>
      </c>
      <c r="F38" s="60">
        <v>99991231</v>
      </c>
      <c r="G38" s="39">
        <v>1</v>
      </c>
      <c r="H38" s="10" t="s">
        <v>4482</v>
      </c>
      <c r="I38" s="44" t="s">
        <v>4459</v>
      </c>
      <c r="J38" s="60">
        <v>1</v>
      </c>
      <c r="K38" s="49" t="str">
        <f t="shared" si="2"/>
        <v>D:\Systex\F25B\元大人壽\商品資料\第一批商品\商品資訊\FM\FMA費率表_含保費折扣.xlsx</v>
      </c>
      <c r="M38" s="10" t="s">
        <v>4526</v>
      </c>
      <c r="N38" s="44" t="s">
        <v>523</v>
      </c>
      <c r="O38" s="10" t="s">
        <v>4526</v>
      </c>
      <c r="P38" s="44" t="s">
        <v>523</v>
      </c>
      <c r="R38" s="44" t="str">
        <f t="shared" si="1"/>
        <v>INSERT INTO dbo.SysDocumentFile (Guid,RuleSerNo,FileSerNo,BgnDate,EndDate,FileType,FileName,FileExtension,FileSize,FileBinaryData,FileHyperlink,CreateTime,Creator,ModifyTime,Modifier) VALUES ('00000000-0000-0000-0000-000000000037',1,1,'20200101','99991231',1,'FMA費率表_含保費折扣','xlsx',1,(SELECT * FROM OPENROWSET(BULK N'D:\Systex\F25B\元大人壽\商品資料\第一批商品\商品資訊\FM\FMA費率表_含保費折扣.xlsx', SINGLE_BLOB) AS binarydata),'',GETDATE(),'Alvin',GETDATE(),'Alvin')</v>
      </c>
    </row>
    <row r="39" spans="1:18">
      <c r="A39" s="44" t="s">
        <v>4534</v>
      </c>
      <c r="B39" s="60" t="s">
        <v>4310</v>
      </c>
      <c r="C39" s="39">
        <v>1</v>
      </c>
      <c r="D39" s="39">
        <v>1</v>
      </c>
      <c r="E39" s="39">
        <v>20200101</v>
      </c>
      <c r="F39" s="60">
        <v>99991231</v>
      </c>
      <c r="G39" s="39">
        <v>1</v>
      </c>
      <c r="H39" s="10" t="s">
        <v>519</v>
      </c>
      <c r="I39" s="44" t="s">
        <v>4457</v>
      </c>
      <c r="J39" s="60">
        <v>1</v>
      </c>
      <c r="K39" s="49" t="str">
        <f t="shared" si="2"/>
        <v>D:\Systex\F25B\元大人壽\商品資料\第一批商品\商品資訊\FM\FM.pdf</v>
      </c>
      <c r="M39" s="10" t="s">
        <v>4526</v>
      </c>
      <c r="N39" s="44" t="s">
        <v>523</v>
      </c>
      <c r="O39" s="10" t="s">
        <v>4526</v>
      </c>
      <c r="P39" s="44" t="s">
        <v>523</v>
      </c>
      <c r="R39" s="44" t="str">
        <f t="shared" si="1"/>
        <v>INSERT INTO dbo.SysDocumentFile (Guid,RuleSerNo,FileSerNo,BgnDate,EndDate,FileType,FileName,FileExtension,FileSize,FileBinaryData,FileHyperlink,CreateTime,Creator,ModifyTime,Modifier) VALUES ('00000000-0000-0000-0000-000000000038',1,1,'20200101','99991231',1,'FM','pdf',1,(SELECT * FROM OPENROWSET(BULK N'D:\Systex\F25B\元大人壽\商品資料\第一批商品\商品資訊\FM\FM.pdf', SINGLE_BLOB) AS binarydata),'',GETDATE(),'Alvin',GETDATE(),'Alvin')</v>
      </c>
    </row>
    <row r="40" spans="1:18">
      <c r="A40" s="44" t="s">
        <v>4534</v>
      </c>
      <c r="B40" s="60" t="s">
        <v>4311</v>
      </c>
      <c r="C40" s="39">
        <v>1</v>
      </c>
      <c r="D40" s="39">
        <v>1</v>
      </c>
      <c r="E40" s="39">
        <v>20200101</v>
      </c>
      <c r="F40" s="60">
        <v>99991231</v>
      </c>
      <c r="G40" s="39">
        <v>1</v>
      </c>
      <c r="H40" s="10" t="s">
        <v>4483</v>
      </c>
      <c r="I40" s="44" t="s">
        <v>4457</v>
      </c>
      <c r="J40" s="60">
        <v>1</v>
      </c>
      <c r="K40" s="49" t="str">
        <f t="shared" si="2"/>
        <v>D:\Systex\F25B\元大人壽\商品資料\第一批商品\商品資訊\FM\FM-s.pdf</v>
      </c>
      <c r="M40" s="10" t="s">
        <v>4526</v>
      </c>
      <c r="N40" s="44" t="s">
        <v>523</v>
      </c>
      <c r="O40" s="10" t="s">
        <v>4526</v>
      </c>
      <c r="P40" s="44" t="s">
        <v>523</v>
      </c>
      <c r="R40" s="44" t="str">
        <f t="shared" si="1"/>
        <v>INSERT INTO dbo.SysDocumentFile (Guid,RuleSerNo,FileSerNo,BgnDate,EndDate,FileType,FileName,FileExtension,FileSize,FileBinaryData,FileHyperlink,CreateTime,Creator,ModifyTime,Modifier) VALUES ('00000000-0000-0000-0000-000000000039',1,1,'20200101','99991231',1,'FM-s','pdf',1,(SELECT * FROM OPENROWSET(BULK N'D:\Systex\F25B\元大人壽\商品資料\第一批商品\商品資訊\FM\FM-s.pdf', SINGLE_BLOB) AS binarydata),'',GETDATE(),'Alvin',GETDATE(),'Alvin')</v>
      </c>
    </row>
    <row r="41" spans="1:18">
      <c r="A41" s="44" t="s">
        <v>4535</v>
      </c>
      <c r="B41" s="60" t="s">
        <v>4312</v>
      </c>
      <c r="C41" s="39">
        <v>1</v>
      </c>
      <c r="D41" s="39">
        <v>1</v>
      </c>
      <c r="E41" s="39">
        <v>20200101</v>
      </c>
      <c r="F41" s="60">
        <v>99991231</v>
      </c>
      <c r="G41" s="39">
        <v>1</v>
      </c>
      <c r="H41" s="10" t="s">
        <v>4485</v>
      </c>
      <c r="I41" s="44" t="s">
        <v>4457</v>
      </c>
      <c r="J41" s="60">
        <v>1</v>
      </c>
      <c r="K41" s="49" t="str">
        <f t="shared" si="2"/>
        <v>D:\Systex\F25B\元大人壽\商品資料\第一批商品\商品資訊\HI\HI_文宣字第109027號.pdf</v>
      </c>
      <c r="M41" s="10" t="s">
        <v>4526</v>
      </c>
      <c r="N41" s="44" t="s">
        <v>523</v>
      </c>
      <c r="O41" s="10" t="s">
        <v>4526</v>
      </c>
      <c r="P41" s="44" t="s">
        <v>523</v>
      </c>
      <c r="R41" s="44" t="str">
        <f t="shared" si="1"/>
        <v>INSERT INTO dbo.SysDocumentFile (Guid,RuleSerNo,FileSerNo,BgnDate,EndDate,FileType,FileName,FileExtension,FileSize,FileBinaryData,FileHyperlink,CreateTime,Creator,ModifyTime,Modifier) VALUES ('00000000-0000-0000-0000-000000000040',1,1,'20200101','99991231',1,'HI_文宣字第109027號','pdf',1,(SELECT * FROM OPENROWSET(BULK N'D:\Systex\F25B\元大人壽\商品資料\第一批商品\商品資訊\HI\HI_文宣字第109027號.pdf', SINGLE_BLOB) AS binarydata),'',GETDATE(),'Alvin',GETDATE(),'Alvin')</v>
      </c>
    </row>
    <row r="42" spans="1:18">
      <c r="A42" s="44" t="s">
        <v>4535</v>
      </c>
      <c r="B42" s="60" t="s">
        <v>4313</v>
      </c>
      <c r="C42" s="39">
        <v>1</v>
      </c>
      <c r="D42" s="39">
        <v>1</v>
      </c>
      <c r="E42" s="39">
        <v>20200101</v>
      </c>
      <c r="F42" s="60">
        <v>99991231</v>
      </c>
      <c r="G42" s="39">
        <v>1</v>
      </c>
      <c r="H42" s="10" t="s">
        <v>4486</v>
      </c>
      <c r="I42" s="44" t="s">
        <v>4484</v>
      </c>
      <c r="J42" s="60">
        <v>1</v>
      </c>
      <c r="K42" s="49" t="str">
        <f t="shared" si="2"/>
        <v>D:\Systex\F25B\元大人壽\商品資料\第一批商品\商品資訊\HI\HI費率表_元大版.xls</v>
      </c>
      <c r="M42" s="10" t="s">
        <v>4526</v>
      </c>
      <c r="N42" s="44" t="s">
        <v>523</v>
      </c>
      <c r="O42" s="10" t="s">
        <v>4526</v>
      </c>
      <c r="P42" s="44" t="s">
        <v>523</v>
      </c>
      <c r="R42" s="44" t="str">
        <f t="shared" si="1"/>
        <v>INSERT INTO dbo.SysDocumentFile (Guid,RuleSerNo,FileSerNo,BgnDate,EndDate,FileType,FileName,FileExtension,FileSize,FileBinaryData,FileHyperlink,CreateTime,Creator,ModifyTime,Modifier) VALUES ('00000000-0000-0000-0000-000000000041',1,1,'20200101','99991231',1,'HI費率表_元大版','xls',1,(SELECT * FROM OPENROWSET(BULK N'D:\Systex\F25B\元大人壽\商品資料\第一批商品\商品資訊\HI\HI費率表_元大版.xls', SINGLE_BLOB) AS binarydata),'',GETDATE(),'Alvin',GETDATE(),'Alvin')</v>
      </c>
    </row>
    <row r="43" spans="1:18">
      <c r="A43" s="44" t="s">
        <v>4535</v>
      </c>
      <c r="B43" s="60" t="s">
        <v>4314</v>
      </c>
      <c r="C43" s="39">
        <v>1</v>
      </c>
      <c r="D43" s="39">
        <v>1</v>
      </c>
      <c r="E43" s="39">
        <v>20200101</v>
      </c>
      <c r="F43" s="60">
        <v>99991231</v>
      </c>
      <c r="G43" s="39">
        <v>1</v>
      </c>
      <c r="H43" s="10" t="s">
        <v>172</v>
      </c>
      <c r="I43" s="44" t="s">
        <v>4457</v>
      </c>
      <c r="J43" s="60">
        <v>1</v>
      </c>
      <c r="K43" s="49" t="str">
        <f t="shared" si="2"/>
        <v>D:\Systex\F25B\元大人壽\商品資料\第一批商品\商品資訊\HI\HI.pdf</v>
      </c>
      <c r="M43" s="10" t="s">
        <v>4526</v>
      </c>
      <c r="N43" s="44" t="s">
        <v>523</v>
      </c>
      <c r="O43" s="10" t="s">
        <v>4526</v>
      </c>
      <c r="P43" s="44" t="s">
        <v>523</v>
      </c>
      <c r="R43" s="44" t="str">
        <f t="shared" si="1"/>
        <v>INSERT INTO dbo.SysDocumentFile (Guid,RuleSerNo,FileSerNo,BgnDate,EndDate,FileType,FileName,FileExtension,FileSize,FileBinaryData,FileHyperlink,CreateTime,Creator,ModifyTime,Modifier) VALUES ('00000000-0000-0000-0000-000000000042',1,1,'20200101','99991231',1,'HI','pdf',1,(SELECT * FROM OPENROWSET(BULK N'D:\Systex\F25B\元大人壽\商品資料\第一批商品\商品資訊\HI\HI.pdf', SINGLE_BLOB) AS binarydata),'',GETDATE(),'Alvin',GETDATE(),'Alvin')</v>
      </c>
    </row>
    <row r="44" spans="1:18">
      <c r="A44" s="44" t="s">
        <v>4535</v>
      </c>
      <c r="B44" s="60" t="s">
        <v>4315</v>
      </c>
      <c r="C44" s="39">
        <v>1</v>
      </c>
      <c r="D44" s="39">
        <v>1</v>
      </c>
      <c r="E44" s="39">
        <v>20200101</v>
      </c>
      <c r="F44" s="60">
        <v>99991231</v>
      </c>
      <c r="G44" s="39">
        <v>1</v>
      </c>
      <c r="H44" s="10" t="s">
        <v>4487</v>
      </c>
      <c r="I44" s="44" t="s">
        <v>4457</v>
      </c>
      <c r="J44" s="60">
        <v>1</v>
      </c>
      <c r="K44" s="49" t="str">
        <f t="shared" si="2"/>
        <v>D:\Systex\F25B\元大人壽\商品資料\第一批商品\商品資訊\HI\HI-s.pdf</v>
      </c>
      <c r="M44" s="10" t="s">
        <v>4526</v>
      </c>
      <c r="N44" s="44" t="s">
        <v>523</v>
      </c>
      <c r="O44" s="10" t="s">
        <v>4526</v>
      </c>
      <c r="P44" s="44" t="s">
        <v>523</v>
      </c>
      <c r="R44" s="44" t="str">
        <f t="shared" si="1"/>
        <v>INSERT INTO dbo.SysDocumentFile (Guid,RuleSerNo,FileSerNo,BgnDate,EndDate,FileType,FileName,FileExtension,FileSize,FileBinaryData,FileHyperlink,CreateTime,Creator,ModifyTime,Modifier) VALUES ('00000000-0000-0000-0000-000000000043',1,1,'20200101','99991231',1,'HI-s','pdf',1,(SELECT * FROM OPENROWSET(BULK N'D:\Systex\F25B\元大人壽\商品資料\第一批商品\商品資訊\HI\HI-s.pdf', SINGLE_BLOB) AS binarydata),'',GETDATE(),'Alvin',GETDATE(),'Alvin')</v>
      </c>
    </row>
    <row r="45" spans="1:18">
      <c r="A45" s="44" t="s">
        <v>4536</v>
      </c>
      <c r="B45" s="60" t="s">
        <v>4316</v>
      </c>
      <c r="C45" s="39">
        <v>1</v>
      </c>
      <c r="D45" s="39">
        <v>1</v>
      </c>
      <c r="E45" s="39">
        <v>20200101</v>
      </c>
      <c r="F45" s="60">
        <v>99991231</v>
      </c>
      <c r="G45" s="39">
        <v>1</v>
      </c>
      <c r="H45" s="10" t="s">
        <v>4488</v>
      </c>
      <c r="I45" s="44" t="s">
        <v>4457</v>
      </c>
      <c r="J45" s="60">
        <v>1</v>
      </c>
      <c r="K45" s="49" t="str">
        <f t="shared" si="2"/>
        <v>D:\Systex\F25B\元大人壽\商品資料\第一批商品\商品資訊\HS\HS_文宣字第109027號.pdf</v>
      </c>
      <c r="M45" s="10" t="s">
        <v>4526</v>
      </c>
      <c r="N45" s="44" t="s">
        <v>523</v>
      </c>
      <c r="O45" s="10" t="s">
        <v>4526</v>
      </c>
      <c r="P45" s="44" t="s">
        <v>523</v>
      </c>
      <c r="R45" s="44" t="str">
        <f t="shared" si="1"/>
        <v>INSERT INTO dbo.SysDocumentFile (Guid,RuleSerNo,FileSerNo,BgnDate,EndDate,FileType,FileName,FileExtension,FileSize,FileBinaryData,FileHyperlink,CreateTime,Creator,ModifyTime,Modifier) VALUES ('00000000-0000-0000-0000-000000000044',1,1,'20200101','99991231',1,'HS_文宣字第109027號','pdf',1,(SELECT * FROM OPENROWSET(BULK N'D:\Systex\F25B\元大人壽\商品資料\第一批商品\商品資訊\HS\HS_文宣字第109027號.pdf', SINGLE_BLOB) AS binarydata),'',GETDATE(),'Alvin',GETDATE(),'Alvin')</v>
      </c>
    </row>
    <row r="46" spans="1:18">
      <c r="A46" s="44" t="s">
        <v>4536</v>
      </c>
      <c r="B46" s="60" t="s">
        <v>4317</v>
      </c>
      <c r="C46" s="39">
        <v>1</v>
      </c>
      <c r="D46" s="39">
        <v>1</v>
      </c>
      <c r="E46" s="39">
        <v>20200101</v>
      </c>
      <c r="F46" s="60">
        <v>99991231</v>
      </c>
      <c r="G46" s="39">
        <v>1</v>
      </c>
      <c r="H46" s="10" t="s">
        <v>4489</v>
      </c>
      <c r="I46" s="44" t="s">
        <v>4484</v>
      </c>
      <c r="J46" s="60">
        <v>1</v>
      </c>
      <c r="K46" s="49" t="str">
        <f t="shared" si="2"/>
        <v>D:\Systex\F25B\元大人壽\商品資料\第一批商品\商品資訊\HS\HS_2006GP_元大版.xls</v>
      </c>
      <c r="M46" s="10" t="s">
        <v>4526</v>
      </c>
      <c r="N46" s="44" t="s">
        <v>523</v>
      </c>
      <c r="O46" s="10" t="s">
        <v>4526</v>
      </c>
      <c r="P46" s="44" t="s">
        <v>523</v>
      </c>
      <c r="R46" s="44" t="str">
        <f t="shared" si="1"/>
        <v>INSERT INTO dbo.SysDocumentFile (Guid,RuleSerNo,FileSerNo,BgnDate,EndDate,FileType,FileName,FileExtension,FileSize,FileBinaryData,FileHyperlink,CreateTime,Creator,ModifyTime,Modifier) VALUES ('00000000-0000-0000-0000-000000000045',1,1,'20200101','99991231',1,'HS_2006GP_元大版','xls',1,(SELECT * FROM OPENROWSET(BULK N'D:\Systex\F25B\元大人壽\商品資料\第一批商品\商品資訊\HS\HS_2006GP_元大版.xls', SINGLE_BLOB) AS binarydata),'',GETDATE(),'Alvin',GETDATE(),'Alvin')</v>
      </c>
    </row>
    <row r="47" spans="1:18">
      <c r="A47" s="44" t="s">
        <v>4536</v>
      </c>
      <c r="B47" s="60" t="s">
        <v>4318</v>
      </c>
      <c r="C47" s="39">
        <v>1</v>
      </c>
      <c r="D47" s="39">
        <v>1</v>
      </c>
      <c r="E47" s="39">
        <v>20200101</v>
      </c>
      <c r="F47" s="60">
        <v>99991231</v>
      </c>
      <c r="G47" s="39">
        <v>1</v>
      </c>
      <c r="H47" s="10" t="s">
        <v>173</v>
      </c>
      <c r="I47" s="44" t="s">
        <v>4457</v>
      </c>
      <c r="J47" s="60">
        <v>1</v>
      </c>
      <c r="K47" s="49" t="str">
        <f t="shared" si="2"/>
        <v>D:\Systex\F25B\元大人壽\商品資料\第一批商品\商品資訊\HS\HS.pdf</v>
      </c>
      <c r="M47" s="10" t="s">
        <v>4526</v>
      </c>
      <c r="N47" s="44" t="s">
        <v>523</v>
      </c>
      <c r="O47" s="10" t="s">
        <v>4526</v>
      </c>
      <c r="P47" s="44" t="s">
        <v>523</v>
      </c>
      <c r="R47" s="44" t="str">
        <f t="shared" si="1"/>
        <v>INSERT INTO dbo.SysDocumentFile (Guid,RuleSerNo,FileSerNo,BgnDate,EndDate,FileType,FileName,FileExtension,FileSize,FileBinaryData,FileHyperlink,CreateTime,Creator,ModifyTime,Modifier) VALUES ('00000000-0000-0000-0000-000000000046',1,1,'20200101','99991231',1,'HS','pdf',1,(SELECT * FROM OPENROWSET(BULK N'D:\Systex\F25B\元大人壽\商品資料\第一批商品\商品資訊\HS\HS.pdf', SINGLE_BLOB) AS binarydata),'',GETDATE(),'Alvin',GETDATE(),'Alvin')</v>
      </c>
    </row>
    <row r="48" spans="1:18">
      <c r="A48" s="44" t="s">
        <v>4536</v>
      </c>
      <c r="B48" s="60" t="s">
        <v>4319</v>
      </c>
      <c r="C48" s="39">
        <v>1</v>
      </c>
      <c r="D48" s="39">
        <v>1</v>
      </c>
      <c r="E48" s="39">
        <v>20200101</v>
      </c>
      <c r="F48" s="60">
        <v>99991231</v>
      </c>
      <c r="G48" s="39">
        <v>1</v>
      </c>
      <c r="H48" s="10" t="s">
        <v>4490</v>
      </c>
      <c r="I48" s="44" t="s">
        <v>4457</v>
      </c>
      <c r="J48" s="60">
        <v>1</v>
      </c>
      <c r="K48" s="49" t="str">
        <f t="shared" si="2"/>
        <v>D:\Systex\F25B\元大人壽\商品資料\第一批商品\商品資訊\HS\HS-s.pdf</v>
      </c>
      <c r="M48" s="10" t="s">
        <v>4526</v>
      </c>
      <c r="N48" s="44" t="s">
        <v>523</v>
      </c>
      <c r="O48" s="10" t="s">
        <v>4526</v>
      </c>
      <c r="P48" s="44" t="s">
        <v>523</v>
      </c>
      <c r="R48" s="44" t="str">
        <f t="shared" si="1"/>
        <v>INSERT INTO dbo.SysDocumentFile (Guid,RuleSerNo,FileSerNo,BgnDate,EndDate,FileType,FileName,FileExtension,FileSize,FileBinaryData,FileHyperlink,CreateTime,Creator,ModifyTime,Modifier) VALUES ('00000000-0000-0000-0000-000000000047',1,1,'20200101','99991231',1,'HS-s','pdf',1,(SELECT * FROM OPENROWSET(BULK N'D:\Systex\F25B\元大人壽\商品資料\第一批商品\商品資訊\HS\HS-s.pdf', SINGLE_BLOB) AS binarydata),'',GETDATE(),'Alvin',GETDATE(),'Alvin')</v>
      </c>
    </row>
    <row r="49" spans="1:18">
      <c r="A49" s="44" t="s">
        <v>4537</v>
      </c>
      <c r="B49" s="60" t="s">
        <v>4320</v>
      </c>
      <c r="C49" s="39">
        <v>1</v>
      </c>
      <c r="D49" s="39">
        <v>1</v>
      </c>
      <c r="E49" s="39">
        <v>20200101</v>
      </c>
      <c r="F49" s="60">
        <v>99991231</v>
      </c>
      <c r="G49" s="39">
        <v>1</v>
      </c>
      <c r="H49" s="10" t="s">
        <v>4491</v>
      </c>
      <c r="I49" s="44" t="s">
        <v>4457</v>
      </c>
      <c r="J49" s="60">
        <v>1</v>
      </c>
      <c r="K49" s="49" t="str">
        <f t="shared" si="2"/>
        <v>D:\Systex\F25B\元大人壽\商品資料\第一批商品\商品資訊\JR\JR_文宣字第109027號.pdf</v>
      </c>
      <c r="M49" s="10" t="s">
        <v>4526</v>
      </c>
      <c r="N49" s="44" t="s">
        <v>523</v>
      </c>
      <c r="O49" s="10" t="s">
        <v>4526</v>
      </c>
      <c r="P49" s="44" t="s">
        <v>523</v>
      </c>
      <c r="R49" s="44" t="str">
        <f t="shared" si="1"/>
        <v>INSERT INTO dbo.SysDocumentFile (Guid,RuleSerNo,FileSerNo,BgnDate,EndDate,FileType,FileName,FileExtension,FileSize,FileBinaryData,FileHyperlink,CreateTime,Creator,ModifyTime,Modifier) VALUES ('00000000-0000-0000-0000-000000000048',1,1,'20200101','99991231',1,'JR_文宣字第109027號','pdf',1,(SELECT * FROM OPENROWSET(BULK N'D:\Systex\F25B\元大人壽\商品資料\第一批商品\商品資訊\JR\JR_文宣字第109027號.pdf', SINGLE_BLOB) AS binarydata),'',GETDATE(),'Alvin',GETDATE(),'Alvin')</v>
      </c>
    </row>
    <row r="50" spans="1:18">
      <c r="A50" s="44" t="s">
        <v>4537</v>
      </c>
      <c r="B50" s="60" t="s">
        <v>4321</v>
      </c>
      <c r="C50" s="39">
        <v>1</v>
      </c>
      <c r="D50" s="39">
        <v>1</v>
      </c>
      <c r="E50" s="39">
        <v>20200101</v>
      </c>
      <c r="F50" s="60">
        <v>99991231</v>
      </c>
      <c r="G50" s="39">
        <v>1</v>
      </c>
      <c r="H50" s="10" t="s">
        <v>4492</v>
      </c>
      <c r="I50" s="44" t="s">
        <v>4484</v>
      </c>
      <c r="J50" s="60">
        <v>1</v>
      </c>
      <c r="K50" s="49" t="str">
        <f t="shared" si="2"/>
        <v>D:\Systex\F25B\元大人壽\商品資料\第一批商品\商品資訊\JR\JRA費率表_含保費折扣.xls</v>
      </c>
      <c r="M50" s="10" t="s">
        <v>4526</v>
      </c>
      <c r="N50" s="44" t="s">
        <v>523</v>
      </c>
      <c r="O50" s="10" t="s">
        <v>4526</v>
      </c>
      <c r="P50" s="44" t="s">
        <v>523</v>
      </c>
      <c r="R50" s="44" t="str">
        <f t="shared" si="1"/>
        <v>INSERT INTO dbo.SysDocumentFile (Guid,RuleSerNo,FileSerNo,BgnDate,EndDate,FileType,FileName,FileExtension,FileSize,FileBinaryData,FileHyperlink,CreateTime,Creator,ModifyTime,Modifier) VALUES ('00000000-0000-0000-0000-000000000049',1,1,'20200101','99991231',1,'JRA費率表_含保費折扣','xls',1,(SELECT * FROM OPENROWSET(BULK N'D:\Systex\F25B\元大人壽\商品資料\第一批商品\商品資訊\JR\JRA費率表_含保費折扣.xls', SINGLE_BLOB) AS binarydata),'',GETDATE(),'Alvin',GETDATE(),'Alvin')</v>
      </c>
    </row>
    <row r="51" spans="1:18">
      <c r="A51" s="44" t="s">
        <v>4537</v>
      </c>
      <c r="B51" s="60" t="s">
        <v>4322</v>
      </c>
      <c r="C51" s="39">
        <v>1</v>
      </c>
      <c r="D51" s="39">
        <v>1</v>
      </c>
      <c r="E51" s="39">
        <v>20200101</v>
      </c>
      <c r="F51" s="60">
        <v>99991231</v>
      </c>
      <c r="G51" s="39">
        <v>1</v>
      </c>
      <c r="H51" s="10" t="s">
        <v>505</v>
      </c>
      <c r="I51" s="44" t="s">
        <v>4457</v>
      </c>
      <c r="J51" s="60">
        <v>1</v>
      </c>
      <c r="K51" s="49" t="str">
        <f t="shared" si="2"/>
        <v>D:\Systex\F25B\元大人壽\商品資料\第一批商品\商品資訊\JR\JR.pdf</v>
      </c>
      <c r="M51" s="10" t="s">
        <v>4526</v>
      </c>
      <c r="N51" s="44" t="s">
        <v>523</v>
      </c>
      <c r="O51" s="10" t="s">
        <v>4526</v>
      </c>
      <c r="P51" s="44" t="s">
        <v>523</v>
      </c>
      <c r="R51" s="44" t="str">
        <f t="shared" si="1"/>
        <v>INSERT INTO dbo.SysDocumentFile (Guid,RuleSerNo,FileSerNo,BgnDate,EndDate,FileType,FileName,FileExtension,FileSize,FileBinaryData,FileHyperlink,CreateTime,Creator,ModifyTime,Modifier) VALUES ('00000000-0000-0000-0000-000000000050',1,1,'20200101','99991231',1,'JR','pdf',1,(SELECT * FROM OPENROWSET(BULK N'D:\Systex\F25B\元大人壽\商品資料\第一批商品\商品資訊\JR\JR.pdf', SINGLE_BLOB) AS binarydata),'',GETDATE(),'Alvin',GETDATE(),'Alvin')</v>
      </c>
    </row>
    <row r="52" spans="1:18">
      <c r="A52" s="44" t="s">
        <v>4537</v>
      </c>
      <c r="B52" s="60" t="s">
        <v>4323</v>
      </c>
      <c r="C52" s="39">
        <v>1</v>
      </c>
      <c r="D52" s="39">
        <v>1</v>
      </c>
      <c r="E52" s="39">
        <v>20200101</v>
      </c>
      <c r="F52" s="60">
        <v>99991231</v>
      </c>
      <c r="G52" s="39">
        <v>1</v>
      </c>
      <c r="H52" s="10" t="s">
        <v>4493</v>
      </c>
      <c r="I52" s="44" t="s">
        <v>4457</v>
      </c>
      <c r="J52" s="60">
        <v>1</v>
      </c>
      <c r="K52" s="49" t="str">
        <f t="shared" si="2"/>
        <v>D:\Systex\F25B\元大人壽\商品資料\第一批商品\商品資訊\JR\JR-s.pdf</v>
      </c>
      <c r="M52" s="10" t="s">
        <v>4526</v>
      </c>
      <c r="N52" s="44" t="s">
        <v>523</v>
      </c>
      <c r="O52" s="10" t="s">
        <v>4526</v>
      </c>
      <c r="P52" s="44" t="s">
        <v>523</v>
      </c>
      <c r="R52" s="44" t="str">
        <f t="shared" si="1"/>
        <v>INSERT INTO dbo.SysDocumentFile (Guid,RuleSerNo,FileSerNo,BgnDate,EndDate,FileType,FileName,FileExtension,FileSize,FileBinaryData,FileHyperlink,CreateTime,Creator,ModifyTime,Modifier) VALUES ('00000000-0000-0000-0000-000000000051',1,1,'20200101','99991231',1,'JR-s','pdf',1,(SELECT * FROM OPENROWSET(BULK N'D:\Systex\F25B\元大人壽\商品資料\第一批商品\商品資訊\JR\JR-s.pdf', SINGLE_BLOB) AS binarydata),'',GETDATE(),'Alvin',GETDATE(),'Alvin')</v>
      </c>
    </row>
    <row r="53" spans="1:18">
      <c r="A53" s="44" t="s">
        <v>4538</v>
      </c>
      <c r="B53" s="60" t="s">
        <v>4324</v>
      </c>
      <c r="C53" s="39">
        <v>1</v>
      </c>
      <c r="D53" s="39">
        <v>1</v>
      </c>
      <c r="E53" s="39">
        <v>20200101</v>
      </c>
      <c r="F53" s="60">
        <v>99991231</v>
      </c>
      <c r="G53" s="39">
        <v>1</v>
      </c>
      <c r="H53" s="10" t="s">
        <v>4494</v>
      </c>
      <c r="I53" s="44" t="s">
        <v>4457</v>
      </c>
      <c r="J53" s="60">
        <v>1</v>
      </c>
      <c r="K53" s="49" t="str">
        <f t="shared" si="2"/>
        <v>D:\Systex\F25B\元大人壽\商品資料\第一批商品\商品資訊\LW\LW_文宣字第1090705號.pdf</v>
      </c>
      <c r="M53" s="10" t="s">
        <v>4526</v>
      </c>
      <c r="N53" s="44" t="s">
        <v>523</v>
      </c>
      <c r="O53" s="10" t="s">
        <v>4526</v>
      </c>
      <c r="P53" s="44" t="s">
        <v>523</v>
      </c>
      <c r="R53" s="44" t="str">
        <f t="shared" si="1"/>
        <v>INSERT INTO dbo.SysDocumentFile (Guid,RuleSerNo,FileSerNo,BgnDate,EndDate,FileType,FileName,FileExtension,FileSize,FileBinaryData,FileHyperlink,CreateTime,Creator,ModifyTime,Modifier) VALUES ('00000000-0000-0000-0000-000000000052',1,1,'20200101','99991231',1,'LW_文宣字第1090705號','pdf',1,(SELECT * FROM OPENROWSET(BULK N'D:\Systex\F25B\元大人壽\商品資料\第一批商品\商品資訊\LW\LW_文宣字第1090705號.pdf', SINGLE_BLOB) AS binarydata),'',GETDATE(),'Alvin',GETDATE(),'Alvin')</v>
      </c>
    </row>
    <row r="54" spans="1:18">
      <c r="A54" s="44" t="s">
        <v>4538</v>
      </c>
      <c r="B54" s="60" t="s">
        <v>4325</v>
      </c>
      <c r="C54" s="39">
        <v>1</v>
      </c>
      <c r="D54" s="39">
        <v>1</v>
      </c>
      <c r="E54" s="39">
        <v>20200101</v>
      </c>
      <c r="F54" s="60">
        <v>99991231</v>
      </c>
      <c r="G54" s="39">
        <v>1</v>
      </c>
      <c r="H54" s="10" t="s">
        <v>4495</v>
      </c>
      <c r="I54" s="44" t="s">
        <v>4459</v>
      </c>
      <c r="J54" s="60">
        <v>1</v>
      </c>
      <c r="K54" s="49" t="str">
        <f t="shared" si="2"/>
        <v>D:\Systex\F25B\元大人壽\商品資料\第一批商品\商品資訊\LW\LWE費率表.xlsx</v>
      </c>
      <c r="M54" s="10" t="s">
        <v>4526</v>
      </c>
      <c r="N54" s="44" t="s">
        <v>523</v>
      </c>
      <c r="O54" s="10" t="s">
        <v>4526</v>
      </c>
      <c r="P54" s="44" t="s">
        <v>523</v>
      </c>
      <c r="R54" s="44" t="str">
        <f t="shared" si="1"/>
        <v>INSERT INTO dbo.SysDocumentFile (Guid,RuleSerNo,FileSerNo,BgnDate,EndDate,FileType,FileName,FileExtension,FileSize,FileBinaryData,FileHyperlink,CreateTime,Creator,ModifyTime,Modifier) VALUES ('00000000-0000-0000-0000-000000000053',1,1,'20200101','99991231',1,'LWE費率表','xlsx',1,(SELECT * FROM OPENROWSET(BULK N'D:\Systex\F25B\元大人壽\商品資料\第一批商品\商品資訊\LW\LWE費率表.xlsx', SINGLE_BLOB) AS binarydata),'',GETDATE(),'Alvin',GETDATE(),'Alvin')</v>
      </c>
    </row>
    <row r="55" spans="1:18">
      <c r="A55" s="44" t="s">
        <v>4538</v>
      </c>
      <c r="B55" s="60" t="s">
        <v>4326</v>
      </c>
      <c r="C55" s="39">
        <v>1</v>
      </c>
      <c r="D55" s="39">
        <v>1</v>
      </c>
      <c r="E55" s="39">
        <v>20200101</v>
      </c>
      <c r="F55" s="60">
        <v>99991231</v>
      </c>
      <c r="G55" s="39">
        <v>1</v>
      </c>
      <c r="H55" s="10" t="s">
        <v>503</v>
      </c>
      <c r="I55" s="44" t="s">
        <v>4457</v>
      </c>
      <c r="J55" s="60">
        <v>1</v>
      </c>
      <c r="K55" s="49" t="str">
        <f t="shared" si="2"/>
        <v>D:\Systex\F25B\元大人壽\商品資料\第一批商品\商品資訊\LW\LW.pdf</v>
      </c>
      <c r="M55" s="10" t="s">
        <v>4526</v>
      </c>
      <c r="N55" s="44" t="s">
        <v>523</v>
      </c>
      <c r="O55" s="10" t="s">
        <v>4526</v>
      </c>
      <c r="P55" s="44" t="s">
        <v>523</v>
      </c>
      <c r="R55" s="44" t="str">
        <f t="shared" si="1"/>
        <v>INSERT INTO dbo.SysDocumentFile (Guid,RuleSerNo,FileSerNo,BgnDate,EndDate,FileType,FileName,FileExtension,FileSize,FileBinaryData,FileHyperlink,CreateTime,Creator,ModifyTime,Modifier) VALUES ('00000000-0000-0000-0000-000000000054',1,1,'20200101','99991231',1,'LW','pdf',1,(SELECT * FROM OPENROWSET(BULK N'D:\Systex\F25B\元大人壽\商品資料\第一批商品\商品資訊\LW\LW.pdf', SINGLE_BLOB) AS binarydata),'',GETDATE(),'Alvin',GETDATE(),'Alvin')</v>
      </c>
    </row>
    <row r="56" spans="1:18">
      <c r="A56" s="44" t="s">
        <v>4538</v>
      </c>
      <c r="B56" s="60" t="s">
        <v>4327</v>
      </c>
      <c r="C56" s="39">
        <v>1</v>
      </c>
      <c r="D56" s="39">
        <v>1</v>
      </c>
      <c r="E56" s="39">
        <v>20200101</v>
      </c>
      <c r="F56" s="60">
        <v>99991231</v>
      </c>
      <c r="G56" s="39">
        <v>1</v>
      </c>
      <c r="H56" s="10" t="s">
        <v>4496</v>
      </c>
      <c r="I56" s="44" t="s">
        <v>4457</v>
      </c>
      <c r="J56" s="60">
        <v>1</v>
      </c>
      <c r="K56" s="49" t="str">
        <f t="shared" si="2"/>
        <v>D:\Systex\F25B\元大人壽\商品資料\第一批商品\商品資訊\LW\LW-s.pdf</v>
      </c>
      <c r="M56" s="10" t="s">
        <v>4526</v>
      </c>
      <c r="N56" s="44" t="s">
        <v>523</v>
      </c>
      <c r="O56" s="10" t="s">
        <v>4526</v>
      </c>
      <c r="P56" s="44" t="s">
        <v>523</v>
      </c>
      <c r="R56" s="44" t="str">
        <f t="shared" si="1"/>
        <v>INSERT INTO dbo.SysDocumentFile (Guid,RuleSerNo,FileSerNo,BgnDate,EndDate,FileType,FileName,FileExtension,FileSize,FileBinaryData,FileHyperlink,CreateTime,Creator,ModifyTime,Modifier) VALUES ('00000000-0000-0000-0000-000000000055',1,1,'20200101','99991231',1,'LW-s','pdf',1,(SELECT * FROM OPENROWSET(BULK N'D:\Systex\F25B\元大人壽\商品資料\第一批商品\商品資訊\LW\LW-s.pdf', SINGLE_BLOB) AS binarydata),'',GETDATE(),'Alvin',GETDATE(),'Alvin')</v>
      </c>
    </row>
    <row r="57" spans="1:18">
      <c r="A57" s="44" t="s">
        <v>4539</v>
      </c>
      <c r="B57" s="60" t="s">
        <v>4328</v>
      </c>
      <c r="C57" s="39">
        <v>1</v>
      </c>
      <c r="D57" s="39">
        <v>1</v>
      </c>
      <c r="E57" s="39">
        <v>20200101</v>
      </c>
      <c r="F57" s="60">
        <v>99991231</v>
      </c>
      <c r="G57" s="39">
        <v>1</v>
      </c>
      <c r="H57" s="10" t="s">
        <v>4497</v>
      </c>
      <c r="I57" s="44" t="s">
        <v>4457</v>
      </c>
      <c r="J57" s="60">
        <v>1</v>
      </c>
      <c r="K57" s="49" t="str">
        <f t="shared" si="2"/>
        <v>D:\Systex\F25B\元大人壽\商品資料\第一批商品\商品資訊\MI\MI_文宣字第109051號.pdf</v>
      </c>
      <c r="M57" s="10" t="s">
        <v>4526</v>
      </c>
      <c r="N57" s="44" t="s">
        <v>523</v>
      </c>
      <c r="O57" s="10" t="s">
        <v>4526</v>
      </c>
      <c r="P57" s="44" t="s">
        <v>523</v>
      </c>
      <c r="R57" s="44" t="str">
        <f t="shared" si="1"/>
        <v>INSERT INTO dbo.SysDocumentFile (Guid,RuleSerNo,FileSerNo,BgnDate,EndDate,FileType,FileName,FileExtension,FileSize,FileBinaryData,FileHyperlink,CreateTime,Creator,ModifyTime,Modifier) VALUES ('00000000-0000-0000-0000-000000000056',1,1,'20200101','99991231',1,'MI_文宣字第109051號','pdf',1,(SELECT * FROM OPENROWSET(BULK N'D:\Systex\F25B\元大人壽\商品資料\第一批商品\商品資訊\MI\MI_文宣字第109051號.pdf', SINGLE_BLOB) AS binarydata),'',GETDATE(),'Alvin',GETDATE(),'Alvin')</v>
      </c>
    </row>
    <row r="58" spans="1:18">
      <c r="A58" s="44" t="s">
        <v>4539</v>
      </c>
      <c r="B58" s="60" t="s">
        <v>4329</v>
      </c>
      <c r="C58" s="39">
        <v>1</v>
      </c>
      <c r="D58" s="39">
        <v>1</v>
      </c>
      <c r="E58" s="39">
        <v>20200101</v>
      </c>
      <c r="F58" s="60">
        <v>99991231</v>
      </c>
      <c r="G58" s="39">
        <v>1</v>
      </c>
      <c r="H58" s="10" t="s">
        <v>4498</v>
      </c>
      <c r="I58" s="44" t="s">
        <v>4484</v>
      </c>
      <c r="J58" s="60">
        <v>1</v>
      </c>
      <c r="K58" s="49" t="str">
        <f t="shared" si="2"/>
        <v>D:\Systex\F25B\元大人壽\商品資料\第一批商品\商品資訊\MI\MI費率表_元大版.xls</v>
      </c>
      <c r="M58" s="10" t="s">
        <v>4526</v>
      </c>
      <c r="N58" s="44" t="s">
        <v>523</v>
      </c>
      <c r="O58" s="10" t="s">
        <v>4526</v>
      </c>
      <c r="P58" s="44" t="s">
        <v>523</v>
      </c>
      <c r="R58" s="44" t="str">
        <f t="shared" si="1"/>
        <v>INSERT INTO dbo.SysDocumentFile (Guid,RuleSerNo,FileSerNo,BgnDate,EndDate,FileType,FileName,FileExtension,FileSize,FileBinaryData,FileHyperlink,CreateTime,Creator,ModifyTime,Modifier) VALUES ('00000000-0000-0000-0000-000000000057',1,1,'20200101','99991231',1,'MI費率表_元大版','xls',1,(SELECT * FROM OPENROWSET(BULK N'D:\Systex\F25B\元大人壽\商品資料\第一批商品\商品資訊\MI\MI費率表_元大版.xls', SINGLE_BLOB) AS binarydata),'',GETDATE(),'Alvin',GETDATE(),'Alvin')</v>
      </c>
    </row>
    <row r="59" spans="1:18">
      <c r="A59" s="44" t="s">
        <v>4539</v>
      </c>
      <c r="B59" s="60" t="s">
        <v>4330</v>
      </c>
      <c r="C59" s="39">
        <v>1</v>
      </c>
      <c r="D59" s="39">
        <v>1</v>
      </c>
      <c r="E59" s="39">
        <v>20200101</v>
      </c>
      <c r="F59" s="60">
        <v>99991231</v>
      </c>
      <c r="G59" s="39">
        <v>1</v>
      </c>
      <c r="H59" s="10" t="s">
        <v>512</v>
      </c>
      <c r="I59" s="44" t="s">
        <v>4457</v>
      </c>
      <c r="J59" s="60">
        <v>1</v>
      </c>
      <c r="K59" s="49" t="str">
        <f t="shared" si="2"/>
        <v>D:\Systex\F25B\元大人壽\商品資料\第一批商品\商品資訊\MI\MI.pdf</v>
      </c>
      <c r="M59" s="10" t="s">
        <v>4526</v>
      </c>
      <c r="N59" s="44" t="s">
        <v>523</v>
      </c>
      <c r="O59" s="10" t="s">
        <v>4526</v>
      </c>
      <c r="P59" s="44" t="s">
        <v>523</v>
      </c>
      <c r="R59" s="44" t="str">
        <f t="shared" si="1"/>
        <v>INSERT INTO dbo.SysDocumentFile (Guid,RuleSerNo,FileSerNo,BgnDate,EndDate,FileType,FileName,FileExtension,FileSize,FileBinaryData,FileHyperlink,CreateTime,Creator,ModifyTime,Modifier) VALUES ('00000000-0000-0000-0000-000000000058',1,1,'20200101','99991231',1,'MI','pdf',1,(SELECT * FROM OPENROWSET(BULK N'D:\Systex\F25B\元大人壽\商品資料\第一批商品\商品資訊\MI\MI.pdf', SINGLE_BLOB) AS binarydata),'',GETDATE(),'Alvin',GETDATE(),'Alvin')</v>
      </c>
    </row>
    <row r="60" spans="1:18">
      <c r="A60" s="44" t="s">
        <v>4539</v>
      </c>
      <c r="B60" s="60" t="s">
        <v>4331</v>
      </c>
      <c r="C60" s="39">
        <v>1</v>
      </c>
      <c r="D60" s="39">
        <v>1</v>
      </c>
      <c r="E60" s="39">
        <v>20200101</v>
      </c>
      <c r="F60" s="60">
        <v>99991231</v>
      </c>
      <c r="G60" s="39">
        <v>1</v>
      </c>
      <c r="H60" s="10" t="s">
        <v>4499</v>
      </c>
      <c r="I60" s="44" t="s">
        <v>4457</v>
      </c>
      <c r="J60" s="60">
        <v>1</v>
      </c>
      <c r="K60" s="49" t="str">
        <f t="shared" si="2"/>
        <v>D:\Systex\F25B\元大人壽\商品資料\第一批商品\商品資訊\MI\MI-s.pdf</v>
      </c>
      <c r="M60" s="10" t="s">
        <v>4526</v>
      </c>
      <c r="N60" s="44" t="s">
        <v>523</v>
      </c>
      <c r="O60" s="10" t="s">
        <v>4526</v>
      </c>
      <c r="P60" s="44" t="s">
        <v>523</v>
      </c>
      <c r="R60" s="44" t="str">
        <f t="shared" si="1"/>
        <v>INSERT INTO dbo.SysDocumentFile (Guid,RuleSerNo,FileSerNo,BgnDate,EndDate,FileType,FileName,FileExtension,FileSize,FileBinaryData,FileHyperlink,CreateTime,Creator,ModifyTime,Modifier) VALUES ('00000000-0000-0000-0000-000000000059',1,1,'20200101','99991231',1,'MI-s','pdf',1,(SELECT * FROM OPENROWSET(BULK N'D:\Systex\F25B\元大人壽\商品資料\第一批商品\商品資訊\MI\MI-s.pdf', SINGLE_BLOB) AS binarydata),'',GETDATE(),'Alvin',GETDATE(),'Alvin')</v>
      </c>
    </row>
    <row r="61" spans="1:18">
      <c r="A61" s="44" t="s">
        <v>4540</v>
      </c>
      <c r="B61" s="60" t="s">
        <v>4332</v>
      </c>
      <c r="C61" s="39">
        <v>1</v>
      </c>
      <c r="D61" s="39">
        <v>1</v>
      </c>
      <c r="E61" s="39">
        <v>20200101</v>
      </c>
      <c r="F61" s="60">
        <v>99991231</v>
      </c>
      <c r="G61" s="39">
        <v>1</v>
      </c>
      <c r="H61" s="10" t="s">
        <v>4500</v>
      </c>
      <c r="I61" s="44" t="s">
        <v>4457</v>
      </c>
      <c r="J61" s="60">
        <v>1</v>
      </c>
      <c r="K61" s="49" t="str">
        <f t="shared" si="2"/>
        <v>D:\Systex\F25B\元大人壽\商品資料\第一批商品\商品資訊\NR\NR_文宣字第109027號.pdf</v>
      </c>
      <c r="M61" s="10" t="s">
        <v>4526</v>
      </c>
      <c r="N61" s="44" t="s">
        <v>523</v>
      </c>
      <c r="O61" s="10" t="s">
        <v>4526</v>
      </c>
      <c r="P61" s="44" t="s">
        <v>523</v>
      </c>
      <c r="R61" s="44" t="str">
        <f t="shared" si="1"/>
        <v>INSERT INTO dbo.SysDocumentFile (Guid,RuleSerNo,FileSerNo,BgnDate,EndDate,FileType,FileName,FileExtension,FileSize,FileBinaryData,FileHyperlink,CreateTime,Creator,ModifyTime,Modifier) VALUES ('00000000-0000-0000-0000-000000000060',1,1,'20200101','99991231',1,'NR_文宣字第109027號','pdf',1,(SELECT * FROM OPENROWSET(BULK N'D:\Systex\F25B\元大人壽\商品資料\第一批商品\商品資訊\NR\NR_文宣字第109027號.pdf', SINGLE_BLOB) AS binarydata),'',GETDATE(),'Alvin',GETDATE(),'Alvin')</v>
      </c>
    </row>
    <row r="62" spans="1:18">
      <c r="A62" s="44" t="s">
        <v>4540</v>
      </c>
      <c r="B62" s="60" t="s">
        <v>4333</v>
      </c>
      <c r="C62" s="39">
        <v>1</v>
      </c>
      <c r="D62" s="39">
        <v>1</v>
      </c>
      <c r="E62" s="39">
        <v>20200101</v>
      </c>
      <c r="F62" s="60">
        <v>99991231</v>
      </c>
      <c r="G62" s="39">
        <v>1</v>
      </c>
      <c r="H62" s="10" t="s">
        <v>4501</v>
      </c>
      <c r="I62" s="44" t="s">
        <v>4502</v>
      </c>
      <c r="J62" s="60">
        <v>1</v>
      </c>
      <c r="K62" s="49" t="str">
        <f t="shared" si="2"/>
        <v>D:\Systex\F25B\元大人壽\商品資料\第一批商品\商品資訊\NR\NRA費率表.xls</v>
      </c>
      <c r="M62" s="10" t="s">
        <v>4526</v>
      </c>
      <c r="N62" s="44" t="s">
        <v>523</v>
      </c>
      <c r="O62" s="10" t="s">
        <v>4526</v>
      </c>
      <c r="P62" s="44" t="s">
        <v>523</v>
      </c>
      <c r="R62" s="44" t="str">
        <f t="shared" si="1"/>
        <v>INSERT INTO dbo.SysDocumentFile (Guid,RuleSerNo,FileSerNo,BgnDate,EndDate,FileType,FileName,FileExtension,FileSize,FileBinaryData,FileHyperlink,CreateTime,Creator,ModifyTime,Modifier) VALUES ('00000000-0000-0000-0000-000000000061',1,1,'20200101','99991231',1,'NRA費率表','xls',1,(SELECT * FROM OPENROWSET(BULK N'D:\Systex\F25B\元大人壽\商品資料\第一批商品\商品資訊\NR\NRA費率表.xls', SINGLE_BLOB) AS binarydata),'',GETDATE(),'Alvin',GETDATE(),'Alvin')</v>
      </c>
    </row>
    <row r="63" spans="1:18">
      <c r="A63" s="44" t="s">
        <v>4540</v>
      </c>
      <c r="B63" s="60" t="s">
        <v>4334</v>
      </c>
      <c r="C63" s="39">
        <v>1</v>
      </c>
      <c r="D63" s="39">
        <v>1</v>
      </c>
      <c r="E63" s="39">
        <v>20200101</v>
      </c>
      <c r="F63" s="60">
        <v>99991231</v>
      </c>
      <c r="G63" s="39">
        <v>1</v>
      </c>
      <c r="H63" s="10" t="s">
        <v>174</v>
      </c>
      <c r="I63" s="44" t="s">
        <v>4457</v>
      </c>
      <c r="J63" s="60">
        <v>1</v>
      </c>
      <c r="K63" s="49" t="str">
        <f t="shared" si="2"/>
        <v>D:\Systex\F25B\元大人壽\商品資料\第一批商品\商品資訊\NR\NR.pdf</v>
      </c>
      <c r="M63" s="10" t="s">
        <v>4526</v>
      </c>
      <c r="N63" s="44" t="s">
        <v>523</v>
      </c>
      <c r="O63" s="10" t="s">
        <v>4526</v>
      </c>
      <c r="P63" s="44" t="s">
        <v>523</v>
      </c>
      <c r="R63" s="44" t="str">
        <f t="shared" si="1"/>
        <v>INSERT INTO dbo.SysDocumentFile (Guid,RuleSerNo,FileSerNo,BgnDate,EndDate,FileType,FileName,FileExtension,FileSize,FileBinaryData,FileHyperlink,CreateTime,Creator,ModifyTime,Modifier) VALUES ('00000000-0000-0000-0000-000000000062',1,1,'20200101','99991231',1,'NR','pdf',1,(SELECT * FROM OPENROWSET(BULK N'D:\Systex\F25B\元大人壽\商品資料\第一批商品\商品資訊\NR\NR.pdf', SINGLE_BLOB) AS binarydata),'',GETDATE(),'Alvin',GETDATE(),'Alvin')</v>
      </c>
    </row>
    <row r="64" spans="1:18">
      <c r="A64" s="44" t="s">
        <v>4540</v>
      </c>
      <c r="B64" s="60" t="s">
        <v>4335</v>
      </c>
      <c r="C64" s="39">
        <v>1</v>
      </c>
      <c r="D64" s="39">
        <v>1</v>
      </c>
      <c r="E64" s="39">
        <v>20200101</v>
      </c>
      <c r="F64" s="60">
        <v>99991231</v>
      </c>
      <c r="G64" s="39">
        <v>1</v>
      </c>
      <c r="H64" s="10" t="s">
        <v>4503</v>
      </c>
      <c r="I64" s="44" t="s">
        <v>4457</v>
      </c>
      <c r="J64" s="60">
        <v>1</v>
      </c>
      <c r="K64" s="49" t="str">
        <f t="shared" si="2"/>
        <v>D:\Systex\F25B\元大人壽\商品資料\第一批商品\商品資訊\NR\NR-s.pdf</v>
      </c>
      <c r="M64" s="10" t="s">
        <v>4526</v>
      </c>
      <c r="N64" s="44" t="s">
        <v>523</v>
      </c>
      <c r="O64" s="10" t="s">
        <v>4526</v>
      </c>
      <c r="P64" s="44" t="s">
        <v>523</v>
      </c>
      <c r="R64" s="44" t="str">
        <f t="shared" si="1"/>
        <v>INSERT INTO dbo.SysDocumentFile (Guid,RuleSerNo,FileSerNo,BgnDate,EndDate,FileType,FileName,FileExtension,FileSize,FileBinaryData,FileHyperlink,CreateTime,Creator,ModifyTime,Modifier) VALUES ('00000000-0000-0000-0000-000000000063',1,1,'20200101','99991231',1,'NR-s','pdf',1,(SELECT * FROM OPENROWSET(BULK N'D:\Systex\F25B\元大人壽\商品資料\第一批商品\商品資訊\NR\NR-s.pdf', SINGLE_BLOB) AS binarydata),'',GETDATE(),'Alvin',GETDATE(),'Alvin')</v>
      </c>
    </row>
    <row r="65" spans="1:18">
      <c r="A65" s="44" t="s">
        <v>4541</v>
      </c>
      <c r="B65" s="60" t="s">
        <v>4336</v>
      </c>
      <c r="C65" s="39">
        <v>1</v>
      </c>
      <c r="D65" s="39">
        <v>1</v>
      </c>
      <c r="E65" s="39">
        <v>20200101</v>
      </c>
      <c r="F65" s="60">
        <v>99991231</v>
      </c>
      <c r="G65" s="39">
        <v>1</v>
      </c>
      <c r="H65" s="10" t="s">
        <v>4504</v>
      </c>
      <c r="I65" s="44" t="s">
        <v>4457</v>
      </c>
      <c r="J65" s="60">
        <v>1</v>
      </c>
      <c r="K65" s="49" t="str">
        <f t="shared" si="2"/>
        <v>D:\Systex\F25B\元大人壽\商品資料\第一批商品\商品資訊\PR\PR_文宣字第109364號.pdf</v>
      </c>
      <c r="M65" s="10" t="s">
        <v>4526</v>
      </c>
      <c r="N65" s="44" t="s">
        <v>523</v>
      </c>
      <c r="O65" s="10" t="s">
        <v>4526</v>
      </c>
      <c r="P65" s="44" t="s">
        <v>523</v>
      </c>
      <c r="R65" s="44" t="str">
        <f t="shared" si="1"/>
        <v>INSERT INTO dbo.SysDocumentFile (Guid,RuleSerNo,FileSerNo,BgnDate,EndDate,FileType,FileName,FileExtension,FileSize,FileBinaryData,FileHyperlink,CreateTime,Creator,ModifyTime,Modifier) VALUES ('00000000-0000-0000-0000-000000000064',1,1,'20200101','99991231',1,'PR_文宣字第109364號','pdf',1,(SELECT * FROM OPENROWSET(BULK N'D:\Systex\F25B\元大人壽\商品資料\第一批商品\商品資訊\PR\PR_文宣字第109364號.pdf', SINGLE_BLOB) AS binarydata),'',GETDATE(),'Alvin',GETDATE(),'Alvin')</v>
      </c>
    </row>
    <row r="66" spans="1:18">
      <c r="A66" s="44" t="s">
        <v>4541</v>
      </c>
      <c r="B66" s="60" t="s">
        <v>4337</v>
      </c>
      <c r="C66" s="39">
        <v>1</v>
      </c>
      <c r="D66" s="39">
        <v>1</v>
      </c>
      <c r="E66" s="39">
        <v>20200101</v>
      </c>
      <c r="F66" s="60">
        <v>99991231</v>
      </c>
      <c r="G66" s="39">
        <v>1</v>
      </c>
      <c r="H66" s="10" t="s">
        <v>4505</v>
      </c>
      <c r="I66" s="44" t="s">
        <v>4484</v>
      </c>
      <c r="J66" s="60">
        <v>1</v>
      </c>
      <c r="K66" s="49" t="str">
        <f t="shared" si="2"/>
        <v>D:\Systex\F25B\元大人壽\商品資料\第一批商品\商品資訊\PR\PRG費率表.xls</v>
      </c>
      <c r="M66" s="10" t="s">
        <v>4526</v>
      </c>
      <c r="N66" s="44" t="s">
        <v>523</v>
      </c>
      <c r="O66" s="10" t="s">
        <v>4526</v>
      </c>
      <c r="P66" s="44" t="s">
        <v>523</v>
      </c>
      <c r="R66" s="44" t="str">
        <f t="shared" si="1"/>
        <v>INSERT INTO dbo.SysDocumentFile (Guid,RuleSerNo,FileSerNo,BgnDate,EndDate,FileType,FileName,FileExtension,FileSize,FileBinaryData,FileHyperlink,CreateTime,Creator,ModifyTime,Modifier) VALUES ('00000000-0000-0000-0000-000000000065',1,1,'20200101','99991231',1,'PRG費率表','xls',1,(SELECT * FROM OPENROWSET(BULK N'D:\Systex\F25B\元大人壽\商品資料\第一批商品\商品資訊\PR\PRG費率表.xls', SINGLE_BLOB) AS binarydata),'',GETDATE(),'Alvin',GETDATE(),'Alvin')</v>
      </c>
    </row>
    <row r="67" spans="1:18">
      <c r="A67" s="44" t="s">
        <v>4541</v>
      </c>
      <c r="B67" s="60" t="s">
        <v>4338</v>
      </c>
      <c r="C67" s="39">
        <v>1</v>
      </c>
      <c r="D67" s="39">
        <v>1</v>
      </c>
      <c r="E67" s="39">
        <v>20200101</v>
      </c>
      <c r="F67" s="60">
        <v>99991231</v>
      </c>
      <c r="G67" s="39">
        <v>1</v>
      </c>
      <c r="H67" s="10" t="s">
        <v>502</v>
      </c>
      <c r="I67" s="44" t="s">
        <v>4457</v>
      </c>
      <c r="J67" s="60">
        <v>1</v>
      </c>
      <c r="K67" s="49" t="str">
        <f t="shared" si="2"/>
        <v>D:\Systex\F25B\元大人壽\商品資料\第一批商品\商品資訊\PR\PR.pdf</v>
      </c>
      <c r="M67" s="10" t="s">
        <v>4526</v>
      </c>
      <c r="N67" s="44" t="s">
        <v>523</v>
      </c>
      <c r="O67" s="10" t="s">
        <v>4526</v>
      </c>
      <c r="P67" s="44" t="s">
        <v>523</v>
      </c>
      <c r="R67" s="44" t="str">
        <f t="shared" ref="R67:R100" si="3">$R$1 &amp; " VALUES ('"&amp;B67&amp;"',"&amp;C67&amp;","&amp;D67&amp;",'"&amp;E67&amp;"','"&amp;F67&amp;"',"&amp;G67&amp;",'"&amp;H67&amp;"','"&amp;I67&amp;"',"&amp;J67&amp;","&amp;"(SELECT * FROM OPENROWSET(BULK N'"&amp;K67&amp;"', SINGLE_BLOB) AS binarydata)"&amp;",'"&amp;L67&amp;"',"&amp;M67&amp;",'"&amp;N67&amp;"',"&amp;O67&amp;",'"&amp;P67&amp;"')"</f>
        <v>INSERT INTO dbo.SysDocumentFile (Guid,RuleSerNo,FileSerNo,BgnDate,EndDate,FileType,FileName,FileExtension,FileSize,FileBinaryData,FileHyperlink,CreateTime,Creator,ModifyTime,Modifier) VALUES ('00000000-0000-0000-0000-000000000066',1,1,'20200101','99991231',1,'PR','pdf',1,(SELECT * FROM OPENROWSET(BULK N'D:\Systex\F25B\元大人壽\商品資料\第一批商品\商品資訊\PR\PR.pdf', SINGLE_BLOB) AS binarydata),'',GETDATE(),'Alvin',GETDATE(),'Alvin')</v>
      </c>
    </row>
    <row r="68" spans="1:18">
      <c r="A68" s="44" t="s">
        <v>4541</v>
      </c>
      <c r="B68" s="60" t="s">
        <v>4339</v>
      </c>
      <c r="C68" s="39">
        <v>1</v>
      </c>
      <c r="D68" s="39">
        <v>1</v>
      </c>
      <c r="E68" s="39">
        <v>20200101</v>
      </c>
      <c r="F68" s="60">
        <v>99991231</v>
      </c>
      <c r="G68" s="39">
        <v>1</v>
      </c>
      <c r="H68" s="10" t="s">
        <v>4506</v>
      </c>
      <c r="I68" s="44" t="s">
        <v>4457</v>
      </c>
      <c r="J68" s="60">
        <v>1</v>
      </c>
      <c r="K68" s="49" t="str">
        <f t="shared" si="2"/>
        <v>D:\Systex\F25B\元大人壽\商品資料\第一批商品\商品資訊\PR\PR-s.pdf</v>
      </c>
      <c r="M68" s="10" t="s">
        <v>4526</v>
      </c>
      <c r="N68" s="44" t="s">
        <v>523</v>
      </c>
      <c r="O68" s="10" t="s">
        <v>4526</v>
      </c>
      <c r="P68" s="44" t="s">
        <v>523</v>
      </c>
      <c r="R68" s="44" t="str">
        <f t="shared" si="3"/>
        <v>INSERT INTO dbo.SysDocumentFile (Guid,RuleSerNo,FileSerNo,BgnDate,EndDate,FileType,FileName,FileExtension,FileSize,FileBinaryData,FileHyperlink,CreateTime,Creator,ModifyTime,Modifier) VALUES ('00000000-0000-0000-0000-000000000067',1,1,'20200101','99991231',1,'PR-s','pdf',1,(SELECT * FROM OPENROWSET(BULK N'D:\Systex\F25B\元大人壽\商品資料\第一批商品\商品資訊\PR\PR-s.pdf', SINGLE_BLOB) AS binarydata),'',GETDATE(),'Alvin',GETDATE(),'Alvin')</v>
      </c>
    </row>
    <row r="69" spans="1:18">
      <c r="A69" s="44" t="s">
        <v>4542</v>
      </c>
      <c r="B69" s="60" t="s">
        <v>4340</v>
      </c>
      <c r="C69" s="39">
        <v>1</v>
      </c>
      <c r="D69" s="39">
        <v>1</v>
      </c>
      <c r="E69" s="39">
        <v>20200101</v>
      </c>
      <c r="F69" s="60">
        <v>99991231</v>
      </c>
      <c r="G69" s="39">
        <v>1</v>
      </c>
      <c r="H69" s="10" t="s">
        <v>4507</v>
      </c>
      <c r="I69" s="44" t="s">
        <v>4457</v>
      </c>
      <c r="J69" s="60">
        <v>1</v>
      </c>
      <c r="K69" s="49" t="str">
        <f t="shared" si="2"/>
        <v>D:\Systex\F25B\元大人壽\商品資料\第一批商品\商品資訊\QR\QR_文宣字第109188號.pdf</v>
      </c>
      <c r="M69" s="10" t="s">
        <v>4526</v>
      </c>
      <c r="N69" s="44" t="s">
        <v>523</v>
      </c>
      <c r="O69" s="10" t="s">
        <v>4526</v>
      </c>
      <c r="P69" s="44" t="s">
        <v>523</v>
      </c>
      <c r="R69" s="44" t="str">
        <f t="shared" si="3"/>
        <v>INSERT INTO dbo.SysDocumentFile (Guid,RuleSerNo,FileSerNo,BgnDate,EndDate,FileType,FileName,FileExtension,FileSize,FileBinaryData,FileHyperlink,CreateTime,Creator,ModifyTime,Modifier) VALUES ('00000000-0000-0000-0000-000000000068',1,1,'20200101','99991231',1,'QR_文宣字第109188號','pdf',1,(SELECT * FROM OPENROWSET(BULK N'D:\Systex\F25B\元大人壽\商品資料\第一批商品\商品資訊\QR\QR_文宣字第109188號.pdf', SINGLE_BLOB) AS binarydata),'',GETDATE(),'Alvin',GETDATE(),'Alvin')</v>
      </c>
    </row>
    <row r="70" spans="1:18">
      <c r="A70" s="44" t="s">
        <v>4542</v>
      </c>
      <c r="B70" s="60" t="s">
        <v>4341</v>
      </c>
      <c r="C70" s="39">
        <v>1</v>
      </c>
      <c r="D70" s="39">
        <v>1</v>
      </c>
      <c r="E70" s="39">
        <v>20200101</v>
      </c>
      <c r="F70" s="60">
        <v>99991231</v>
      </c>
      <c r="G70" s="39">
        <v>1</v>
      </c>
      <c r="H70" s="10" t="s">
        <v>4508</v>
      </c>
      <c r="I70" s="44" t="s">
        <v>4510</v>
      </c>
      <c r="J70" s="60">
        <v>1</v>
      </c>
      <c r="K70" s="49" t="str">
        <f t="shared" ref="K70:K100" si="4">"D:\Systex\F25B\元大人壽\商品資料\第一批商品\商品資訊\"&amp;A70&amp;"\"&amp;H70&amp;"."&amp;I70</f>
        <v>D:\Systex\F25B\元大人壽\商品資料\第一批商品\商品資訊\QR\QRB費率表.xls</v>
      </c>
      <c r="M70" s="10" t="s">
        <v>4526</v>
      </c>
      <c r="N70" s="44" t="s">
        <v>523</v>
      </c>
      <c r="O70" s="10" t="s">
        <v>4526</v>
      </c>
      <c r="P70" s="44" t="s">
        <v>523</v>
      </c>
      <c r="R70" s="44" t="str">
        <f t="shared" si="3"/>
        <v>INSERT INTO dbo.SysDocumentFile (Guid,RuleSerNo,FileSerNo,BgnDate,EndDate,FileType,FileName,FileExtension,FileSize,FileBinaryData,FileHyperlink,CreateTime,Creator,ModifyTime,Modifier) VALUES ('00000000-0000-0000-0000-000000000069',1,1,'20200101','99991231',1,'QRB費率表','xls',1,(SELECT * FROM OPENROWSET(BULK N'D:\Systex\F25B\元大人壽\商品資料\第一批商品\商品資訊\QR\QRB費率表.xls', SINGLE_BLOB) AS binarydata),'',GETDATE(),'Alvin',GETDATE(),'Alvin')</v>
      </c>
    </row>
    <row r="71" spans="1:18">
      <c r="A71" s="44" t="s">
        <v>4542</v>
      </c>
      <c r="B71" s="60" t="s">
        <v>4342</v>
      </c>
      <c r="C71" s="39">
        <v>1</v>
      </c>
      <c r="D71" s="39">
        <v>1</v>
      </c>
      <c r="E71" s="39">
        <v>20200101</v>
      </c>
      <c r="F71" s="60">
        <v>99991231</v>
      </c>
      <c r="G71" s="39">
        <v>1</v>
      </c>
      <c r="H71" s="10" t="s">
        <v>513</v>
      </c>
      <c r="I71" s="44" t="s">
        <v>4457</v>
      </c>
      <c r="J71" s="60">
        <v>1</v>
      </c>
      <c r="K71" s="49" t="str">
        <f t="shared" si="4"/>
        <v>D:\Systex\F25B\元大人壽\商品資料\第一批商品\商品資訊\QR\QR.pdf</v>
      </c>
      <c r="M71" s="10" t="s">
        <v>4526</v>
      </c>
      <c r="N71" s="44" t="s">
        <v>523</v>
      </c>
      <c r="O71" s="10" t="s">
        <v>4526</v>
      </c>
      <c r="P71" s="44" t="s">
        <v>523</v>
      </c>
      <c r="R71" s="44" t="str">
        <f t="shared" si="3"/>
        <v>INSERT INTO dbo.SysDocumentFile (Guid,RuleSerNo,FileSerNo,BgnDate,EndDate,FileType,FileName,FileExtension,FileSize,FileBinaryData,FileHyperlink,CreateTime,Creator,ModifyTime,Modifier) VALUES ('00000000-0000-0000-0000-000000000070',1,1,'20200101','99991231',1,'QR','pdf',1,(SELECT * FROM OPENROWSET(BULK N'D:\Systex\F25B\元大人壽\商品資料\第一批商品\商品資訊\QR\QR.pdf', SINGLE_BLOB) AS binarydata),'',GETDATE(),'Alvin',GETDATE(),'Alvin')</v>
      </c>
    </row>
    <row r="72" spans="1:18">
      <c r="A72" s="44" t="s">
        <v>4542</v>
      </c>
      <c r="B72" s="60" t="s">
        <v>4343</v>
      </c>
      <c r="C72" s="39">
        <v>1</v>
      </c>
      <c r="D72" s="39">
        <v>1</v>
      </c>
      <c r="E72" s="39">
        <v>20200101</v>
      </c>
      <c r="F72" s="60">
        <v>99991231</v>
      </c>
      <c r="G72" s="39">
        <v>1</v>
      </c>
      <c r="H72" s="10" t="s">
        <v>4509</v>
      </c>
      <c r="I72" s="44" t="s">
        <v>4457</v>
      </c>
      <c r="J72" s="60">
        <v>1</v>
      </c>
      <c r="K72" s="49" t="str">
        <f t="shared" si="4"/>
        <v>D:\Systex\F25B\元大人壽\商品資料\第一批商品\商品資訊\QR\QR-s.pdf</v>
      </c>
      <c r="M72" s="10" t="s">
        <v>4526</v>
      </c>
      <c r="N72" s="44" t="s">
        <v>523</v>
      </c>
      <c r="O72" s="10" t="s">
        <v>4526</v>
      </c>
      <c r="P72" s="44" t="s">
        <v>523</v>
      </c>
      <c r="R72" s="44" t="str">
        <f t="shared" si="3"/>
        <v>INSERT INTO dbo.SysDocumentFile (Guid,RuleSerNo,FileSerNo,BgnDate,EndDate,FileType,FileName,FileExtension,FileSize,FileBinaryData,FileHyperlink,CreateTime,Creator,ModifyTime,Modifier) VALUES ('00000000-0000-0000-0000-000000000071',1,1,'20200101','99991231',1,'QR-s','pdf',1,(SELECT * FROM OPENROWSET(BULK N'D:\Systex\F25B\元大人壽\商品資料\第一批商品\商品資訊\QR\QR-s.pdf', SINGLE_BLOB) AS binarydata),'',GETDATE(),'Alvin',GETDATE(),'Alvin')</v>
      </c>
    </row>
    <row r="73" spans="1:18">
      <c r="A73" s="44" t="s">
        <v>4543</v>
      </c>
      <c r="B73" s="60" t="s">
        <v>4344</v>
      </c>
      <c r="C73" s="39">
        <v>1</v>
      </c>
      <c r="D73" s="39">
        <v>1</v>
      </c>
      <c r="E73" s="39">
        <v>20200101</v>
      </c>
      <c r="F73" s="60">
        <v>99991231</v>
      </c>
      <c r="G73" s="39">
        <v>1</v>
      </c>
      <c r="H73" s="10" t="s">
        <v>4511</v>
      </c>
      <c r="I73" s="44" t="s">
        <v>4457</v>
      </c>
      <c r="J73" s="60">
        <v>1</v>
      </c>
      <c r="K73" s="49" t="str">
        <f t="shared" si="4"/>
        <v>D:\Systex\F25B\元大人壽\商品資料\第一批商品\商品資訊\RL\RL_文宣字第108387號.pdf</v>
      </c>
      <c r="M73" s="10" t="s">
        <v>4526</v>
      </c>
      <c r="N73" s="44" t="s">
        <v>523</v>
      </c>
      <c r="O73" s="10" t="s">
        <v>4526</v>
      </c>
      <c r="P73" s="44" t="s">
        <v>523</v>
      </c>
      <c r="R73" s="44" t="str">
        <f t="shared" si="3"/>
        <v>INSERT INTO dbo.SysDocumentFile (Guid,RuleSerNo,FileSerNo,BgnDate,EndDate,FileType,FileName,FileExtension,FileSize,FileBinaryData,FileHyperlink,CreateTime,Creator,ModifyTime,Modifier) VALUES ('00000000-0000-0000-0000-000000000072',1,1,'20200101','99991231',1,'RL_文宣字第108387號','pdf',1,(SELECT * FROM OPENROWSET(BULK N'D:\Systex\F25B\元大人壽\商品資料\第一批商品\商品資訊\RL\RL_文宣字第108387號.pdf', SINGLE_BLOB) AS binarydata),'',GETDATE(),'Alvin',GETDATE(),'Alvin')</v>
      </c>
    </row>
    <row r="74" spans="1:18">
      <c r="A74" s="44" t="s">
        <v>4543</v>
      </c>
      <c r="B74" s="60" t="s">
        <v>4345</v>
      </c>
      <c r="C74" s="39">
        <v>1</v>
      </c>
      <c r="D74" s="39">
        <v>1</v>
      </c>
      <c r="E74" s="39">
        <v>20200101</v>
      </c>
      <c r="F74" s="60">
        <v>99991231</v>
      </c>
      <c r="G74" s="39">
        <v>1</v>
      </c>
      <c r="H74" s="10" t="s">
        <v>4512</v>
      </c>
      <c r="I74" s="44" t="s">
        <v>4459</v>
      </c>
      <c r="J74" s="60">
        <v>1</v>
      </c>
      <c r="K74" s="49" t="str">
        <f t="shared" si="4"/>
        <v>D:\Systex\F25B\元大人壽\商品資料\第一批商品\商品資訊\RL\RL_費率表.xlsx</v>
      </c>
      <c r="M74" s="10" t="s">
        <v>4526</v>
      </c>
      <c r="N74" s="44" t="s">
        <v>523</v>
      </c>
      <c r="O74" s="10" t="s">
        <v>4526</v>
      </c>
      <c r="P74" s="44" t="s">
        <v>523</v>
      </c>
      <c r="R74" s="44" t="str">
        <f t="shared" si="3"/>
        <v>INSERT INTO dbo.SysDocumentFile (Guid,RuleSerNo,FileSerNo,BgnDate,EndDate,FileType,FileName,FileExtension,FileSize,FileBinaryData,FileHyperlink,CreateTime,Creator,ModifyTime,Modifier) VALUES ('00000000-0000-0000-0000-000000000073',1,1,'20200101','99991231',1,'RL_費率表','xlsx',1,(SELECT * FROM OPENROWSET(BULK N'D:\Systex\F25B\元大人壽\商品資料\第一批商品\商品資訊\RL\RL_費率表.xlsx', SINGLE_BLOB) AS binarydata),'',GETDATE(),'Alvin',GETDATE(),'Alvin')</v>
      </c>
    </row>
    <row r="75" spans="1:18">
      <c r="A75" s="44" t="s">
        <v>4543</v>
      </c>
      <c r="B75" s="60" t="s">
        <v>4346</v>
      </c>
      <c r="C75" s="39">
        <v>1</v>
      </c>
      <c r="D75" s="39">
        <v>1</v>
      </c>
      <c r="E75" s="39">
        <v>20200101</v>
      </c>
      <c r="F75" s="60">
        <v>99991231</v>
      </c>
      <c r="G75" s="39">
        <v>1</v>
      </c>
      <c r="H75" s="10" t="s">
        <v>527</v>
      </c>
      <c r="I75" s="44" t="s">
        <v>4457</v>
      </c>
      <c r="J75" s="60">
        <v>1</v>
      </c>
      <c r="K75" s="49" t="str">
        <f t="shared" si="4"/>
        <v>D:\Systex\F25B\元大人壽\商品資料\第一批商品\商品資訊\RL\RL.pdf</v>
      </c>
      <c r="M75" s="10" t="s">
        <v>4526</v>
      </c>
      <c r="N75" s="44" t="s">
        <v>523</v>
      </c>
      <c r="O75" s="10" t="s">
        <v>4526</v>
      </c>
      <c r="P75" s="44" t="s">
        <v>523</v>
      </c>
      <c r="R75" s="44" t="str">
        <f t="shared" si="3"/>
        <v>INSERT INTO dbo.SysDocumentFile (Guid,RuleSerNo,FileSerNo,BgnDate,EndDate,FileType,FileName,FileExtension,FileSize,FileBinaryData,FileHyperlink,CreateTime,Creator,ModifyTime,Modifier) VALUES ('00000000-0000-0000-0000-000000000074',1,1,'20200101','99991231',1,'RL','pdf',1,(SELECT * FROM OPENROWSET(BULK N'D:\Systex\F25B\元大人壽\商品資料\第一批商品\商品資訊\RL\RL.pdf', SINGLE_BLOB) AS binarydata),'',GETDATE(),'Alvin',GETDATE(),'Alvin')</v>
      </c>
    </row>
    <row r="76" spans="1:18">
      <c r="A76" s="44" t="s">
        <v>4543</v>
      </c>
      <c r="B76" s="60" t="s">
        <v>4347</v>
      </c>
      <c r="C76" s="39">
        <v>1</v>
      </c>
      <c r="D76" s="39">
        <v>1</v>
      </c>
      <c r="E76" s="39">
        <v>20200101</v>
      </c>
      <c r="F76" s="60">
        <v>99991231</v>
      </c>
      <c r="G76" s="39">
        <v>1</v>
      </c>
      <c r="H76" s="10" t="s">
        <v>4513</v>
      </c>
      <c r="I76" s="44" t="s">
        <v>4457</v>
      </c>
      <c r="J76" s="60">
        <v>1</v>
      </c>
      <c r="K76" s="49" t="str">
        <f t="shared" si="4"/>
        <v>D:\Systex\F25B\元大人壽\商品資料\第一批商品\商品資訊\RL\RL-s.pdf</v>
      </c>
      <c r="M76" s="10" t="s">
        <v>4526</v>
      </c>
      <c r="N76" s="44" t="s">
        <v>523</v>
      </c>
      <c r="O76" s="10" t="s">
        <v>4526</v>
      </c>
      <c r="P76" s="44" t="s">
        <v>523</v>
      </c>
      <c r="R76" s="44" t="str">
        <f t="shared" si="3"/>
        <v>INSERT INTO dbo.SysDocumentFile (Guid,RuleSerNo,FileSerNo,BgnDate,EndDate,FileType,FileName,FileExtension,FileSize,FileBinaryData,FileHyperlink,CreateTime,Creator,ModifyTime,Modifier) VALUES ('00000000-0000-0000-0000-000000000075',1,1,'20200101','99991231',1,'RL-s','pdf',1,(SELECT * FROM OPENROWSET(BULK N'D:\Systex\F25B\元大人壽\商品資料\第一批商品\商品資訊\RL\RL-s.pdf', SINGLE_BLOB) AS binarydata),'',GETDATE(),'Alvin',GETDATE(),'Alvin')</v>
      </c>
    </row>
    <row r="77" spans="1:18">
      <c r="A77" s="44" t="s">
        <v>4544</v>
      </c>
      <c r="B77" s="60" t="s">
        <v>4348</v>
      </c>
      <c r="C77" s="39">
        <v>1</v>
      </c>
      <c r="D77" s="39">
        <v>1</v>
      </c>
      <c r="E77" s="39">
        <v>20200101</v>
      </c>
      <c r="F77" s="60">
        <v>99991231</v>
      </c>
      <c r="G77" s="39">
        <v>1</v>
      </c>
      <c r="H77" s="10" t="s">
        <v>4514</v>
      </c>
      <c r="I77" s="44" t="s">
        <v>4457</v>
      </c>
      <c r="J77" s="60">
        <v>1</v>
      </c>
      <c r="K77" s="49" t="str">
        <f t="shared" si="4"/>
        <v>D:\Systex\F25B\元大人壽\商品資料\第一批商品\商品資訊\SH\SH_文宣字第109027號.pdf</v>
      </c>
      <c r="M77" s="10" t="s">
        <v>4526</v>
      </c>
      <c r="N77" s="44" t="s">
        <v>523</v>
      </c>
      <c r="O77" s="10" t="s">
        <v>4526</v>
      </c>
      <c r="P77" s="44" t="s">
        <v>523</v>
      </c>
      <c r="R77" s="44" t="str">
        <f t="shared" si="3"/>
        <v>INSERT INTO dbo.SysDocumentFile (Guid,RuleSerNo,FileSerNo,BgnDate,EndDate,FileType,FileName,FileExtension,FileSize,FileBinaryData,FileHyperlink,CreateTime,Creator,ModifyTime,Modifier) VALUES ('00000000-0000-0000-0000-000000000076',1,1,'20200101','99991231',1,'SH_文宣字第109027號','pdf',1,(SELECT * FROM OPENROWSET(BULK N'D:\Systex\F25B\元大人壽\商品資料\第一批商品\商品資訊\SH\SH_文宣字第109027號.pdf', SINGLE_BLOB) AS binarydata),'',GETDATE(),'Alvin',GETDATE(),'Alvin')</v>
      </c>
    </row>
    <row r="78" spans="1:18">
      <c r="A78" s="44" t="s">
        <v>4544</v>
      </c>
      <c r="B78" s="60" t="s">
        <v>4349</v>
      </c>
      <c r="C78" s="39">
        <v>1</v>
      </c>
      <c r="D78" s="39">
        <v>1</v>
      </c>
      <c r="E78" s="39">
        <v>20200101</v>
      </c>
      <c r="F78" s="60">
        <v>99991231</v>
      </c>
      <c r="G78" s="39">
        <v>1</v>
      </c>
      <c r="H78" s="10" t="s">
        <v>4515</v>
      </c>
      <c r="I78" s="44" t="s">
        <v>4459</v>
      </c>
      <c r="J78" s="60">
        <v>1</v>
      </c>
      <c r="K78" s="49" t="str">
        <f t="shared" si="4"/>
        <v>D:\Systex\F25B\元大人壽\商品資料\第一批商品\商品資訊\SH\SHA費率表.xlsx</v>
      </c>
      <c r="M78" s="10" t="s">
        <v>4526</v>
      </c>
      <c r="N78" s="44" t="s">
        <v>523</v>
      </c>
      <c r="O78" s="10" t="s">
        <v>4526</v>
      </c>
      <c r="P78" s="44" t="s">
        <v>523</v>
      </c>
      <c r="R78" s="44" t="str">
        <f t="shared" si="3"/>
        <v>INSERT INTO dbo.SysDocumentFile (Guid,RuleSerNo,FileSerNo,BgnDate,EndDate,FileType,FileName,FileExtension,FileSize,FileBinaryData,FileHyperlink,CreateTime,Creator,ModifyTime,Modifier) VALUES ('00000000-0000-0000-0000-000000000077',1,1,'20200101','99991231',1,'SHA費率表','xlsx',1,(SELECT * FROM OPENROWSET(BULK N'D:\Systex\F25B\元大人壽\商品資料\第一批商品\商品資訊\SH\SHA費率表.xlsx', SINGLE_BLOB) AS binarydata),'',GETDATE(),'Alvin',GETDATE(),'Alvin')</v>
      </c>
    </row>
    <row r="79" spans="1:18">
      <c r="A79" s="44" t="s">
        <v>4544</v>
      </c>
      <c r="B79" s="60" t="s">
        <v>4350</v>
      </c>
      <c r="C79" s="39">
        <v>1</v>
      </c>
      <c r="D79" s="39">
        <v>1</v>
      </c>
      <c r="E79" s="39">
        <v>20200101</v>
      </c>
      <c r="F79" s="60">
        <v>99991231</v>
      </c>
      <c r="G79" s="39">
        <v>1</v>
      </c>
      <c r="H79" s="10" t="s">
        <v>506</v>
      </c>
      <c r="I79" s="44" t="s">
        <v>4457</v>
      </c>
      <c r="J79" s="60">
        <v>1</v>
      </c>
      <c r="K79" s="49" t="str">
        <f t="shared" si="4"/>
        <v>D:\Systex\F25B\元大人壽\商品資料\第一批商品\商品資訊\SH\SH.pdf</v>
      </c>
      <c r="M79" s="10" t="s">
        <v>4526</v>
      </c>
      <c r="N79" s="44" t="s">
        <v>523</v>
      </c>
      <c r="O79" s="10" t="s">
        <v>4526</v>
      </c>
      <c r="P79" s="44" t="s">
        <v>523</v>
      </c>
      <c r="R79" s="44" t="str">
        <f t="shared" si="3"/>
        <v>INSERT INTO dbo.SysDocumentFile (Guid,RuleSerNo,FileSerNo,BgnDate,EndDate,FileType,FileName,FileExtension,FileSize,FileBinaryData,FileHyperlink,CreateTime,Creator,ModifyTime,Modifier) VALUES ('00000000-0000-0000-0000-000000000078',1,1,'20200101','99991231',1,'SH','pdf',1,(SELECT * FROM OPENROWSET(BULK N'D:\Systex\F25B\元大人壽\商品資料\第一批商品\商品資訊\SH\SH.pdf', SINGLE_BLOB) AS binarydata),'',GETDATE(),'Alvin',GETDATE(),'Alvin')</v>
      </c>
    </row>
    <row r="80" spans="1:18">
      <c r="A80" s="44" t="s">
        <v>4544</v>
      </c>
      <c r="B80" s="60" t="s">
        <v>4351</v>
      </c>
      <c r="C80" s="39">
        <v>1</v>
      </c>
      <c r="D80" s="39">
        <v>1</v>
      </c>
      <c r="E80" s="39">
        <v>20200101</v>
      </c>
      <c r="F80" s="60">
        <v>99991231</v>
      </c>
      <c r="G80" s="39">
        <v>1</v>
      </c>
      <c r="H80" s="10" t="s">
        <v>4516</v>
      </c>
      <c r="I80" s="44" t="s">
        <v>4457</v>
      </c>
      <c r="J80" s="60">
        <v>1</v>
      </c>
      <c r="K80" s="49" t="str">
        <f t="shared" si="4"/>
        <v>D:\Systex\F25B\元大人壽\商品資料\第一批商品\商品資訊\SH\SH-s.pdf</v>
      </c>
      <c r="M80" s="10" t="s">
        <v>4526</v>
      </c>
      <c r="N80" s="44" t="s">
        <v>523</v>
      </c>
      <c r="O80" s="10" t="s">
        <v>4526</v>
      </c>
      <c r="P80" s="44" t="s">
        <v>523</v>
      </c>
      <c r="R80" s="44" t="str">
        <f t="shared" si="3"/>
        <v>INSERT INTO dbo.SysDocumentFile (Guid,RuleSerNo,FileSerNo,BgnDate,EndDate,FileType,FileName,FileExtension,FileSize,FileBinaryData,FileHyperlink,CreateTime,Creator,ModifyTime,Modifier) VALUES ('00000000-0000-0000-0000-000000000079',1,1,'20200101','99991231',1,'SH-s','pdf',1,(SELECT * FROM OPENROWSET(BULK N'D:\Systex\F25B\元大人壽\商品資料\第一批商品\商品資訊\SH\SH-s.pdf', SINGLE_BLOB) AS binarydata),'',GETDATE(),'Alvin',GETDATE(),'Alvin')</v>
      </c>
    </row>
    <row r="81" spans="1:18">
      <c r="A81" s="44" t="s">
        <v>4545</v>
      </c>
      <c r="B81" s="60" t="s">
        <v>4352</v>
      </c>
      <c r="C81" s="39">
        <v>1</v>
      </c>
      <c r="D81" s="39">
        <v>1</v>
      </c>
      <c r="E81" s="39">
        <v>20200101</v>
      </c>
      <c r="F81" s="60">
        <v>99991231</v>
      </c>
      <c r="G81" s="39">
        <v>1</v>
      </c>
      <c r="H81" s="10" t="s">
        <v>4517</v>
      </c>
      <c r="I81" s="44" t="s">
        <v>4457</v>
      </c>
      <c r="J81" s="60">
        <v>1</v>
      </c>
      <c r="K81" s="49" t="str">
        <f t="shared" si="4"/>
        <v>D:\Systex\F25B\元大人壽\商品資料\第一批商品\商品資訊\TM\TM_文宣字第1090705號.pdf</v>
      </c>
      <c r="M81" s="10" t="s">
        <v>4526</v>
      </c>
      <c r="N81" s="44" t="s">
        <v>523</v>
      </c>
      <c r="O81" s="10" t="s">
        <v>4526</v>
      </c>
      <c r="P81" s="44" t="s">
        <v>523</v>
      </c>
      <c r="R81" s="44" t="str">
        <f t="shared" si="3"/>
        <v>INSERT INTO dbo.SysDocumentFile (Guid,RuleSerNo,FileSerNo,BgnDate,EndDate,FileType,FileName,FileExtension,FileSize,FileBinaryData,FileHyperlink,CreateTime,Creator,ModifyTime,Modifier) VALUES ('00000000-0000-0000-0000-000000000080',1,1,'20200101','99991231',1,'TM_文宣字第1090705號','pdf',1,(SELECT * FROM OPENROWSET(BULK N'D:\Systex\F25B\元大人壽\商品資料\第一批商品\商品資訊\TM\TM_文宣字第1090705號.pdf', SINGLE_BLOB) AS binarydata),'',GETDATE(),'Alvin',GETDATE(),'Alvin')</v>
      </c>
    </row>
    <row r="82" spans="1:18">
      <c r="A82" s="44" t="s">
        <v>4545</v>
      </c>
      <c r="B82" s="60" t="s">
        <v>4353</v>
      </c>
      <c r="C82" s="39">
        <v>1</v>
      </c>
      <c r="D82" s="39">
        <v>1</v>
      </c>
      <c r="E82" s="39">
        <v>20200101</v>
      </c>
      <c r="F82" s="60">
        <v>99991231</v>
      </c>
      <c r="G82" s="39">
        <v>1</v>
      </c>
      <c r="H82" s="10" t="s">
        <v>4518</v>
      </c>
      <c r="I82" s="44" t="s">
        <v>4459</v>
      </c>
      <c r="J82" s="60">
        <v>1</v>
      </c>
      <c r="K82" s="49" t="str">
        <f t="shared" si="4"/>
        <v>D:\Systex\F25B\元大人壽\商品資料\第一批商品\商品資訊\TM\TMD費率表_含保費折扣.xlsx</v>
      </c>
      <c r="M82" s="10" t="s">
        <v>4526</v>
      </c>
      <c r="N82" s="44" t="s">
        <v>523</v>
      </c>
      <c r="O82" s="10" t="s">
        <v>4526</v>
      </c>
      <c r="P82" s="44" t="s">
        <v>523</v>
      </c>
      <c r="R82" s="44" t="str">
        <f t="shared" si="3"/>
        <v>INSERT INTO dbo.SysDocumentFile (Guid,RuleSerNo,FileSerNo,BgnDate,EndDate,FileType,FileName,FileExtension,FileSize,FileBinaryData,FileHyperlink,CreateTime,Creator,ModifyTime,Modifier) VALUES ('00000000-0000-0000-0000-000000000081',1,1,'20200101','99991231',1,'TMD費率表_含保費折扣','xlsx',1,(SELECT * FROM OPENROWSET(BULK N'D:\Systex\F25B\元大人壽\商品資料\第一批商品\商品資訊\TM\TMD費率表_含保費折扣.xlsx', SINGLE_BLOB) AS binarydata),'',GETDATE(),'Alvin',GETDATE(),'Alvin')</v>
      </c>
    </row>
    <row r="83" spans="1:18">
      <c r="A83" s="44" t="s">
        <v>4545</v>
      </c>
      <c r="B83" s="60" t="s">
        <v>4354</v>
      </c>
      <c r="C83" s="39">
        <v>1</v>
      </c>
      <c r="D83" s="39">
        <v>1</v>
      </c>
      <c r="E83" s="39">
        <v>20200101</v>
      </c>
      <c r="F83" s="60">
        <v>99991231</v>
      </c>
      <c r="G83" s="39">
        <v>1</v>
      </c>
      <c r="H83" s="10" t="s">
        <v>504</v>
      </c>
      <c r="I83" s="44" t="s">
        <v>4457</v>
      </c>
      <c r="J83" s="60">
        <v>1</v>
      </c>
      <c r="K83" s="49" t="str">
        <f t="shared" si="4"/>
        <v>D:\Systex\F25B\元大人壽\商品資料\第一批商品\商品資訊\TM\TM.pdf</v>
      </c>
      <c r="M83" s="10" t="s">
        <v>4526</v>
      </c>
      <c r="N83" s="44" t="s">
        <v>523</v>
      </c>
      <c r="O83" s="10" t="s">
        <v>4526</v>
      </c>
      <c r="P83" s="44" t="s">
        <v>523</v>
      </c>
      <c r="R83" s="44" t="str">
        <f t="shared" si="3"/>
        <v>INSERT INTO dbo.SysDocumentFile (Guid,RuleSerNo,FileSerNo,BgnDate,EndDate,FileType,FileName,FileExtension,FileSize,FileBinaryData,FileHyperlink,CreateTime,Creator,ModifyTime,Modifier) VALUES ('00000000-0000-0000-0000-000000000082',1,1,'20200101','99991231',1,'TM','pdf',1,(SELECT * FROM OPENROWSET(BULK N'D:\Systex\F25B\元大人壽\商品資料\第一批商品\商品資訊\TM\TM.pdf', SINGLE_BLOB) AS binarydata),'',GETDATE(),'Alvin',GETDATE(),'Alvin')</v>
      </c>
    </row>
    <row r="84" spans="1:18">
      <c r="A84" s="44" t="s">
        <v>4545</v>
      </c>
      <c r="B84" s="60" t="s">
        <v>4355</v>
      </c>
      <c r="C84" s="39">
        <v>1</v>
      </c>
      <c r="D84" s="39">
        <v>1</v>
      </c>
      <c r="E84" s="39">
        <v>20200101</v>
      </c>
      <c r="F84" s="60">
        <v>99991231</v>
      </c>
      <c r="G84" s="39">
        <v>1</v>
      </c>
      <c r="H84" s="10" t="s">
        <v>4519</v>
      </c>
      <c r="I84" s="44" t="s">
        <v>4457</v>
      </c>
      <c r="J84" s="60">
        <v>1</v>
      </c>
      <c r="K84" s="49" t="str">
        <f t="shared" si="4"/>
        <v>D:\Systex\F25B\元大人壽\商品資料\第一批商品\商品資訊\TM\TM-s.pdf</v>
      </c>
      <c r="M84" s="10" t="s">
        <v>4526</v>
      </c>
      <c r="N84" s="44" t="s">
        <v>523</v>
      </c>
      <c r="O84" s="10" t="s">
        <v>4526</v>
      </c>
      <c r="P84" s="44" t="s">
        <v>523</v>
      </c>
      <c r="R84" s="44" t="str">
        <f t="shared" si="3"/>
        <v>INSERT INTO dbo.SysDocumentFile (Guid,RuleSerNo,FileSerNo,BgnDate,EndDate,FileType,FileName,FileExtension,FileSize,FileBinaryData,FileHyperlink,CreateTime,Creator,ModifyTime,Modifier) VALUES ('00000000-0000-0000-0000-000000000083',1,1,'20200101','99991231',1,'TM-s','pdf',1,(SELECT * FROM OPENROWSET(BULK N'D:\Systex\F25B\元大人壽\商品資料\第一批商品\商品資訊\TM\TM-s.pdf', SINGLE_BLOB) AS binarydata),'',GETDATE(),'Alvin',GETDATE(),'Alvin')</v>
      </c>
    </row>
    <row r="85" spans="1:18">
      <c r="A85" s="44" t="s">
        <v>4546</v>
      </c>
      <c r="B85" s="60" t="s">
        <v>4356</v>
      </c>
      <c r="C85" s="39">
        <v>1</v>
      </c>
      <c r="D85" s="39">
        <v>1</v>
      </c>
      <c r="E85" s="39">
        <v>20200101</v>
      </c>
      <c r="F85" s="60">
        <v>99991231</v>
      </c>
      <c r="G85" s="39">
        <v>1</v>
      </c>
      <c r="H85" s="10" t="s">
        <v>4520</v>
      </c>
      <c r="I85" s="44" t="s">
        <v>4457</v>
      </c>
      <c r="J85" s="60">
        <v>1</v>
      </c>
      <c r="K85" s="49" t="str">
        <f t="shared" si="4"/>
        <v>D:\Systex\F25B\元大人壽\商品資料\第一批商品\商品資訊\WB\WB_文宣字第109027號.pdf</v>
      </c>
      <c r="M85" s="10" t="s">
        <v>4526</v>
      </c>
      <c r="N85" s="44" t="s">
        <v>523</v>
      </c>
      <c r="O85" s="10" t="s">
        <v>4526</v>
      </c>
      <c r="P85" s="44" t="s">
        <v>523</v>
      </c>
      <c r="R85" s="44" t="str">
        <f t="shared" si="3"/>
        <v>INSERT INTO dbo.SysDocumentFile (Guid,RuleSerNo,FileSerNo,BgnDate,EndDate,FileType,FileName,FileExtension,FileSize,FileBinaryData,FileHyperlink,CreateTime,Creator,ModifyTime,Modifier) VALUES ('00000000-0000-0000-0000-000000000084',1,1,'20200101','99991231',1,'WB_文宣字第109027號','pdf',1,(SELECT * FROM OPENROWSET(BULK N'D:\Systex\F25B\元大人壽\商品資料\第一批商品\商品資訊\WB\WB_文宣字第109027號.pdf', SINGLE_BLOB) AS binarydata),'',GETDATE(),'Alvin',GETDATE(),'Alvin')</v>
      </c>
    </row>
    <row r="86" spans="1:18">
      <c r="A86" s="44" t="s">
        <v>4546</v>
      </c>
      <c r="B86" s="60" t="s">
        <v>4357</v>
      </c>
      <c r="C86" s="39">
        <v>1</v>
      </c>
      <c r="D86" s="39">
        <v>1</v>
      </c>
      <c r="E86" s="39">
        <v>20200101</v>
      </c>
      <c r="F86" s="60">
        <v>99991231</v>
      </c>
      <c r="G86" s="39">
        <v>1</v>
      </c>
      <c r="H86" s="10" t="s">
        <v>4521</v>
      </c>
      <c r="I86" s="44" t="s">
        <v>4459</v>
      </c>
      <c r="J86" s="60">
        <v>1</v>
      </c>
      <c r="K86" s="49" t="str">
        <f t="shared" si="4"/>
        <v>D:\Systex\F25B\元大人壽\商品資料\第一批商品\商品資訊\WB\WBA費率表_含保費折扣.xlsx</v>
      </c>
      <c r="M86" s="10" t="s">
        <v>4526</v>
      </c>
      <c r="N86" s="44" t="s">
        <v>523</v>
      </c>
      <c r="O86" s="10" t="s">
        <v>4526</v>
      </c>
      <c r="P86" s="44" t="s">
        <v>523</v>
      </c>
      <c r="R86" s="44" t="str">
        <f t="shared" si="3"/>
        <v>INSERT INTO dbo.SysDocumentFile (Guid,RuleSerNo,FileSerNo,BgnDate,EndDate,FileType,FileName,FileExtension,FileSize,FileBinaryData,FileHyperlink,CreateTime,Creator,ModifyTime,Modifier) VALUES ('00000000-0000-0000-0000-000000000085',1,1,'20200101','99991231',1,'WBA費率表_含保費折扣','xlsx',1,(SELECT * FROM OPENROWSET(BULK N'D:\Systex\F25B\元大人壽\商品資料\第一批商品\商品資訊\WB\WBA費率表_含保費折扣.xlsx', SINGLE_BLOB) AS binarydata),'',GETDATE(),'Alvin',GETDATE(),'Alvin')</v>
      </c>
    </row>
    <row r="87" spans="1:18">
      <c r="A87" s="44" t="s">
        <v>4546</v>
      </c>
      <c r="B87" s="60" t="s">
        <v>4358</v>
      </c>
      <c r="C87" s="39">
        <v>1</v>
      </c>
      <c r="D87" s="39">
        <v>1</v>
      </c>
      <c r="E87" s="39">
        <v>20200101</v>
      </c>
      <c r="F87" s="60">
        <v>99991231</v>
      </c>
      <c r="G87" s="39">
        <v>1</v>
      </c>
      <c r="H87" s="10" t="s">
        <v>514</v>
      </c>
      <c r="I87" s="44" t="s">
        <v>4457</v>
      </c>
      <c r="J87" s="60">
        <v>1</v>
      </c>
      <c r="K87" s="49" t="str">
        <f t="shared" si="4"/>
        <v>D:\Systex\F25B\元大人壽\商品資料\第一批商品\商品資訊\WB\WB.pdf</v>
      </c>
      <c r="M87" s="10" t="s">
        <v>4526</v>
      </c>
      <c r="N87" s="44" t="s">
        <v>523</v>
      </c>
      <c r="O87" s="10" t="s">
        <v>4526</v>
      </c>
      <c r="P87" s="44" t="s">
        <v>523</v>
      </c>
      <c r="R87" s="44" t="str">
        <f t="shared" si="3"/>
        <v>INSERT INTO dbo.SysDocumentFile (Guid,RuleSerNo,FileSerNo,BgnDate,EndDate,FileType,FileName,FileExtension,FileSize,FileBinaryData,FileHyperlink,CreateTime,Creator,ModifyTime,Modifier) VALUES ('00000000-0000-0000-0000-000000000086',1,1,'20200101','99991231',1,'WB','pdf',1,(SELECT * FROM OPENROWSET(BULK N'D:\Systex\F25B\元大人壽\商品資料\第一批商品\商品資訊\WB\WB.pdf', SINGLE_BLOB) AS binarydata),'',GETDATE(),'Alvin',GETDATE(),'Alvin')</v>
      </c>
    </row>
    <row r="88" spans="1:18">
      <c r="A88" s="44" t="s">
        <v>4546</v>
      </c>
      <c r="B88" s="60" t="s">
        <v>4359</v>
      </c>
      <c r="C88" s="39">
        <v>1</v>
      </c>
      <c r="D88" s="39">
        <v>1</v>
      </c>
      <c r="E88" s="39">
        <v>20200101</v>
      </c>
      <c r="F88" s="60">
        <v>99991231</v>
      </c>
      <c r="G88" s="39">
        <v>1</v>
      </c>
      <c r="H88" s="10" t="s">
        <v>4522</v>
      </c>
      <c r="I88" s="44" t="s">
        <v>4457</v>
      </c>
      <c r="J88" s="60">
        <v>1</v>
      </c>
      <c r="K88" s="49" t="str">
        <f t="shared" si="4"/>
        <v>D:\Systex\F25B\元大人壽\商品資料\第一批商品\商品資訊\WB\WB-s.pdf</v>
      </c>
      <c r="M88" s="10" t="s">
        <v>4526</v>
      </c>
      <c r="N88" s="44" t="s">
        <v>523</v>
      </c>
      <c r="O88" s="10" t="s">
        <v>4526</v>
      </c>
      <c r="P88" s="44" t="s">
        <v>523</v>
      </c>
      <c r="R88" s="44" t="str">
        <f t="shared" si="3"/>
        <v>INSERT INTO dbo.SysDocumentFile (Guid,RuleSerNo,FileSerNo,BgnDate,EndDate,FileType,FileName,FileExtension,FileSize,FileBinaryData,FileHyperlink,CreateTime,Creator,ModifyTime,Modifier) VALUES ('00000000-0000-0000-0000-000000000087',1,1,'20200101','99991231',1,'WB-s','pdf',1,(SELECT * FROM OPENROWSET(BULK N'D:\Systex\F25B\元大人壽\商品資料\第一批商品\商品資訊\WB\WB-s.pdf', SINGLE_BLOB) AS binarydata),'',GETDATE(),'Alvin',GETDATE(),'Alvin')</v>
      </c>
    </row>
    <row r="89" spans="1:18">
      <c r="A89" s="44" t="s">
        <v>4547</v>
      </c>
      <c r="B89" s="60" t="s">
        <v>4360</v>
      </c>
      <c r="C89" s="39">
        <v>1</v>
      </c>
      <c r="D89" s="39">
        <v>1</v>
      </c>
      <c r="E89" s="39">
        <v>20200101</v>
      </c>
      <c r="F89" s="60">
        <v>99991231</v>
      </c>
      <c r="G89" s="39">
        <v>1</v>
      </c>
      <c r="H89" s="10" t="s">
        <v>4523</v>
      </c>
      <c r="I89" s="44" t="s">
        <v>4457</v>
      </c>
      <c r="J89" s="60">
        <v>1</v>
      </c>
      <c r="K89" s="49" t="str">
        <f t="shared" si="4"/>
        <v>D:\Systex\F25B\元大人壽\商品資料\第一批商品\商品資訊\WD\WD_文宣字第109051號.pdf</v>
      </c>
      <c r="M89" s="10" t="s">
        <v>4526</v>
      </c>
      <c r="N89" s="44" t="s">
        <v>523</v>
      </c>
      <c r="O89" s="10" t="s">
        <v>4526</v>
      </c>
      <c r="P89" s="44" t="s">
        <v>523</v>
      </c>
      <c r="R89" s="44" t="str">
        <f t="shared" si="3"/>
        <v>INSERT INTO dbo.SysDocumentFile (Guid,RuleSerNo,FileSerNo,BgnDate,EndDate,FileType,FileName,FileExtension,FileSize,FileBinaryData,FileHyperlink,CreateTime,Creator,ModifyTime,Modifier) VALUES ('00000000-0000-0000-0000-000000000088',1,1,'20200101','99991231',1,'WD_文宣字第109051號','pdf',1,(SELECT * FROM OPENROWSET(BULK N'D:\Systex\F25B\元大人壽\商品資料\第一批商品\商品資訊\WD\WD_文宣字第109051號.pdf', SINGLE_BLOB) AS binarydata),'',GETDATE(),'Alvin',GETDATE(),'Alvin')</v>
      </c>
    </row>
    <row r="90" spans="1:18">
      <c r="A90" s="44" t="s">
        <v>4547</v>
      </c>
      <c r="B90" s="60" t="s">
        <v>4361</v>
      </c>
      <c r="C90" s="39">
        <v>1</v>
      </c>
      <c r="D90" s="39">
        <v>1</v>
      </c>
      <c r="E90" s="39">
        <v>20200101</v>
      </c>
      <c r="F90" s="60">
        <v>99991231</v>
      </c>
      <c r="G90" s="39">
        <v>1</v>
      </c>
      <c r="H90" s="10" t="s">
        <v>4524</v>
      </c>
      <c r="I90" s="44" t="s">
        <v>4459</v>
      </c>
      <c r="J90" s="60">
        <v>1</v>
      </c>
      <c r="K90" s="49" t="str">
        <f t="shared" si="4"/>
        <v>D:\Systex\F25B\元大人壽\商品資料\第一批商品\商品資訊\WD\WDA費率表_含保費折扣.xlsx</v>
      </c>
      <c r="M90" s="10" t="s">
        <v>4526</v>
      </c>
      <c r="N90" s="44" t="s">
        <v>523</v>
      </c>
      <c r="O90" s="10" t="s">
        <v>4526</v>
      </c>
      <c r="P90" s="44" t="s">
        <v>523</v>
      </c>
      <c r="R90" s="44" t="str">
        <f t="shared" si="3"/>
        <v>INSERT INTO dbo.SysDocumentFile (Guid,RuleSerNo,FileSerNo,BgnDate,EndDate,FileType,FileName,FileExtension,FileSize,FileBinaryData,FileHyperlink,CreateTime,Creator,ModifyTime,Modifier) VALUES ('00000000-0000-0000-0000-000000000089',1,1,'20200101','99991231',1,'WDA費率表_含保費折扣','xlsx',1,(SELECT * FROM OPENROWSET(BULK N'D:\Systex\F25B\元大人壽\商品資料\第一批商品\商品資訊\WD\WDA費率表_含保費折扣.xlsx', SINGLE_BLOB) AS binarydata),'',GETDATE(),'Alvin',GETDATE(),'Alvin')</v>
      </c>
    </row>
    <row r="91" spans="1:18">
      <c r="A91" s="44" t="s">
        <v>4547</v>
      </c>
      <c r="B91" s="60" t="s">
        <v>4362</v>
      </c>
      <c r="C91" s="39">
        <v>1</v>
      </c>
      <c r="D91" s="39">
        <v>1</v>
      </c>
      <c r="E91" s="39">
        <v>20200101</v>
      </c>
      <c r="F91" s="60">
        <v>99991231</v>
      </c>
      <c r="G91" s="39">
        <v>1</v>
      </c>
      <c r="H91" s="10" t="s">
        <v>515</v>
      </c>
      <c r="I91" s="44" t="s">
        <v>4457</v>
      </c>
      <c r="J91" s="60">
        <v>1</v>
      </c>
      <c r="K91" s="49" t="str">
        <f t="shared" si="4"/>
        <v>D:\Systex\F25B\元大人壽\商品資料\第一批商品\商品資訊\WD\WD.pdf</v>
      </c>
      <c r="M91" s="10" t="s">
        <v>4526</v>
      </c>
      <c r="N91" s="44" t="s">
        <v>523</v>
      </c>
      <c r="O91" s="10" t="s">
        <v>4526</v>
      </c>
      <c r="P91" s="44" t="s">
        <v>523</v>
      </c>
      <c r="R91" s="44" t="str">
        <f t="shared" si="3"/>
        <v>INSERT INTO dbo.SysDocumentFile (Guid,RuleSerNo,FileSerNo,BgnDate,EndDate,FileType,FileName,FileExtension,FileSize,FileBinaryData,FileHyperlink,CreateTime,Creator,ModifyTime,Modifier) VALUES ('00000000-0000-0000-0000-000000000090',1,1,'20200101','99991231',1,'WD','pdf',1,(SELECT * FROM OPENROWSET(BULK N'D:\Systex\F25B\元大人壽\商品資料\第一批商品\商品資訊\WD\WD.pdf', SINGLE_BLOB) AS binarydata),'',GETDATE(),'Alvin',GETDATE(),'Alvin')</v>
      </c>
    </row>
    <row r="92" spans="1:18">
      <c r="A92" s="44" t="s">
        <v>4547</v>
      </c>
      <c r="B92" s="60" t="s">
        <v>4363</v>
      </c>
      <c r="C92" s="39">
        <v>1</v>
      </c>
      <c r="D92" s="39">
        <v>1</v>
      </c>
      <c r="E92" s="39">
        <v>20200101</v>
      </c>
      <c r="F92" s="60">
        <v>99991231</v>
      </c>
      <c r="G92" s="39">
        <v>1</v>
      </c>
      <c r="H92" s="10" t="s">
        <v>4525</v>
      </c>
      <c r="I92" s="44" t="s">
        <v>4457</v>
      </c>
      <c r="J92" s="60">
        <v>1</v>
      </c>
      <c r="K92" s="49" t="str">
        <f t="shared" si="4"/>
        <v>D:\Systex\F25B\元大人壽\商品資料\第一批商品\商品資訊\WD\WD-s.pdf</v>
      </c>
      <c r="M92" s="10" t="s">
        <v>4526</v>
      </c>
      <c r="N92" s="44" t="s">
        <v>523</v>
      </c>
      <c r="O92" s="10" t="s">
        <v>4526</v>
      </c>
      <c r="P92" s="44" t="s">
        <v>523</v>
      </c>
      <c r="R92" s="44" t="str">
        <f t="shared" si="3"/>
        <v>INSERT INTO dbo.SysDocumentFile (Guid,RuleSerNo,FileSerNo,BgnDate,EndDate,FileType,FileName,FileExtension,FileSize,FileBinaryData,FileHyperlink,CreateTime,Creator,ModifyTime,Modifier) VALUES ('00000000-0000-0000-0000-000000000091',1,1,'20200101','99991231',1,'WD-s','pdf',1,(SELECT * FROM OPENROWSET(BULK N'D:\Systex\F25B\元大人壽\商品資料\第一批商品\商品資訊\WD\WD-s.pdf', SINGLE_BLOB) AS binarydata),'',GETDATE(),'Alvin',GETDATE(),'Alvin')</v>
      </c>
    </row>
    <row r="93" spans="1:18">
      <c r="A93" s="44" t="s">
        <v>4585</v>
      </c>
      <c r="B93" s="60" t="s">
        <v>4566</v>
      </c>
      <c r="C93" s="39">
        <v>1</v>
      </c>
      <c r="D93" s="39">
        <v>1</v>
      </c>
      <c r="E93" s="39">
        <v>20200101</v>
      </c>
      <c r="F93" s="60">
        <v>99991231</v>
      </c>
      <c r="G93" s="39">
        <v>1</v>
      </c>
      <c r="H93" s="44" t="s">
        <v>4587</v>
      </c>
      <c r="I93" s="44" t="s">
        <v>4589</v>
      </c>
      <c r="J93" s="39">
        <v>1</v>
      </c>
      <c r="K93" s="49" t="str">
        <f t="shared" si="4"/>
        <v>D:\Systex\F25B\元大人壽\商品資料\第一批商品\商品資訊\WH\DM_WH.pdf</v>
      </c>
      <c r="M93" s="10" t="s">
        <v>4526</v>
      </c>
      <c r="N93" s="44" t="s">
        <v>523</v>
      </c>
      <c r="O93" s="10" t="s">
        <v>4526</v>
      </c>
      <c r="P93" s="44" t="s">
        <v>523</v>
      </c>
      <c r="R93" s="44" t="str">
        <f t="shared" si="3"/>
        <v>INSERT INTO dbo.SysDocumentFile (Guid,RuleSerNo,FileSerNo,BgnDate,EndDate,FileType,FileName,FileExtension,FileSize,FileBinaryData,FileHyperlink,CreateTime,Creator,ModifyTime,Modifier) VALUES ('00000000-0000-0000-0000-000000000092',1,1,'20200101','99991231',1,'DM_WH','pdf',1,(SELECT * FROM OPENROWSET(BULK N'D:\Systex\F25B\元大人壽\商品資料\第一批商品\商品資訊\WH\DM_WH.pdf', SINGLE_BLOB) AS binarydata),'',GETDATE(),'Alvin',GETDATE(),'Alvin')</v>
      </c>
    </row>
    <row r="94" spans="1:18">
      <c r="A94" s="44" t="s">
        <v>4585</v>
      </c>
      <c r="B94" s="60" t="s">
        <v>4567</v>
      </c>
      <c r="C94" s="39">
        <v>1</v>
      </c>
      <c r="D94" s="39">
        <v>1</v>
      </c>
      <c r="E94" s="39">
        <v>20200101</v>
      </c>
      <c r="F94" s="60">
        <v>99991231</v>
      </c>
      <c r="G94" s="39">
        <v>1</v>
      </c>
      <c r="H94" s="44" t="s">
        <v>4590</v>
      </c>
      <c r="I94" s="44" t="s">
        <v>4459</v>
      </c>
      <c r="J94" s="39">
        <v>1</v>
      </c>
      <c r="K94" s="49" t="str">
        <f t="shared" si="4"/>
        <v>D:\Systex\F25B\元大人壽\商品資料\第一批商品\商品資訊\WH\WHA費率表_含保費折扣.xlsx</v>
      </c>
      <c r="M94" s="10" t="s">
        <v>4526</v>
      </c>
      <c r="N94" s="44" t="s">
        <v>523</v>
      </c>
      <c r="O94" s="10" t="s">
        <v>4526</v>
      </c>
      <c r="P94" s="44" t="s">
        <v>523</v>
      </c>
      <c r="R94" s="44" t="str">
        <f t="shared" si="3"/>
        <v>INSERT INTO dbo.SysDocumentFile (Guid,RuleSerNo,FileSerNo,BgnDate,EndDate,FileType,FileName,FileExtension,FileSize,FileBinaryData,FileHyperlink,CreateTime,Creator,ModifyTime,Modifier) VALUES ('00000000-0000-0000-0000-000000000093',1,1,'20200101','99991231',1,'WHA費率表_含保費折扣','xlsx',1,(SELECT * FROM OPENROWSET(BULK N'D:\Systex\F25B\元大人壽\商品資料\第一批商品\商品資訊\WH\WHA費率表_含保費折扣.xlsx', SINGLE_BLOB) AS binarydata),'',GETDATE(),'Alvin',GETDATE(),'Alvin')</v>
      </c>
    </row>
    <row r="95" spans="1:18">
      <c r="A95" s="44" t="s">
        <v>4585</v>
      </c>
      <c r="B95" s="60" t="s">
        <v>4568</v>
      </c>
      <c r="C95" s="39">
        <v>1</v>
      </c>
      <c r="D95" s="39">
        <v>1</v>
      </c>
      <c r="E95" s="39">
        <v>20200101</v>
      </c>
      <c r="F95" s="60">
        <v>99991231</v>
      </c>
      <c r="G95" s="39">
        <v>1</v>
      </c>
      <c r="H95" s="44" t="s">
        <v>4585</v>
      </c>
      <c r="I95" s="44" t="s">
        <v>4589</v>
      </c>
      <c r="J95" s="39">
        <v>1</v>
      </c>
      <c r="K95" s="49" t="str">
        <f t="shared" si="4"/>
        <v>D:\Systex\F25B\元大人壽\商品資料\第一批商品\商品資訊\WH\WH.pdf</v>
      </c>
      <c r="M95" s="10" t="s">
        <v>4526</v>
      </c>
      <c r="N95" s="44" t="s">
        <v>523</v>
      </c>
      <c r="O95" s="10" t="s">
        <v>4526</v>
      </c>
      <c r="P95" s="44" t="s">
        <v>523</v>
      </c>
      <c r="R95" s="44" t="str">
        <f t="shared" si="3"/>
        <v>INSERT INTO dbo.SysDocumentFile (Guid,RuleSerNo,FileSerNo,BgnDate,EndDate,FileType,FileName,FileExtension,FileSize,FileBinaryData,FileHyperlink,CreateTime,Creator,ModifyTime,Modifier) VALUES ('00000000-0000-0000-0000-000000000094',1,1,'20200101','99991231',1,'WH','pdf',1,(SELECT * FROM OPENROWSET(BULK N'D:\Systex\F25B\元大人壽\商品資料\第一批商品\商品資訊\WH\WH.pdf', SINGLE_BLOB) AS binarydata),'',GETDATE(),'Alvin',GETDATE(),'Alvin')</v>
      </c>
    </row>
    <row r="96" spans="1:18">
      <c r="A96" s="44" t="s">
        <v>4585</v>
      </c>
      <c r="B96" s="60" t="s">
        <v>4569</v>
      </c>
      <c r="C96" s="39">
        <v>1</v>
      </c>
      <c r="D96" s="39">
        <v>1</v>
      </c>
      <c r="E96" s="39">
        <v>20200101</v>
      </c>
      <c r="F96" s="60">
        <v>99991231</v>
      </c>
      <c r="G96" s="39">
        <v>1</v>
      </c>
      <c r="H96" s="44" t="s">
        <v>4591</v>
      </c>
      <c r="I96" s="44" t="s">
        <v>4589</v>
      </c>
      <c r="J96" s="39">
        <v>1</v>
      </c>
      <c r="K96" s="49" t="str">
        <f t="shared" si="4"/>
        <v>D:\Systex\F25B\元大人壽\商品資料\第一批商品\商品資訊\WH\WH-s.pdf</v>
      </c>
      <c r="M96" s="10" t="s">
        <v>4526</v>
      </c>
      <c r="N96" s="44" t="s">
        <v>523</v>
      </c>
      <c r="O96" s="10" t="s">
        <v>4526</v>
      </c>
      <c r="P96" s="44" t="s">
        <v>523</v>
      </c>
      <c r="R96" s="44" t="str">
        <f t="shared" si="3"/>
        <v>INSERT INTO dbo.SysDocumentFile (Guid,RuleSerNo,FileSerNo,BgnDate,EndDate,FileType,FileName,FileExtension,FileSize,FileBinaryData,FileHyperlink,CreateTime,Creator,ModifyTime,Modifier) VALUES ('00000000-0000-0000-0000-000000000095',1,1,'20200101','99991231',1,'WH-s','pdf',1,(SELECT * FROM OPENROWSET(BULK N'D:\Systex\F25B\元大人壽\商品資料\第一批商品\商品資訊\WH\WH-s.pdf', SINGLE_BLOB) AS binarydata),'',GETDATE(),'Alvin',GETDATE(),'Alvin')</v>
      </c>
    </row>
    <row r="97" spans="1:18">
      <c r="A97" s="44" t="s">
        <v>4586</v>
      </c>
      <c r="B97" s="60" t="s">
        <v>4570</v>
      </c>
      <c r="C97" s="39">
        <v>1</v>
      </c>
      <c r="D97" s="39">
        <v>1</v>
      </c>
      <c r="E97" s="39">
        <v>20200101</v>
      </c>
      <c r="F97" s="60">
        <v>99991231</v>
      </c>
      <c r="G97" s="39">
        <v>1</v>
      </c>
      <c r="H97" s="44" t="s">
        <v>4588</v>
      </c>
      <c r="I97" s="44" t="s">
        <v>4589</v>
      </c>
      <c r="J97" s="39">
        <v>1</v>
      </c>
      <c r="K97" s="49" t="str">
        <f t="shared" si="4"/>
        <v>D:\Systex\F25B\元大人壽\商品資料\第一批商品\商品資訊\WI\DM_WI.pdf</v>
      </c>
      <c r="M97" s="10" t="s">
        <v>4526</v>
      </c>
      <c r="N97" s="44" t="s">
        <v>523</v>
      </c>
      <c r="O97" s="10" t="s">
        <v>4526</v>
      </c>
      <c r="P97" s="44" t="s">
        <v>523</v>
      </c>
      <c r="R97" s="44" t="str">
        <f t="shared" si="3"/>
        <v>INSERT INTO dbo.SysDocumentFile (Guid,RuleSerNo,FileSerNo,BgnDate,EndDate,FileType,FileName,FileExtension,FileSize,FileBinaryData,FileHyperlink,CreateTime,Creator,ModifyTime,Modifier) VALUES ('00000000-0000-0000-0000-000000000096',1,1,'20200101','99991231',1,'DM_WI','pdf',1,(SELECT * FROM OPENROWSET(BULK N'D:\Systex\F25B\元大人壽\商品資料\第一批商品\商品資訊\WI\DM_WI.pdf', SINGLE_BLOB) AS binarydata),'',GETDATE(),'Alvin',GETDATE(),'Alvin')</v>
      </c>
    </row>
    <row r="98" spans="1:18">
      <c r="A98" s="44" t="s">
        <v>4586</v>
      </c>
      <c r="B98" s="60" t="s">
        <v>4571</v>
      </c>
      <c r="C98" s="39">
        <v>1</v>
      </c>
      <c r="D98" s="39">
        <v>1</v>
      </c>
      <c r="E98" s="39">
        <v>20200101</v>
      </c>
      <c r="F98" s="60">
        <v>99991231</v>
      </c>
      <c r="G98" s="39">
        <v>1</v>
      </c>
      <c r="H98" s="44" t="s">
        <v>4592</v>
      </c>
      <c r="I98" s="44" t="s">
        <v>4459</v>
      </c>
      <c r="J98" s="39">
        <v>1</v>
      </c>
      <c r="K98" s="49" t="str">
        <f t="shared" si="4"/>
        <v>D:\Systex\F25B\元大人壽\商品資料\第一批商品\商品資訊\WI\WIA費率表_含保費折扣.xlsx</v>
      </c>
      <c r="M98" s="10" t="s">
        <v>4526</v>
      </c>
      <c r="N98" s="44" t="s">
        <v>523</v>
      </c>
      <c r="O98" s="10" t="s">
        <v>4526</v>
      </c>
      <c r="P98" s="44" t="s">
        <v>523</v>
      </c>
      <c r="R98" s="44" t="str">
        <f t="shared" si="3"/>
        <v>INSERT INTO dbo.SysDocumentFile (Guid,RuleSerNo,FileSerNo,BgnDate,EndDate,FileType,FileName,FileExtension,FileSize,FileBinaryData,FileHyperlink,CreateTime,Creator,ModifyTime,Modifier) VALUES ('00000000-0000-0000-0000-000000000097',1,1,'20200101','99991231',1,'WIA費率表_含保費折扣','xlsx',1,(SELECT * FROM OPENROWSET(BULK N'D:\Systex\F25B\元大人壽\商品資料\第一批商品\商品資訊\WI\WIA費率表_含保費折扣.xlsx', SINGLE_BLOB) AS binarydata),'',GETDATE(),'Alvin',GETDATE(),'Alvin')</v>
      </c>
    </row>
    <row r="99" spans="1:18">
      <c r="A99" s="44" t="s">
        <v>4586</v>
      </c>
      <c r="B99" s="60" t="s">
        <v>4572</v>
      </c>
      <c r="C99" s="39">
        <v>1</v>
      </c>
      <c r="D99" s="39">
        <v>1</v>
      </c>
      <c r="E99" s="39">
        <v>20200101</v>
      </c>
      <c r="F99" s="60">
        <v>99991231</v>
      </c>
      <c r="G99" s="39">
        <v>1</v>
      </c>
      <c r="H99" s="44" t="s">
        <v>517</v>
      </c>
      <c r="I99" s="44" t="s">
        <v>4589</v>
      </c>
      <c r="J99" s="39">
        <v>1</v>
      </c>
      <c r="K99" s="49" t="str">
        <f t="shared" si="4"/>
        <v>D:\Systex\F25B\元大人壽\商品資料\第一批商品\商品資訊\WI\WI.pdf</v>
      </c>
      <c r="M99" s="10" t="s">
        <v>4526</v>
      </c>
      <c r="N99" s="44" t="s">
        <v>523</v>
      </c>
      <c r="O99" s="10" t="s">
        <v>4526</v>
      </c>
      <c r="P99" s="44" t="s">
        <v>523</v>
      </c>
      <c r="R99" s="44" t="str">
        <f t="shared" si="3"/>
        <v>INSERT INTO dbo.SysDocumentFile (Guid,RuleSerNo,FileSerNo,BgnDate,EndDate,FileType,FileName,FileExtension,FileSize,FileBinaryData,FileHyperlink,CreateTime,Creator,ModifyTime,Modifier) VALUES ('00000000-0000-0000-0000-000000000098',1,1,'20200101','99991231',1,'WI','pdf',1,(SELECT * FROM OPENROWSET(BULK N'D:\Systex\F25B\元大人壽\商品資料\第一批商品\商品資訊\WI\WI.pdf', SINGLE_BLOB) AS binarydata),'',GETDATE(),'Alvin',GETDATE(),'Alvin')</v>
      </c>
    </row>
    <row r="100" spans="1:18">
      <c r="A100" s="44" t="s">
        <v>4586</v>
      </c>
      <c r="B100" s="60" t="s">
        <v>4573</v>
      </c>
      <c r="C100" s="39">
        <v>1</v>
      </c>
      <c r="D100" s="39">
        <v>1</v>
      </c>
      <c r="E100" s="39">
        <v>20200101</v>
      </c>
      <c r="F100" s="60">
        <v>99991231</v>
      </c>
      <c r="G100" s="39">
        <v>1</v>
      </c>
      <c r="H100" s="44" t="s">
        <v>4593</v>
      </c>
      <c r="I100" s="44" t="s">
        <v>4589</v>
      </c>
      <c r="J100" s="39">
        <v>1</v>
      </c>
      <c r="K100" s="49" t="str">
        <f t="shared" si="4"/>
        <v>D:\Systex\F25B\元大人壽\商品資料\第一批商品\商品資訊\WI\WI-s.pdf</v>
      </c>
      <c r="M100" s="10" t="s">
        <v>4526</v>
      </c>
      <c r="N100" s="44" t="s">
        <v>523</v>
      </c>
      <c r="O100" s="10" t="s">
        <v>4526</v>
      </c>
      <c r="P100" s="44" t="s">
        <v>523</v>
      </c>
      <c r="R100" s="44" t="str">
        <f t="shared" si="3"/>
        <v>INSERT INTO dbo.SysDocumentFile (Guid,RuleSerNo,FileSerNo,BgnDate,EndDate,FileType,FileName,FileExtension,FileSize,FileBinaryData,FileHyperlink,CreateTime,Creator,ModifyTime,Modifier) VALUES ('00000000-0000-0000-0000-000000000099',1,1,'20200101','99991231',1,'WI-s','pdf',1,(SELECT * FROM OPENROWSET(BULK N'D:\Systex\F25B\元大人壽\商品資料\第一批商品\商品資訊\WI\WI-s.pdf', SINGLE_BLOB) AS binarydata),'',GETDATE(),'Alvin',GETDATE(),'Alvin')</v>
      </c>
    </row>
    <row r="101" spans="1:18">
      <c r="F101" s="60"/>
    </row>
  </sheetData>
  <phoneticPr fontId="3" type="noConversion"/>
  <hyperlinks>
    <hyperlink ref="A1" location="目錄!A1" display="回到目錄"/>
  </hyperlinks>
  <pageMargins left="0.7" right="0.7" top="0.75" bottom="0.75" header="0.3" footer="0.3"/>
  <pageSetup paperSize="9" orientation="portrait" horizontalDpi="300" verticalDpi="300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/>
  </sheetViews>
  <sheetFormatPr defaultRowHeight="13.8"/>
  <cols>
    <col min="1" max="1" width="7.453125" style="10" bestFit="1" customWidth="1"/>
    <col min="2" max="2" width="4.36328125" style="10" bestFit="1" customWidth="1"/>
    <col min="3" max="3" width="23.1796875" style="10" bestFit="1" customWidth="1"/>
    <col min="4" max="4" width="12.54296875" style="10" bestFit="1" customWidth="1"/>
    <col min="5" max="5" width="7.54296875" style="10" bestFit="1" customWidth="1"/>
    <col min="6" max="6" width="10" style="10" bestFit="1" customWidth="1"/>
    <col min="7" max="7" width="13.26953125" style="10" customWidth="1"/>
    <col min="8" max="8" width="35.7265625" style="10" bestFit="1" customWidth="1"/>
    <col min="9" max="9" width="11.7265625" style="10" customWidth="1"/>
    <col min="10" max="16384" width="8.7265625" style="10"/>
  </cols>
  <sheetData>
    <row r="1" spans="1:9">
      <c r="A1" s="63" t="s">
        <v>36</v>
      </c>
      <c r="B1" s="5" t="s">
        <v>5</v>
      </c>
      <c r="C1" s="20" t="s">
        <v>3</v>
      </c>
      <c r="D1" s="20" t="s">
        <v>4</v>
      </c>
      <c r="E1" s="7" t="s">
        <v>6</v>
      </c>
      <c r="F1" s="9" t="s">
        <v>13</v>
      </c>
      <c r="G1" s="9" t="s">
        <v>7</v>
      </c>
      <c r="H1" s="9" t="s">
        <v>8</v>
      </c>
      <c r="I1" s="9" t="s">
        <v>105</v>
      </c>
    </row>
    <row r="2" spans="1:9">
      <c r="A2" s="15"/>
      <c r="B2" s="14" t="s">
        <v>14</v>
      </c>
      <c r="C2" s="47" t="s">
        <v>372</v>
      </c>
      <c r="D2" s="47" t="s">
        <v>23</v>
      </c>
      <c r="E2" s="46"/>
      <c r="F2" s="45"/>
      <c r="G2" s="45" t="s">
        <v>97</v>
      </c>
      <c r="H2" s="34" t="s">
        <v>2989</v>
      </c>
      <c r="I2" s="27"/>
    </row>
    <row r="3" spans="1:9">
      <c r="A3" s="15"/>
      <c r="B3" s="14"/>
      <c r="C3" s="15" t="s">
        <v>4968</v>
      </c>
      <c r="D3" s="12" t="s">
        <v>242</v>
      </c>
      <c r="E3" s="11"/>
      <c r="G3" s="13" t="s">
        <v>4975</v>
      </c>
      <c r="H3" s="24"/>
      <c r="I3" s="15"/>
    </row>
    <row r="4" spans="1:9">
      <c r="A4" s="15"/>
      <c r="B4" s="14"/>
      <c r="C4" s="15" t="s">
        <v>4969</v>
      </c>
      <c r="D4" s="12" t="s">
        <v>215</v>
      </c>
      <c r="E4" s="14"/>
      <c r="F4" s="15"/>
      <c r="G4" s="13" t="s">
        <v>4976</v>
      </c>
      <c r="H4" s="15" t="s">
        <v>4981</v>
      </c>
      <c r="I4" s="15"/>
    </row>
    <row r="5" spans="1:9">
      <c r="A5" s="15"/>
      <c r="B5" s="14"/>
      <c r="C5" s="15" t="s">
        <v>4970</v>
      </c>
      <c r="D5" s="12" t="s">
        <v>4974</v>
      </c>
      <c r="E5" s="14"/>
      <c r="F5" s="15"/>
      <c r="G5" s="13" t="s">
        <v>4977</v>
      </c>
      <c r="H5" s="15" t="s">
        <v>4981</v>
      </c>
      <c r="I5" s="15"/>
    </row>
    <row r="6" spans="1:9">
      <c r="A6" s="15"/>
      <c r="B6" s="14"/>
      <c r="C6" s="29" t="s">
        <v>4971</v>
      </c>
      <c r="D6" s="29" t="s">
        <v>214</v>
      </c>
      <c r="E6" s="28"/>
      <c r="F6" s="22"/>
      <c r="G6" s="22" t="s">
        <v>4978</v>
      </c>
      <c r="H6" s="15" t="s">
        <v>4981</v>
      </c>
      <c r="I6" s="15"/>
    </row>
    <row r="7" spans="1:9">
      <c r="A7" s="15"/>
      <c r="B7" s="14"/>
      <c r="C7" s="29" t="s">
        <v>4972</v>
      </c>
      <c r="D7" s="29" t="s">
        <v>214</v>
      </c>
      <c r="E7" s="28"/>
      <c r="F7" s="22"/>
      <c r="G7" s="22" t="s">
        <v>4979</v>
      </c>
      <c r="H7" s="15" t="s">
        <v>4981</v>
      </c>
      <c r="I7" s="15"/>
    </row>
    <row r="8" spans="1:9">
      <c r="A8" s="15"/>
      <c r="B8" s="14"/>
      <c r="C8" s="10" t="s">
        <v>4973</v>
      </c>
      <c r="D8" s="15" t="s">
        <v>138</v>
      </c>
      <c r="E8" s="11" t="s">
        <v>16</v>
      </c>
      <c r="F8" s="15"/>
      <c r="G8" s="10" t="s">
        <v>4980</v>
      </c>
      <c r="H8" s="15" t="s">
        <v>4981</v>
      </c>
      <c r="I8" s="15"/>
    </row>
    <row r="9" spans="1:9">
      <c r="A9" s="15"/>
      <c r="B9" s="14"/>
      <c r="C9" s="12" t="s">
        <v>69</v>
      </c>
      <c r="D9" s="12" t="s">
        <v>11</v>
      </c>
      <c r="E9" s="11" t="s">
        <v>16</v>
      </c>
      <c r="F9" s="13" t="s">
        <v>20</v>
      </c>
      <c r="G9" s="12" t="s">
        <v>30</v>
      </c>
      <c r="H9" s="15"/>
      <c r="I9" s="15"/>
    </row>
    <row r="10" spans="1:9">
      <c r="A10" s="15"/>
      <c r="B10" s="14"/>
      <c r="C10" s="12" t="s">
        <v>1</v>
      </c>
      <c r="D10" s="12" t="s">
        <v>37</v>
      </c>
      <c r="E10" s="11"/>
      <c r="F10" s="13"/>
      <c r="G10" s="12" t="s">
        <v>31</v>
      </c>
      <c r="H10" s="15"/>
      <c r="I10" s="15"/>
    </row>
    <row r="11" spans="1:9">
      <c r="A11" s="15"/>
      <c r="B11" s="14"/>
      <c r="C11" s="12" t="s">
        <v>19</v>
      </c>
      <c r="D11" s="12" t="s">
        <v>11</v>
      </c>
      <c r="E11" s="11" t="s">
        <v>16</v>
      </c>
      <c r="F11" s="13" t="s">
        <v>20</v>
      </c>
      <c r="G11" s="12" t="s">
        <v>32</v>
      </c>
      <c r="H11" s="15"/>
      <c r="I11" s="15"/>
    </row>
    <row r="12" spans="1:9">
      <c r="A12" s="15"/>
      <c r="B12" s="14"/>
      <c r="C12" s="12" t="s">
        <v>70</v>
      </c>
      <c r="D12" s="12" t="s">
        <v>37</v>
      </c>
      <c r="E12" s="11"/>
      <c r="F12" s="13"/>
      <c r="G12" s="12" t="s">
        <v>33</v>
      </c>
      <c r="H12" s="15"/>
      <c r="I12" s="15"/>
    </row>
  </sheetData>
  <phoneticPr fontId="3" type="noConversion"/>
  <hyperlinks>
    <hyperlink ref="A1" location="目錄!A1" display="回到目錄"/>
  </hyperlink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Views>
    <sheetView workbookViewId="0"/>
  </sheetViews>
  <sheetFormatPr defaultRowHeight="13.8"/>
  <cols>
    <col min="1" max="1" width="7.453125" style="10" bestFit="1" customWidth="1"/>
    <col min="2" max="2" width="4.36328125" style="10" bestFit="1" customWidth="1"/>
    <col min="3" max="3" width="23.1796875" style="10" bestFit="1" customWidth="1"/>
    <col min="4" max="4" width="12.08984375" style="10" bestFit="1" customWidth="1"/>
    <col min="5" max="5" width="7.54296875" style="10" bestFit="1" customWidth="1"/>
    <col min="6" max="6" width="10" style="10" bestFit="1" customWidth="1"/>
    <col min="7" max="7" width="13.26953125" style="10" customWidth="1"/>
    <col min="8" max="8" width="33.81640625" style="10" bestFit="1" customWidth="1"/>
    <col min="9" max="9" width="10.08984375" style="10" bestFit="1" customWidth="1"/>
    <col min="10" max="19" width="8.7265625" style="2"/>
    <col min="20" max="16384" width="8.7265625" style="10"/>
  </cols>
  <sheetData>
    <row r="1" spans="1:19">
      <c r="A1" s="63" t="s">
        <v>36</v>
      </c>
      <c r="B1" s="5" t="s">
        <v>5</v>
      </c>
      <c r="C1" s="20" t="s">
        <v>3</v>
      </c>
      <c r="D1" s="20" t="s">
        <v>4</v>
      </c>
      <c r="E1" s="7" t="s">
        <v>6</v>
      </c>
      <c r="F1" s="9" t="s">
        <v>13</v>
      </c>
      <c r="G1" s="9" t="s">
        <v>7</v>
      </c>
      <c r="H1" s="9" t="s">
        <v>8</v>
      </c>
      <c r="I1" s="9" t="s">
        <v>105</v>
      </c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>
      <c r="A2" s="15"/>
      <c r="B2" s="14" t="s">
        <v>14</v>
      </c>
      <c r="C2" s="10" t="s">
        <v>4689</v>
      </c>
      <c r="D2" s="10" t="s">
        <v>24</v>
      </c>
      <c r="G2" s="10" t="s">
        <v>81</v>
      </c>
      <c r="H2" s="26"/>
      <c r="I2" s="15"/>
      <c r="J2" s="10"/>
      <c r="K2" s="10"/>
      <c r="L2" s="10"/>
      <c r="M2" s="10"/>
      <c r="N2" s="10"/>
      <c r="O2" s="10"/>
      <c r="P2" s="10"/>
      <c r="Q2" s="10"/>
      <c r="R2" s="10"/>
      <c r="S2" s="10"/>
    </row>
    <row r="3" spans="1:19">
      <c r="A3" s="15"/>
      <c r="B3" s="14"/>
      <c r="C3" s="15" t="s">
        <v>4691</v>
      </c>
      <c r="D3" s="15" t="s">
        <v>4688</v>
      </c>
      <c r="E3" s="14"/>
      <c r="F3" s="15"/>
      <c r="G3" s="15" t="s">
        <v>4692</v>
      </c>
      <c r="H3" s="15" t="s">
        <v>4693</v>
      </c>
      <c r="I3" s="15"/>
      <c r="J3" s="10"/>
      <c r="K3" s="10"/>
      <c r="L3" s="10"/>
      <c r="M3" s="10"/>
      <c r="N3" s="10"/>
      <c r="O3" s="10"/>
      <c r="P3" s="10"/>
      <c r="Q3" s="10"/>
      <c r="R3" s="10"/>
      <c r="S3" s="10"/>
    </row>
    <row r="4" spans="1:19">
      <c r="A4" s="15"/>
      <c r="B4" s="14"/>
      <c r="C4" s="12" t="s">
        <v>69</v>
      </c>
      <c r="D4" s="12" t="s">
        <v>11</v>
      </c>
      <c r="E4" s="11" t="s">
        <v>16</v>
      </c>
      <c r="F4" s="13" t="s">
        <v>20</v>
      </c>
      <c r="G4" s="12" t="s">
        <v>30</v>
      </c>
      <c r="H4" s="15"/>
      <c r="I4" s="15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spans="1:19">
      <c r="A5" s="15"/>
      <c r="B5" s="14"/>
      <c r="C5" s="12" t="s">
        <v>1</v>
      </c>
      <c r="D5" s="12" t="s">
        <v>37</v>
      </c>
      <c r="E5" s="11"/>
      <c r="F5" s="13"/>
      <c r="G5" s="12" t="s">
        <v>31</v>
      </c>
      <c r="H5" s="15"/>
      <c r="I5" s="15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spans="1:19">
      <c r="A6" s="15"/>
      <c r="B6" s="14"/>
      <c r="C6" s="12" t="s">
        <v>19</v>
      </c>
      <c r="D6" s="12" t="s">
        <v>11</v>
      </c>
      <c r="E6" s="11" t="s">
        <v>16</v>
      </c>
      <c r="F6" s="13" t="s">
        <v>20</v>
      </c>
      <c r="G6" s="12" t="s">
        <v>32</v>
      </c>
      <c r="H6" s="15"/>
      <c r="I6" s="15"/>
      <c r="J6" s="10"/>
      <c r="K6" s="10"/>
      <c r="L6" s="10"/>
      <c r="M6" s="10"/>
      <c r="N6" s="10"/>
      <c r="O6" s="10"/>
      <c r="P6" s="10"/>
      <c r="Q6" s="10"/>
      <c r="R6" s="10"/>
      <c r="S6" s="10"/>
    </row>
    <row r="7" spans="1:19">
      <c r="A7" s="15"/>
      <c r="B7" s="14"/>
      <c r="C7" s="12" t="s">
        <v>70</v>
      </c>
      <c r="D7" s="12" t="s">
        <v>37</v>
      </c>
      <c r="E7" s="11"/>
      <c r="F7" s="13"/>
      <c r="G7" s="12" t="s">
        <v>33</v>
      </c>
      <c r="H7" s="15"/>
      <c r="I7" s="15"/>
      <c r="J7" s="10"/>
      <c r="K7" s="10"/>
      <c r="L7" s="10"/>
      <c r="M7" s="10"/>
      <c r="N7" s="10"/>
      <c r="O7" s="10"/>
      <c r="P7" s="10"/>
      <c r="Q7" s="10"/>
      <c r="R7" s="10"/>
      <c r="S7" s="10"/>
    </row>
  </sheetData>
  <phoneticPr fontId="3" type="noConversion"/>
  <hyperlinks>
    <hyperlink ref="A1" location="目錄!A1" display="回到目錄"/>
  </hyperlink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0"/>
  <dimension ref="A1:I36"/>
  <sheetViews>
    <sheetView topLeftCell="A6" workbookViewId="0">
      <selection activeCell="C31" sqref="C31"/>
    </sheetView>
  </sheetViews>
  <sheetFormatPr defaultRowHeight="13.8"/>
  <cols>
    <col min="1" max="1" width="7.453125" style="2" bestFit="1" customWidth="1"/>
    <col min="2" max="2" width="4.36328125" style="2" bestFit="1" customWidth="1"/>
    <col min="3" max="4" width="11.08984375" style="2" bestFit="1" customWidth="1"/>
    <col min="5" max="5" width="7.54296875" style="51" bestFit="1" customWidth="1"/>
    <col min="6" max="6" width="10.08984375" style="2" customWidth="1"/>
    <col min="7" max="7" width="19.26953125" style="2" customWidth="1"/>
    <col min="8" max="8" width="16" style="2" customWidth="1"/>
    <col min="9" max="9" width="16.90625" style="2" customWidth="1"/>
    <col min="10" max="16384" width="8.7265625" style="2"/>
  </cols>
  <sheetData>
    <row r="1" spans="1:9">
      <c r="A1" s="23" t="s">
        <v>36</v>
      </c>
      <c r="B1" s="5" t="s">
        <v>5</v>
      </c>
      <c r="C1" s="20" t="s">
        <v>3</v>
      </c>
      <c r="D1" s="20" t="s">
        <v>4</v>
      </c>
      <c r="E1" s="7" t="s">
        <v>6</v>
      </c>
      <c r="F1" s="8" t="s">
        <v>13</v>
      </c>
      <c r="G1" s="8" t="s">
        <v>7</v>
      </c>
      <c r="H1" s="9" t="s">
        <v>8</v>
      </c>
      <c r="I1" s="9" t="s">
        <v>105</v>
      </c>
    </row>
    <row r="2" spans="1:9">
      <c r="B2" s="2" t="s">
        <v>161</v>
      </c>
      <c r="C2" s="2" t="s">
        <v>3421</v>
      </c>
      <c r="D2" s="2" t="s">
        <v>3422</v>
      </c>
      <c r="G2" s="2" t="s">
        <v>3475</v>
      </c>
    </row>
    <row r="3" spans="1:9">
      <c r="C3" s="2" t="s">
        <v>3423</v>
      </c>
      <c r="D3" s="2" t="s">
        <v>3424</v>
      </c>
      <c r="G3" s="2" t="s">
        <v>3476</v>
      </c>
    </row>
    <row r="4" spans="1:9">
      <c r="C4" s="2" t="s">
        <v>3425</v>
      </c>
      <c r="D4" s="2" t="s">
        <v>3426</v>
      </c>
      <c r="G4" s="2" t="s">
        <v>3477</v>
      </c>
    </row>
    <row r="5" spans="1:9">
      <c r="C5" s="2" t="s">
        <v>3427</v>
      </c>
      <c r="D5" s="2" t="s">
        <v>3428</v>
      </c>
      <c r="E5" s="51" t="s">
        <v>160</v>
      </c>
      <c r="G5" s="2" t="s">
        <v>3478</v>
      </c>
    </row>
    <row r="6" spans="1:9">
      <c r="C6" s="2" t="s">
        <v>3429</v>
      </c>
      <c r="D6" s="2" t="s">
        <v>126</v>
      </c>
      <c r="E6" s="51" t="s">
        <v>160</v>
      </c>
      <c r="G6" s="2" t="s">
        <v>3479</v>
      </c>
    </row>
    <row r="7" spans="1:9">
      <c r="C7" s="2" t="s">
        <v>3430</v>
      </c>
      <c r="D7" s="2" t="s">
        <v>126</v>
      </c>
      <c r="E7" s="51" t="s">
        <v>160</v>
      </c>
      <c r="G7" s="2" t="s">
        <v>3480</v>
      </c>
    </row>
    <row r="8" spans="1:9">
      <c r="C8" s="2" t="s">
        <v>3431</v>
      </c>
      <c r="D8" s="2" t="s">
        <v>126</v>
      </c>
      <c r="E8" s="51" t="s">
        <v>160</v>
      </c>
    </row>
    <row r="9" spans="1:9">
      <c r="C9" s="2" t="s">
        <v>3432</v>
      </c>
      <c r="D9" s="2" t="s">
        <v>126</v>
      </c>
      <c r="E9" s="51" t="s">
        <v>160</v>
      </c>
    </row>
    <row r="10" spans="1:9">
      <c r="C10" s="2" t="s">
        <v>3433</v>
      </c>
      <c r="D10" s="2" t="s">
        <v>3434</v>
      </c>
      <c r="E10" s="51" t="s">
        <v>160</v>
      </c>
    </row>
    <row r="11" spans="1:9">
      <c r="C11" s="2" t="s">
        <v>3435</v>
      </c>
      <c r="D11" s="2" t="s">
        <v>3436</v>
      </c>
      <c r="E11" s="51" t="s">
        <v>160</v>
      </c>
    </row>
    <row r="12" spans="1:9">
      <c r="C12" s="2" t="s">
        <v>3437</v>
      </c>
      <c r="D12" s="2" t="s">
        <v>3438</v>
      </c>
      <c r="E12" s="51" t="s">
        <v>160</v>
      </c>
    </row>
    <row r="13" spans="1:9">
      <c r="C13" s="2" t="s">
        <v>3439</v>
      </c>
      <c r="D13" s="2" t="s">
        <v>126</v>
      </c>
      <c r="E13" s="51" t="s">
        <v>160</v>
      </c>
    </row>
    <row r="14" spans="1:9">
      <c r="C14" s="2" t="s">
        <v>3440</v>
      </c>
      <c r="D14" s="2" t="s">
        <v>3434</v>
      </c>
      <c r="E14" s="51" t="s">
        <v>160</v>
      </c>
    </row>
    <row r="15" spans="1:9">
      <c r="C15" s="2" t="s">
        <v>3441</v>
      </c>
      <c r="D15" s="2" t="s">
        <v>3442</v>
      </c>
      <c r="E15" s="51" t="s">
        <v>160</v>
      </c>
    </row>
    <row r="16" spans="1:9">
      <c r="C16" s="2" t="s">
        <v>3443</v>
      </c>
      <c r="D16" s="2" t="s">
        <v>3444</v>
      </c>
      <c r="E16" s="51" t="s">
        <v>160</v>
      </c>
    </row>
    <row r="17" spans="3:5">
      <c r="C17" s="2" t="s">
        <v>3445</v>
      </c>
      <c r="D17" s="2" t="s">
        <v>3428</v>
      </c>
      <c r="E17" s="51" t="s">
        <v>160</v>
      </c>
    </row>
    <row r="18" spans="3:5">
      <c r="C18" s="2" t="s">
        <v>3446</v>
      </c>
      <c r="D18" s="2" t="s">
        <v>126</v>
      </c>
      <c r="E18" s="51" t="s">
        <v>160</v>
      </c>
    </row>
    <row r="19" spans="3:5">
      <c r="C19" s="2" t="s">
        <v>3447</v>
      </c>
      <c r="D19" s="2" t="s">
        <v>3444</v>
      </c>
      <c r="E19" s="51" t="s">
        <v>160</v>
      </c>
    </row>
    <row r="20" spans="3:5">
      <c r="C20" s="2" t="s">
        <v>3448</v>
      </c>
      <c r="D20" s="2" t="s">
        <v>3444</v>
      </c>
      <c r="E20" s="51" t="s">
        <v>160</v>
      </c>
    </row>
    <row r="21" spans="3:5">
      <c r="C21" s="2" t="s">
        <v>3449</v>
      </c>
      <c r="D21" s="2" t="s">
        <v>11</v>
      </c>
      <c r="E21" s="51" t="s">
        <v>160</v>
      </c>
    </row>
    <row r="22" spans="3:5">
      <c r="C22" s="2" t="s">
        <v>3450</v>
      </c>
      <c r="D22" s="2" t="s">
        <v>3451</v>
      </c>
      <c r="E22" s="51" t="s">
        <v>160</v>
      </c>
    </row>
    <row r="23" spans="3:5">
      <c r="C23" s="2" t="s">
        <v>3452</v>
      </c>
      <c r="D23" s="2" t="s">
        <v>11</v>
      </c>
      <c r="E23" s="51" t="s">
        <v>160</v>
      </c>
    </row>
    <row r="24" spans="3:5">
      <c r="C24" s="2" t="s">
        <v>3453</v>
      </c>
      <c r="D24" s="2" t="s">
        <v>3451</v>
      </c>
      <c r="E24" s="51" t="s">
        <v>160</v>
      </c>
    </row>
    <row r="25" spans="3:5">
      <c r="C25" s="2" t="s">
        <v>3454</v>
      </c>
      <c r="D25" s="2" t="s">
        <v>3455</v>
      </c>
      <c r="E25" s="51" t="s">
        <v>160</v>
      </c>
    </row>
    <row r="26" spans="3:5">
      <c r="C26" s="2" t="s">
        <v>3456</v>
      </c>
      <c r="D26" s="2" t="s">
        <v>3455</v>
      </c>
      <c r="E26" s="51" t="s">
        <v>160</v>
      </c>
    </row>
    <row r="27" spans="3:5">
      <c r="C27" s="2" t="s">
        <v>3457</v>
      </c>
      <c r="D27" s="2" t="s">
        <v>3438</v>
      </c>
      <c r="E27" s="51" t="s">
        <v>160</v>
      </c>
    </row>
    <row r="28" spans="3:5">
      <c r="C28" s="2" t="s">
        <v>3458</v>
      </c>
      <c r="D28" s="2" t="s">
        <v>3422</v>
      </c>
      <c r="E28" s="51" t="s">
        <v>160</v>
      </c>
    </row>
    <row r="29" spans="3:5">
      <c r="C29" s="2" t="s">
        <v>3459</v>
      </c>
      <c r="D29" s="2" t="s">
        <v>126</v>
      </c>
    </row>
    <row r="30" spans="3:5">
      <c r="C30" s="2" t="s">
        <v>3460</v>
      </c>
      <c r="D30" s="2" t="s">
        <v>3461</v>
      </c>
    </row>
    <row r="31" spans="3:5">
      <c r="C31" s="2" t="s">
        <v>3462</v>
      </c>
      <c r="D31" s="2" t="s">
        <v>3434</v>
      </c>
      <c r="E31" s="51" t="s">
        <v>160</v>
      </c>
    </row>
    <row r="32" spans="3:5">
      <c r="C32" s="2" t="s">
        <v>3463</v>
      </c>
      <c r="D32" s="2" t="s">
        <v>3434</v>
      </c>
      <c r="E32" s="51" t="s">
        <v>160</v>
      </c>
    </row>
    <row r="33" spans="3:5">
      <c r="C33" s="2" t="s">
        <v>3464</v>
      </c>
      <c r="D33" s="2" t="s">
        <v>3434</v>
      </c>
      <c r="E33" s="51" t="s">
        <v>160</v>
      </c>
    </row>
    <row r="34" spans="3:5">
      <c r="C34" s="2" t="s">
        <v>3465</v>
      </c>
      <c r="D34" s="2" t="s">
        <v>3434</v>
      </c>
      <c r="E34" s="51" t="s">
        <v>160</v>
      </c>
    </row>
    <row r="35" spans="3:5">
      <c r="C35" s="2" t="s">
        <v>3466</v>
      </c>
      <c r="D35" s="2" t="s">
        <v>3467</v>
      </c>
      <c r="E35" s="51" t="s">
        <v>160</v>
      </c>
    </row>
    <row r="36" spans="3:5">
      <c r="C36" s="2" t="s">
        <v>3468</v>
      </c>
      <c r="D36" s="2" t="s">
        <v>3422</v>
      </c>
      <c r="E36" s="51" t="s">
        <v>160</v>
      </c>
    </row>
  </sheetData>
  <phoneticPr fontId="3" type="noConversion"/>
  <hyperlinks>
    <hyperlink ref="A1" location="目錄!A1" display="回到目錄"/>
  </hyperlink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9"/>
  <dimension ref="A1:M26"/>
  <sheetViews>
    <sheetView workbookViewId="0">
      <pane ySplit="1" topLeftCell="A2" activePane="bottomLeft" state="frozen"/>
      <selection activeCell="B1" sqref="B1"/>
      <selection pane="bottomLeft"/>
    </sheetView>
  </sheetViews>
  <sheetFormatPr defaultRowHeight="13.8"/>
  <cols>
    <col min="1" max="1" width="7.453125" style="2" bestFit="1" customWidth="1"/>
    <col min="2" max="2" width="4.36328125" style="51" bestFit="1" customWidth="1"/>
    <col min="3" max="3" width="13.7265625" style="2" bestFit="1" customWidth="1"/>
    <col min="4" max="4" width="11.08984375" style="2" bestFit="1" customWidth="1"/>
    <col min="5" max="5" width="7.54296875" style="2" bestFit="1" customWidth="1"/>
    <col min="6" max="6" width="10" style="2" bestFit="1" customWidth="1"/>
    <col min="7" max="7" width="8.36328125" style="2" bestFit="1" customWidth="1"/>
    <col min="8" max="8" width="11.36328125" style="2" bestFit="1" customWidth="1"/>
    <col min="9" max="9" width="7.453125" style="2" bestFit="1" customWidth="1"/>
    <col min="10" max="10" width="4.36328125" style="1" bestFit="1" customWidth="1"/>
    <col min="11" max="11" width="5.90625" style="1" bestFit="1" customWidth="1"/>
    <col min="12" max="13" width="4.36328125" style="1" bestFit="1" customWidth="1"/>
    <col min="14" max="16384" width="8.7265625" style="2"/>
  </cols>
  <sheetData>
    <row r="1" spans="1:9">
      <c r="A1" s="23" t="s">
        <v>36</v>
      </c>
      <c r="B1" s="5" t="s">
        <v>5</v>
      </c>
      <c r="C1" s="20" t="s">
        <v>3</v>
      </c>
      <c r="D1" s="20" t="s">
        <v>4</v>
      </c>
      <c r="E1" s="7" t="s">
        <v>6</v>
      </c>
      <c r="F1" s="8" t="s">
        <v>13</v>
      </c>
      <c r="G1" s="8" t="s">
        <v>7</v>
      </c>
      <c r="H1" s="9" t="s">
        <v>8</v>
      </c>
      <c r="I1" s="9" t="s">
        <v>105</v>
      </c>
    </row>
    <row r="2" spans="1:9">
      <c r="B2" s="51" t="s">
        <v>14</v>
      </c>
      <c r="C2" s="2" t="s">
        <v>217</v>
      </c>
      <c r="D2" s="2" t="s">
        <v>228</v>
      </c>
      <c r="H2" s="2" t="s">
        <v>2941</v>
      </c>
    </row>
    <row r="3" spans="1:9">
      <c r="C3" s="2" t="s">
        <v>218</v>
      </c>
      <c r="D3" s="15" t="s">
        <v>215</v>
      </c>
    </row>
    <row r="4" spans="1:9">
      <c r="C4" s="2" t="s">
        <v>219</v>
      </c>
      <c r="D4" s="15" t="s">
        <v>229</v>
      </c>
    </row>
    <row r="5" spans="1:9">
      <c r="C5" s="2" t="s">
        <v>231</v>
      </c>
      <c r="D5" s="15" t="s">
        <v>230</v>
      </c>
    </row>
    <row r="6" spans="1:9">
      <c r="C6" s="2" t="s">
        <v>220</v>
      </c>
      <c r="D6" s="15" t="s">
        <v>138</v>
      </c>
    </row>
    <row r="7" spans="1:9">
      <c r="C7" s="2" t="s">
        <v>221</v>
      </c>
      <c r="D7" s="15" t="s">
        <v>216</v>
      </c>
    </row>
    <row r="8" spans="1:9">
      <c r="C8" s="2" t="s">
        <v>222</v>
      </c>
      <c r="D8" s="15" t="s">
        <v>232</v>
      </c>
    </row>
    <row r="9" spans="1:9">
      <c r="C9" s="2" t="s">
        <v>223</v>
      </c>
      <c r="D9" s="15" t="s">
        <v>233</v>
      </c>
    </row>
    <row r="10" spans="1:9">
      <c r="C10" s="12" t="s">
        <v>224</v>
      </c>
      <c r="D10" s="12" t="s">
        <v>11</v>
      </c>
      <c r="E10" s="11" t="s">
        <v>16</v>
      </c>
      <c r="F10" s="13" t="s">
        <v>20</v>
      </c>
      <c r="G10" s="12" t="s">
        <v>30</v>
      </c>
    </row>
    <row r="11" spans="1:9">
      <c r="C11" s="12" t="s">
        <v>225</v>
      </c>
      <c r="D11" s="12" t="s">
        <v>37</v>
      </c>
      <c r="E11" s="11"/>
      <c r="F11" s="13"/>
      <c r="G11" s="12" t="s">
        <v>31</v>
      </c>
    </row>
    <row r="12" spans="1:9">
      <c r="C12" s="12" t="s">
        <v>226</v>
      </c>
      <c r="D12" s="12" t="s">
        <v>11</v>
      </c>
      <c r="E12" s="11" t="s">
        <v>16</v>
      </c>
      <c r="F12" s="13" t="s">
        <v>20</v>
      </c>
      <c r="G12" s="12" t="s">
        <v>32</v>
      </c>
    </row>
    <row r="13" spans="1:9">
      <c r="C13" s="12" t="s">
        <v>227</v>
      </c>
      <c r="D13" s="12" t="s">
        <v>37</v>
      </c>
      <c r="E13" s="11"/>
      <c r="F13" s="13"/>
      <c r="G13" s="12" t="s">
        <v>33</v>
      </c>
    </row>
    <row r="17" spans="1:13">
      <c r="A17" s="10"/>
      <c r="B17" s="14"/>
      <c r="C17" s="12"/>
      <c r="D17" s="12"/>
      <c r="E17" s="11"/>
      <c r="F17" s="10"/>
      <c r="G17" s="4"/>
      <c r="H17" s="15"/>
      <c r="I17" s="15"/>
    </row>
    <row r="18" spans="1:13">
      <c r="A18" s="10"/>
      <c r="B18" s="14"/>
      <c r="C18" s="13"/>
      <c r="D18" s="15"/>
      <c r="E18" s="11"/>
      <c r="F18" s="10"/>
      <c r="G18" s="12"/>
      <c r="H18" s="24"/>
      <c r="I18" s="24"/>
      <c r="J18" s="50"/>
      <c r="K18" s="50"/>
      <c r="L18" s="50"/>
      <c r="M18" s="50"/>
    </row>
    <row r="19" spans="1:13">
      <c r="A19" s="10"/>
      <c r="B19" s="14"/>
      <c r="C19" s="13"/>
      <c r="D19" s="15"/>
      <c r="E19" s="11"/>
      <c r="F19" s="10"/>
      <c r="G19" s="12"/>
      <c r="H19" s="24"/>
      <c r="I19" s="24"/>
    </row>
    <row r="20" spans="1:13">
      <c r="A20" s="10"/>
      <c r="B20" s="14"/>
      <c r="C20" s="13"/>
      <c r="D20" s="15"/>
      <c r="E20" s="11"/>
      <c r="F20" s="10"/>
      <c r="G20" s="12"/>
      <c r="H20" s="24"/>
      <c r="I20" s="24"/>
    </row>
    <row r="21" spans="1:13">
      <c r="A21" s="10"/>
      <c r="B21" s="14"/>
      <c r="C21" s="13"/>
      <c r="D21" s="15"/>
      <c r="E21" s="11"/>
      <c r="F21" s="10"/>
      <c r="G21" s="12"/>
      <c r="H21" s="24"/>
      <c r="I21" s="24"/>
    </row>
    <row r="22" spans="1:13">
      <c r="A22" s="10"/>
      <c r="B22" s="14"/>
      <c r="C22" s="13"/>
      <c r="D22" s="15"/>
      <c r="E22" s="11"/>
      <c r="F22" s="10"/>
      <c r="G22" s="12"/>
      <c r="H22" s="24"/>
      <c r="I22" s="24"/>
    </row>
    <row r="23" spans="1:13">
      <c r="A23" s="10"/>
      <c r="B23" s="14"/>
      <c r="C23" s="12"/>
      <c r="D23" s="12"/>
      <c r="E23" s="11"/>
      <c r="F23" s="13"/>
      <c r="G23" s="12"/>
      <c r="H23" s="15"/>
      <c r="I23" s="15"/>
    </row>
    <row r="24" spans="1:13">
      <c r="A24" s="10"/>
      <c r="B24" s="14"/>
      <c r="C24" s="12"/>
      <c r="D24" s="12"/>
      <c r="E24" s="11"/>
      <c r="F24" s="13"/>
      <c r="G24" s="12"/>
      <c r="H24" s="15"/>
      <c r="I24" s="15"/>
    </row>
    <row r="25" spans="1:13">
      <c r="A25" s="10"/>
      <c r="B25" s="14"/>
      <c r="C25" s="12"/>
      <c r="D25" s="12"/>
      <c r="E25" s="11"/>
      <c r="F25" s="13"/>
      <c r="G25" s="12"/>
      <c r="H25" s="15"/>
      <c r="I25" s="15"/>
    </row>
    <row r="26" spans="1:13">
      <c r="A26" s="10"/>
      <c r="B26" s="14"/>
      <c r="C26" s="12"/>
      <c r="D26" s="12"/>
      <c r="E26" s="11"/>
      <c r="F26" s="13"/>
      <c r="G26" s="12"/>
      <c r="H26" s="15"/>
      <c r="I26" s="15"/>
    </row>
  </sheetData>
  <phoneticPr fontId="3" type="noConversion"/>
  <hyperlinks>
    <hyperlink ref="A1" location="目錄!A1" display="回到目錄"/>
  </hyperlinks>
  <pageMargins left="0.7" right="0.7" top="0.75" bottom="0.75" header="0.3" footer="0.3"/>
  <pageSetup paperSize="9" orientation="portrait" horizontalDpi="300" verticalDpi="300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0"/>
  <dimension ref="A1:I22"/>
  <sheetViews>
    <sheetView workbookViewId="0">
      <pane ySplit="1" topLeftCell="A2" activePane="bottomLeft" state="frozen"/>
      <selection activeCell="B1" sqref="B1"/>
      <selection pane="bottomLeft"/>
    </sheetView>
  </sheetViews>
  <sheetFormatPr defaultRowHeight="15"/>
  <cols>
    <col min="1" max="1" width="7.453125" bestFit="1" customWidth="1"/>
    <col min="2" max="2" width="4.36328125" bestFit="1" customWidth="1"/>
    <col min="3" max="3" width="14.453125" bestFit="1" customWidth="1"/>
    <col min="4" max="4" width="11.08984375" bestFit="1" customWidth="1"/>
    <col min="5" max="5" width="7.54296875" bestFit="1" customWidth="1"/>
    <col min="6" max="6" width="10" bestFit="1" customWidth="1"/>
    <col min="7" max="7" width="7.453125" bestFit="1" customWidth="1"/>
    <col min="8" max="8" width="4.36328125" bestFit="1" customWidth="1"/>
    <col min="9" max="9" width="7.453125" bestFit="1" customWidth="1"/>
  </cols>
  <sheetData>
    <row r="1" spans="1:9">
      <c r="A1" s="23" t="s">
        <v>36</v>
      </c>
      <c r="B1" s="5" t="s">
        <v>5</v>
      </c>
      <c r="C1" s="20" t="s">
        <v>3</v>
      </c>
      <c r="D1" s="20" t="s">
        <v>4</v>
      </c>
      <c r="E1" s="7" t="s">
        <v>6</v>
      </c>
      <c r="F1" s="8" t="s">
        <v>13</v>
      </c>
      <c r="G1" s="8" t="s">
        <v>7</v>
      </c>
      <c r="H1" s="9" t="s">
        <v>8</v>
      </c>
      <c r="I1" s="9" t="s">
        <v>105</v>
      </c>
    </row>
    <row r="2" spans="1:9" ht="15.6">
      <c r="A2" s="10"/>
      <c r="B2" s="14" t="s">
        <v>14</v>
      </c>
      <c r="C2" s="12" t="s">
        <v>234</v>
      </c>
      <c r="D2" s="12" t="s">
        <v>112</v>
      </c>
      <c r="E2" s="11"/>
      <c r="F2" s="10"/>
      <c r="G2" s="4"/>
      <c r="H2" s="15"/>
      <c r="I2" s="15"/>
    </row>
    <row r="3" spans="1:9" ht="15.6">
      <c r="A3" s="10"/>
      <c r="B3" s="14" t="s">
        <v>14</v>
      </c>
      <c r="C3" s="12" t="s">
        <v>231</v>
      </c>
      <c r="D3" s="12" t="s">
        <v>214</v>
      </c>
      <c r="E3" s="11"/>
      <c r="F3" s="10"/>
      <c r="G3" s="4"/>
      <c r="H3" s="15"/>
      <c r="I3" s="15"/>
    </row>
    <row r="4" spans="1:9">
      <c r="A4" s="10"/>
      <c r="B4" s="14"/>
      <c r="C4" s="13" t="s">
        <v>235</v>
      </c>
      <c r="D4" s="15" t="s">
        <v>138</v>
      </c>
      <c r="E4" s="11"/>
      <c r="F4" s="10"/>
      <c r="G4" s="12"/>
      <c r="H4" s="24"/>
      <c r="I4" s="24"/>
    </row>
    <row r="5" spans="1:9">
      <c r="A5" s="10"/>
      <c r="B5" s="14"/>
      <c r="C5" s="13" t="s">
        <v>236</v>
      </c>
      <c r="D5" s="12" t="s">
        <v>238</v>
      </c>
      <c r="E5" s="11"/>
      <c r="F5" s="10"/>
      <c r="G5" s="12"/>
      <c r="H5" s="24"/>
      <c r="I5" s="24"/>
    </row>
    <row r="6" spans="1:9">
      <c r="A6" s="10"/>
      <c r="B6" s="14"/>
      <c r="C6" s="13" t="s">
        <v>237</v>
      </c>
      <c r="D6" s="15" t="s">
        <v>232</v>
      </c>
      <c r="E6" s="11"/>
      <c r="F6" s="10"/>
      <c r="G6" s="12"/>
      <c r="H6" s="24"/>
      <c r="I6" s="24"/>
    </row>
    <row r="7" spans="1:9">
      <c r="A7" s="10"/>
      <c r="B7" s="14" t="s">
        <v>14</v>
      </c>
      <c r="C7" s="13" t="s">
        <v>223</v>
      </c>
      <c r="D7" s="15" t="s">
        <v>233</v>
      </c>
      <c r="E7" s="11"/>
      <c r="F7" s="10"/>
      <c r="G7" s="12"/>
      <c r="H7" s="24"/>
      <c r="I7" s="24"/>
    </row>
    <row r="8" spans="1:9">
      <c r="A8" s="10"/>
      <c r="B8" s="14"/>
      <c r="C8" s="12" t="s">
        <v>224</v>
      </c>
      <c r="D8" s="12" t="s">
        <v>11</v>
      </c>
      <c r="E8" s="11" t="s">
        <v>16</v>
      </c>
      <c r="F8" s="13" t="s">
        <v>20</v>
      </c>
      <c r="G8" s="12" t="s">
        <v>30</v>
      </c>
      <c r="H8" s="24"/>
      <c r="I8" s="24"/>
    </row>
    <row r="9" spans="1:9">
      <c r="A9" s="10"/>
      <c r="B9" s="14"/>
      <c r="C9" s="12" t="s">
        <v>225</v>
      </c>
      <c r="D9" s="12" t="s">
        <v>37</v>
      </c>
      <c r="E9" s="11"/>
      <c r="F9" s="13"/>
      <c r="G9" s="12" t="s">
        <v>31</v>
      </c>
      <c r="H9" s="24"/>
      <c r="I9" s="24"/>
    </row>
    <row r="10" spans="1:9">
      <c r="A10" s="10"/>
      <c r="B10" s="14"/>
      <c r="C10" s="12" t="s">
        <v>226</v>
      </c>
      <c r="D10" s="12" t="s">
        <v>11</v>
      </c>
      <c r="E10" s="11" t="s">
        <v>16</v>
      </c>
      <c r="F10" s="13" t="s">
        <v>20</v>
      </c>
      <c r="G10" s="12" t="s">
        <v>32</v>
      </c>
      <c r="H10" s="24"/>
      <c r="I10" s="24"/>
    </row>
    <row r="11" spans="1:9">
      <c r="A11" s="10"/>
      <c r="B11" s="14"/>
      <c r="C11" s="12" t="s">
        <v>227</v>
      </c>
      <c r="D11" s="12" t="s">
        <v>37</v>
      </c>
      <c r="E11" s="11"/>
      <c r="F11" s="13"/>
      <c r="G11" s="12" t="s">
        <v>33</v>
      </c>
      <c r="H11" s="24"/>
      <c r="I11" s="24"/>
    </row>
    <row r="12" spans="1:9">
      <c r="A12" s="10"/>
      <c r="B12" s="14"/>
      <c r="C12" s="13"/>
      <c r="D12" s="15"/>
      <c r="E12" s="11"/>
      <c r="F12" s="10"/>
      <c r="G12" s="12"/>
      <c r="H12" s="24"/>
      <c r="I12" s="24"/>
    </row>
    <row r="13" spans="1:9">
      <c r="A13" s="10"/>
      <c r="B13" s="14"/>
      <c r="C13" s="13"/>
      <c r="D13" s="15"/>
      <c r="E13" s="11"/>
      <c r="F13" s="10"/>
      <c r="G13" s="12"/>
      <c r="H13" s="24"/>
      <c r="I13" s="24"/>
    </row>
    <row r="14" spans="1:9">
      <c r="A14" s="10"/>
      <c r="B14" s="14"/>
      <c r="C14" s="13"/>
      <c r="D14" s="15"/>
      <c r="E14" s="11"/>
      <c r="F14" s="10"/>
      <c r="G14" s="12"/>
      <c r="H14" s="24"/>
      <c r="I14" s="24"/>
    </row>
    <row r="15" spans="1:9" ht="15.6">
      <c r="A15" s="10"/>
      <c r="B15" s="14"/>
      <c r="C15" s="12"/>
      <c r="D15" s="12"/>
      <c r="E15" s="11"/>
      <c r="F15" s="10"/>
      <c r="G15" s="4"/>
      <c r="H15" s="24"/>
      <c r="I15" s="24"/>
    </row>
    <row r="16" spans="1:9">
      <c r="A16" s="10"/>
      <c r="B16" s="14"/>
      <c r="C16" s="13"/>
      <c r="D16" s="15"/>
      <c r="E16" s="11"/>
      <c r="F16" s="10"/>
      <c r="G16" s="12"/>
      <c r="H16" s="24"/>
      <c r="I16" s="24"/>
    </row>
    <row r="17" spans="1:9">
      <c r="A17" s="10"/>
      <c r="B17" s="14"/>
      <c r="C17" s="13"/>
      <c r="D17" s="15"/>
      <c r="E17" s="11"/>
      <c r="F17" s="10"/>
      <c r="G17" s="12"/>
      <c r="H17" s="24"/>
      <c r="I17" s="24"/>
    </row>
    <row r="18" spans="1:9">
      <c r="A18" s="10"/>
      <c r="B18" s="14"/>
      <c r="C18" s="13"/>
      <c r="D18" s="15"/>
      <c r="E18" s="11"/>
      <c r="F18" s="10"/>
      <c r="G18" s="12"/>
      <c r="H18" s="24"/>
      <c r="I18" s="24"/>
    </row>
    <row r="19" spans="1:9">
      <c r="A19" s="10"/>
      <c r="B19" s="14"/>
      <c r="C19" s="12"/>
      <c r="D19" s="12"/>
      <c r="E19" s="11"/>
      <c r="F19" s="13"/>
      <c r="G19" s="12"/>
      <c r="H19" s="15"/>
      <c r="I19" s="15"/>
    </row>
    <row r="20" spans="1:9">
      <c r="A20" s="10"/>
      <c r="B20" s="14"/>
      <c r="C20" s="12"/>
      <c r="D20" s="12"/>
      <c r="E20" s="11"/>
      <c r="F20" s="13"/>
      <c r="G20" s="12"/>
      <c r="H20" s="15"/>
      <c r="I20" s="15"/>
    </row>
    <row r="21" spans="1:9">
      <c r="A21" s="10"/>
      <c r="B21" s="14"/>
      <c r="C21" s="12"/>
      <c r="D21" s="12"/>
      <c r="E21" s="11"/>
      <c r="F21" s="13"/>
      <c r="G21" s="12"/>
      <c r="H21" s="15"/>
      <c r="I21" s="15"/>
    </row>
    <row r="22" spans="1:9">
      <c r="A22" s="10"/>
      <c r="B22" s="14"/>
      <c r="C22" s="12"/>
      <c r="D22" s="12"/>
      <c r="E22" s="11"/>
      <c r="F22" s="13"/>
      <c r="G22" s="12"/>
      <c r="H22" s="15"/>
      <c r="I22" s="15"/>
    </row>
  </sheetData>
  <phoneticPr fontId="3" type="noConversion"/>
  <hyperlinks>
    <hyperlink ref="A1" location="目錄!A1" display="回到目錄"/>
  </hyperlink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8"/>
  <dimension ref="A1:I22"/>
  <sheetViews>
    <sheetView workbookViewId="0"/>
  </sheetViews>
  <sheetFormatPr defaultRowHeight="15"/>
  <cols>
    <col min="1" max="1" width="7.453125" bestFit="1" customWidth="1"/>
    <col min="2" max="2" width="4.36328125" bestFit="1" customWidth="1"/>
    <col min="3" max="3" width="14.453125" bestFit="1" customWidth="1"/>
    <col min="4" max="4" width="11.08984375" bestFit="1" customWidth="1"/>
    <col min="5" max="5" width="7.54296875" bestFit="1" customWidth="1"/>
    <col min="6" max="6" width="10" bestFit="1" customWidth="1"/>
    <col min="7" max="7" width="7.453125" bestFit="1" customWidth="1"/>
    <col min="8" max="8" width="4.36328125" bestFit="1" customWidth="1"/>
    <col min="9" max="9" width="7.453125" bestFit="1" customWidth="1"/>
  </cols>
  <sheetData>
    <row r="1" spans="1:9">
      <c r="A1" s="23" t="s">
        <v>36</v>
      </c>
      <c r="B1" s="5" t="s">
        <v>5</v>
      </c>
      <c r="C1" s="20" t="s">
        <v>3</v>
      </c>
      <c r="D1" s="20" t="s">
        <v>4</v>
      </c>
      <c r="E1" s="7" t="s">
        <v>6</v>
      </c>
      <c r="F1" s="8" t="s">
        <v>13</v>
      </c>
      <c r="G1" s="8" t="s">
        <v>7</v>
      </c>
      <c r="H1" s="9" t="s">
        <v>8</v>
      </c>
      <c r="I1" s="9" t="s">
        <v>105</v>
      </c>
    </row>
    <row r="2" spans="1:9" ht="15.6">
      <c r="A2" s="10"/>
      <c r="B2" s="14" t="s">
        <v>14</v>
      </c>
      <c r="C2" s="12" t="s">
        <v>2942</v>
      </c>
      <c r="D2" s="12" t="s">
        <v>2946</v>
      </c>
      <c r="E2" s="11"/>
      <c r="F2" s="10"/>
      <c r="G2" s="4"/>
      <c r="H2" s="15"/>
      <c r="I2" s="15"/>
    </row>
    <row r="3" spans="1:9" ht="15.6">
      <c r="A3" s="10"/>
      <c r="C3" s="12" t="s">
        <v>2943</v>
      </c>
      <c r="D3" s="12" t="s">
        <v>162</v>
      </c>
      <c r="E3" s="11"/>
      <c r="F3" s="10"/>
      <c r="G3" s="4"/>
      <c r="H3" s="15"/>
      <c r="I3" s="15"/>
    </row>
    <row r="4" spans="1:9">
      <c r="A4" s="10"/>
      <c r="B4" s="14"/>
      <c r="C4" s="13" t="s">
        <v>2944</v>
      </c>
      <c r="D4" s="15" t="s">
        <v>138</v>
      </c>
      <c r="E4" s="11" t="s">
        <v>16</v>
      </c>
      <c r="F4" s="10"/>
      <c r="G4" s="12"/>
      <c r="H4" s="24"/>
      <c r="I4" s="24"/>
    </row>
    <row r="5" spans="1:9">
      <c r="A5" s="10"/>
      <c r="B5" s="14" t="s">
        <v>14</v>
      </c>
      <c r="C5" s="13" t="s">
        <v>2945</v>
      </c>
      <c r="D5" s="12" t="s">
        <v>2946</v>
      </c>
      <c r="E5" s="11"/>
      <c r="F5" s="10"/>
      <c r="G5" s="12"/>
      <c r="H5" s="24"/>
      <c r="I5" s="24"/>
    </row>
    <row r="6" spans="1:9">
      <c r="A6" s="10"/>
      <c r="B6" s="14"/>
      <c r="C6" s="13"/>
      <c r="D6" s="15"/>
      <c r="E6" s="11"/>
      <c r="F6" s="10"/>
      <c r="G6" s="12"/>
      <c r="H6" s="24"/>
      <c r="I6" s="24"/>
    </row>
    <row r="7" spans="1:9">
      <c r="A7" s="10"/>
      <c r="B7" s="14"/>
      <c r="C7" s="13"/>
      <c r="D7" s="15"/>
      <c r="E7" s="11"/>
      <c r="F7" s="10"/>
      <c r="G7" s="12"/>
      <c r="H7" s="24"/>
      <c r="I7" s="24"/>
    </row>
    <row r="8" spans="1:9">
      <c r="A8" s="10"/>
      <c r="B8" s="14"/>
      <c r="C8" s="12"/>
      <c r="D8" s="12"/>
      <c r="E8" s="11"/>
      <c r="F8" s="13"/>
      <c r="G8" s="12"/>
      <c r="H8" s="24"/>
      <c r="I8" s="24"/>
    </row>
    <row r="9" spans="1:9">
      <c r="A9" s="10"/>
      <c r="B9" s="14"/>
      <c r="C9" s="12"/>
      <c r="D9" s="12"/>
      <c r="E9" s="11"/>
      <c r="F9" s="13"/>
      <c r="G9" s="12"/>
      <c r="H9" s="24"/>
      <c r="I9" s="24"/>
    </row>
    <row r="10" spans="1:9">
      <c r="A10" s="10"/>
      <c r="B10" s="14"/>
      <c r="C10" s="12"/>
      <c r="D10" s="12"/>
      <c r="E10" s="11"/>
      <c r="F10" s="13"/>
      <c r="G10" s="12"/>
      <c r="H10" s="24"/>
      <c r="I10" s="24"/>
    </row>
    <row r="11" spans="1:9">
      <c r="A11" s="10"/>
      <c r="B11" s="14"/>
      <c r="C11" s="12"/>
      <c r="D11" s="12"/>
      <c r="E11" s="11"/>
      <c r="F11" s="13"/>
      <c r="G11" s="12"/>
      <c r="H11" s="24"/>
      <c r="I11" s="24"/>
    </row>
    <row r="12" spans="1:9">
      <c r="A12" s="10"/>
      <c r="B12" s="14"/>
      <c r="C12" s="13"/>
      <c r="D12" s="15"/>
      <c r="E12" s="11"/>
      <c r="F12" s="10"/>
      <c r="G12" s="12"/>
      <c r="H12" s="24"/>
      <c r="I12" s="24"/>
    </row>
    <row r="13" spans="1:9">
      <c r="A13" s="10"/>
      <c r="B13" s="14"/>
      <c r="C13" s="13"/>
      <c r="D13" s="15"/>
      <c r="E13" s="11"/>
      <c r="F13" s="10"/>
      <c r="G13" s="12"/>
      <c r="H13" s="24"/>
      <c r="I13" s="24"/>
    </row>
    <row r="14" spans="1:9">
      <c r="A14" s="10"/>
      <c r="B14" s="14"/>
      <c r="C14" s="13"/>
      <c r="D14" s="15"/>
      <c r="E14" s="11"/>
      <c r="F14" s="10"/>
      <c r="G14" s="12"/>
      <c r="H14" s="24"/>
      <c r="I14" s="24"/>
    </row>
    <row r="15" spans="1:9" ht="15.6">
      <c r="A15" s="10"/>
      <c r="B15" s="14"/>
      <c r="C15" s="12"/>
      <c r="D15" s="12"/>
      <c r="E15" s="11"/>
      <c r="F15" s="10"/>
      <c r="G15" s="4"/>
      <c r="H15" s="24"/>
      <c r="I15" s="24"/>
    </row>
    <row r="16" spans="1:9">
      <c r="A16" s="10"/>
      <c r="B16" s="14"/>
      <c r="C16" s="13"/>
      <c r="D16" s="15"/>
      <c r="E16" s="11"/>
      <c r="F16" s="10"/>
      <c r="G16" s="12"/>
      <c r="H16" s="24"/>
      <c r="I16" s="24"/>
    </row>
    <row r="17" spans="1:9">
      <c r="A17" s="10"/>
      <c r="B17" s="14"/>
      <c r="C17" s="13"/>
      <c r="D17" s="15"/>
      <c r="E17" s="11"/>
      <c r="F17" s="10"/>
      <c r="G17" s="12"/>
      <c r="H17" s="24"/>
      <c r="I17" s="24"/>
    </row>
    <row r="18" spans="1:9">
      <c r="A18" s="10"/>
      <c r="B18" s="14"/>
      <c r="C18" s="13"/>
      <c r="D18" s="15"/>
      <c r="E18" s="11"/>
      <c r="F18" s="10"/>
      <c r="G18" s="12"/>
      <c r="H18" s="24"/>
      <c r="I18" s="24"/>
    </row>
    <row r="19" spans="1:9">
      <c r="A19" s="10"/>
      <c r="B19" s="14"/>
      <c r="C19" s="12"/>
      <c r="D19" s="12"/>
      <c r="E19" s="11"/>
      <c r="F19" s="13"/>
      <c r="G19" s="12"/>
      <c r="H19" s="15"/>
      <c r="I19" s="15"/>
    </row>
    <row r="20" spans="1:9">
      <c r="A20" s="10"/>
      <c r="B20" s="14"/>
      <c r="C20" s="12"/>
      <c r="D20" s="12"/>
      <c r="E20" s="11"/>
      <c r="F20" s="13"/>
      <c r="G20" s="12"/>
      <c r="H20" s="15"/>
      <c r="I20" s="15"/>
    </row>
    <row r="21" spans="1:9">
      <c r="A21" s="10"/>
      <c r="B21" s="14"/>
      <c r="C21" s="12"/>
      <c r="D21" s="12"/>
      <c r="E21" s="11"/>
      <c r="F21" s="13"/>
      <c r="G21" s="12"/>
      <c r="H21" s="15"/>
      <c r="I21" s="15"/>
    </row>
    <row r="22" spans="1:9">
      <c r="A22" s="10"/>
      <c r="B22" s="14"/>
      <c r="C22" s="12"/>
      <c r="D22" s="12"/>
      <c r="E22" s="11"/>
      <c r="F22" s="13"/>
      <c r="G22" s="12"/>
      <c r="H22" s="15"/>
      <c r="I22" s="15"/>
    </row>
  </sheetData>
  <phoneticPr fontId="3" type="noConversion"/>
  <hyperlinks>
    <hyperlink ref="A1" location="目錄!A1" display="回到目錄"/>
  </hyperlink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1"/>
  <dimension ref="A1:I30"/>
  <sheetViews>
    <sheetView workbookViewId="0"/>
  </sheetViews>
  <sheetFormatPr defaultRowHeight="15"/>
  <cols>
    <col min="1" max="1" width="7.453125" style="114" bestFit="1" customWidth="1"/>
    <col min="2" max="2" width="4.36328125" style="114" bestFit="1" customWidth="1"/>
    <col min="3" max="3" width="17" style="114" bestFit="1" customWidth="1"/>
    <col min="4" max="4" width="12.08984375" style="114" bestFit="1" customWidth="1"/>
    <col min="5" max="5" width="7.54296875" style="114" bestFit="1" customWidth="1"/>
    <col min="6" max="6" width="10" style="114" bestFit="1" customWidth="1"/>
    <col min="7" max="7" width="11.54296875" style="114" bestFit="1" customWidth="1"/>
    <col min="8" max="8" width="34.26953125" style="114" customWidth="1"/>
    <col min="9" max="9" width="11.26953125" style="114" customWidth="1"/>
    <col min="10" max="16384" width="8.7265625" style="114"/>
  </cols>
  <sheetData>
    <row r="1" spans="1:9">
      <c r="A1" s="43" t="s">
        <v>36</v>
      </c>
      <c r="B1" s="56" t="s">
        <v>5</v>
      </c>
      <c r="C1" s="57" t="s">
        <v>3</v>
      </c>
      <c r="D1" s="57" t="s">
        <v>4</v>
      </c>
      <c r="E1" s="58" t="s">
        <v>6</v>
      </c>
      <c r="F1" s="59" t="s">
        <v>13</v>
      </c>
      <c r="G1" s="59" t="s">
        <v>7</v>
      </c>
      <c r="H1" s="3" t="s">
        <v>8</v>
      </c>
      <c r="I1" s="3" t="s">
        <v>105</v>
      </c>
    </row>
    <row r="2" spans="1:9">
      <c r="A2" s="44"/>
      <c r="B2" s="52" t="s">
        <v>117</v>
      </c>
      <c r="C2" s="49" t="s">
        <v>3553</v>
      </c>
      <c r="D2" s="49" t="s">
        <v>3596</v>
      </c>
      <c r="E2" s="62"/>
      <c r="F2" s="44"/>
      <c r="G2" s="60" t="s">
        <v>3553</v>
      </c>
      <c r="H2" s="39" t="s">
        <v>3894</v>
      </c>
      <c r="I2" s="39"/>
    </row>
    <row r="3" spans="1:9">
      <c r="A3" s="44"/>
      <c r="B3" s="52"/>
      <c r="C3" s="49" t="s">
        <v>3895</v>
      </c>
      <c r="D3" s="49" t="s">
        <v>45</v>
      </c>
      <c r="E3" s="62"/>
      <c r="F3" s="44"/>
      <c r="G3" s="60" t="s">
        <v>3896</v>
      </c>
      <c r="H3" s="39"/>
      <c r="I3" s="27" t="s">
        <v>3897</v>
      </c>
    </row>
    <row r="4" spans="1:9">
      <c r="A4" s="44"/>
      <c r="C4" s="15" t="s">
        <v>3549</v>
      </c>
      <c r="D4" s="15" t="s">
        <v>3550</v>
      </c>
      <c r="E4" s="62"/>
      <c r="F4" s="15"/>
      <c r="G4" s="15" t="s">
        <v>3549</v>
      </c>
      <c r="H4" s="24"/>
      <c r="I4" s="39"/>
    </row>
    <row r="5" spans="1:9" ht="41.4">
      <c r="A5" s="44"/>
      <c r="C5" s="15" t="s">
        <v>407</v>
      </c>
      <c r="D5" s="15" t="s">
        <v>4190</v>
      </c>
      <c r="E5" s="62"/>
      <c r="F5" s="15"/>
      <c r="G5" s="15" t="s">
        <v>411</v>
      </c>
      <c r="H5" s="24" t="s">
        <v>3578</v>
      </c>
      <c r="I5" s="39"/>
    </row>
    <row r="6" spans="1:9">
      <c r="A6" s="44"/>
      <c r="C6" s="12" t="s">
        <v>3752</v>
      </c>
      <c r="D6" s="12" t="s">
        <v>3531</v>
      </c>
      <c r="E6" s="11"/>
      <c r="F6" s="10"/>
      <c r="G6" s="4" t="s">
        <v>157</v>
      </c>
      <c r="H6" s="24"/>
      <c r="I6" s="39"/>
    </row>
    <row r="7" spans="1:9">
      <c r="A7" s="44"/>
      <c r="C7" s="29" t="s">
        <v>3751</v>
      </c>
      <c r="D7" s="29" t="s">
        <v>215</v>
      </c>
      <c r="E7" s="28"/>
      <c r="F7" s="32"/>
      <c r="G7" s="22" t="s">
        <v>158</v>
      </c>
      <c r="H7" s="24"/>
      <c r="I7" s="39"/>
    </row>
    <row r="8" spans="1:9">
      <c r="A8" s="44"/>
      <c r="C8" s="36" t="s">
        <v>180</v>
      </c>
      <c r="D8" s="29" t="s">
        <v>162</v>
      </c>
      <c r="E8" s="14" t="s">
        <v>3534</v>
      </c>
      <c r="F8" s="32"/>
      <c r="G8" s="32" t="s">
        <v>178</v>
      </c>
      <c r="H8" s="24"/>
      <c r="I8" s="39"/>
    </row>
    <row r="9" spans="1:9">
      <c r="A9" s="44"/>
      <c r="C9" s="15" t="s">
        <v>3898</v>
      </c>
      <c r="D9" s="15" t="s">
        <v>3910</v>
      </c>
      <c r="E9" s="62" t="s">
        <v>16</v>
      </c>
      <c r="F9" s="15"/>
      <c r="G9" s="15" t="s">
        <v>3900</v>
      </c>
      <c r="H9" s="24"/>
      <c r="I9" s="39"/>
    </row>
    <row r="10" spans="1:9">
      <c r="A10" s="44"/>
      <c r="C10" s="15" t="s">
        <v>3985</v>
      </c>
      <c r="D10" s="15" t="s">
        <v>3911</v>
      </c>
      <c r="E10" s="62" t="s">
        <v>16</v>
      </c>
      <c r="F10" s="15"/>
      <c r="G10" s="15" t="s">
        <v>3986</v>
      </c>
      <c r="H10" s="24"/>
      <c r="I10" s="39"/>
    </row>
    <row r="11" spans="1:9">
      <c r="A11" s="44"/>
      <c r="C11" s="15" t="s">
        <v>3899</v>
      </c>
      <c r="D11" s="15" t="s">
        <v>3910</v>
      </c>
      <c r="E11" s="62" t="s">
        <v>16</v>
      </c>
      <c r="F11" s="15"/>
      <c r="G11" s="15" t="s">
        <v>3901</v>
      </c>
      <c r="H11" s="24"/>
      <c r="I11" s="39"/>
    </row>
    <row r="12" spans="1:9">
      <c r="A12" s="44"/>
      <c r="B12" s="52"/>
      <c r="C12" s="15" t="s">
        <v>3987</v>
      </c>
      <c r="D12" s="15" t="s">
        <v>3912</v>
      </c>
      <c r="E12" s="62" t="s">
        <v>16</v>
      </c>
      <c r="F12" s="44"/>
      <c r="G12" s="49" t="s">
        <v>3902</v>
      </c>
      <c r="H12" s="55"/>
      <c r="I12" s="55"/>
    </row>
    <row r="13" spans="1:9">
      <c r="A13" s="44"/>
      <c r="B13" s="52"/>
      <c r="C13" s="60" t="s">
        <v>3990</v>
      </c>
      <c r="D13" s="15" t="s">
        <v>3913</v>
      </c>
      <c r="E13" s="62" t="s">
        <v>16</v>
      </c>
      <c r="F13" s="44"/>
      <c r="G13" s="49" t="s">
        <v>3988</v>
      </c>
      <c r="H13" s="55"/>
      <c r="I13" s="55"/>
    </row>
    <row r="14" spans="1:9">
      <c r="A14" s="44"/>
      <c r="B14" s="52"/>
      <c r="C14" s="49" t="s">
        <v>69</v>
      </c>
      <c r="D14" s="49" t="s">
        <v>11</v>
      </c>
      <c r="E14" s="62" t="s">
        <v>16</v>
      </c>
      <c r="F14" s="60" t="s">
        <v>20</v>
      </c>
      <c r="G14" s="49" t="s">
        <v>30</v>
      </c>
      <c r="H14" s="55"/>
      <c r="I14" s="55"/>
    </row>
    <row r="15" spans="1:9">
      <c r="A15" s="44"/>
      <c r="B15" s="52"/>
      <c r="C15" s="49" t="s">
        <v>1</v>
      </c>
      <c r="D15" s="49" t="s">
        <v>37</v>
      </c>
      <c r="E15" s="62"/>
      <c r="F15" s="60"/>
      <c r="G15" s="49" t="s">
        <v>31</v>
      </c>
      <c r="H15" s="55"/>
      <c r="I15" s="55"/>
    </row>
    <row r="16" spans="1:9">
      <c r="A16" s="44"/>
      <c r="B16" s="52"/>
      <c r="C16" s="49" t="s">
        <v>19</v>
      </c>
      <c r="D16" s="49" t="s">
        <v>11</v>
      </c>
      <c r="E16" s="62" t="s">
        <v>16</v>
      </c>
      <c r="F16" s="60" t="s">
        <v>20</v>
      </c>
      <c r="G16" s="49" t="s">
        <v>32</v>
      </c>
      <c r="H16" s="55"/>
      <c r="I16" s="55"/>
    </row>
    <row r="17" spans="1:9">
      <c r="A17" s="44"/>
      <c r="B17" s="52"/>
      <c r="C17" s="49" t="s">
        <v>70</v>
      </c>
      <c r="D17" s="49" t="s">
        <v>37</v>
      </c>
      <c r="E17" s="62"/>
      <c r="F17" s="60"/>
      <c r="G17" s="49" t="s">
        <v>33</v>
      </c>
      <c r="H17" s="55"/>
      <c r="I17" s="55"/>
    </row>
    <row r="18" spans="1:9">
      <c r="A18" s="44"/>
      <c r="B18" s="52"/>
      <c r="C18" s="49"/>
      <c r="D18" s="49"/>
      <c r="E18" s="62"/>
      <c r="F18" s="60"/>
      <c r="G18" s="49"/>
      <c r="H18" s="55"/>
      <c r="I18" s="55"/>
    </row>
    <row r="19" spans="1:9">
      <c r="A19" s="44"/>
      <c r="B19" s="52"/>
      <c r="C19" s="49"/>
      <c r="D19" s="49"/>
      <c r="E19" s="62"/>
      <c r="F19" s="60"/>
      <c r="G19" s="49"/>
      <c r="H19" s="55"/>
      <c r="I19" s="55"/>
    </row>
    <row r="20" spans="1:9">
      <c r="A20" s="44"/>
      <c r="B20" s="52"/>
      <c r="C20" s="12"/>
      <c r="D20" s="12"/>
      <c r="E20" s="11"/>
      <c r="F20" s="10"/>
      <c r="G20" s="4"/>
      <c r="H20" s="55"/>
      <c r="I20" s="55"/>
    </row>
    <row r="21" spans="1:9">
      <c r="A21" s="44"/>
      <c r="B21" s="52"/>
      <c r="C21" s="29"/>
      <c r="D21" s="29"/>
      <c r="E21" s="28"/>
      <c r="F21" s="32"/>
      <c r="G21" s="22"/>
      <c r="H21" s="55"/>
      <c r="I21" s="55"/>
    </row>
    <row r="22" spans="1:9">
      <c r="A22" s="44"/>
      <c r="B22" s="52"/>
      <c r="C22" s="36"/>
      <c r="D22" s="36"/>
      <c r="E22" s="41"/>
      <c r="F22" s="32"/>
      <c r="G22" s="32"/>
      <c r="H22" s="55"/>
      <c r="I22" s="55"/>
    </row>
    <row r="23" spans="1:9">
      <c r="A23" s="44"/>
      <c r="B23" s="52"/>
      <c r="C23" s="36"/>
      <c r="D23" s="29"/>
      <c r="E23" s="14"/>
      <c r="F23" s="32"/>
      <c r="G23" s="32"/>
      <c r="H23" s="55"/>
      <c r="I23" s="55"/>
    </row>
    <row r="24" spans="1:9">
      <c r="A24" s="44"/>
      <c r="B24" s="52"/>
      <c r="C24" s="60"/>
      <c r="D24" s="39"/>
      <c r="E24" s="62"/>
      <c r="F24" s="44"/>
      <c r="G24" s="49"/>
      <c r="H24" s="55"/>
      <c r="I24" s="55"/>
    </row>
    <row r="25" spans="1:9">
      <c r="A25" s="44"/>
      <c r="B25" s="52"/>
      <c r="C25" s="60"/>
      <c r="D25" s="39"/>
      <c r="E25" s="62"/>
      <c r="F25" s="44"/>
      <c r="G25" s="49"/>
      <c r="H25" s="55"/>
      <c r="I25" s="55"/>
    </row>
    <row r="26" spans="1:9">
      <c r="A26" s="44"/>
      <c r="B26" s="52"/>
      <c r="C26" s="60"/>
      <c r="D26" s="39"/>
      <c r="E26" s="62"/>
      <c r="F26" s="44"/>
      <c r="G26" s="49"/>
      <c r="H26" s="55"/>
      <c r="I26" s="55"/>
    </row>
    <row r="27" spans="1:9">
      <c r="A27" s="44"/>
      <c r="B27" s="52"/>
      <c r="C27" s="49"/>
      <c r="D27" s="49"/>
      <c r="E27" s="62"/>
      <c r="F27" s="60"/>
      <c r="G27" s="49"/>
      <c r="H27" s="39"/>
      <c r="I27" s="39"/>
    </row>
    <row r="28" spans="1:9">
      <c r="A28" s="44"/>
      <c r="B28" s="52"/>
      <c r="C28" s="49"/>
      <c r="D28" s="49"/>
      <c r="E28" s="62"/>
      <c r="F28" s="60"/>
      <c r="G28" s="49"/>
      <c r="H28" s="39"/>
      <c r="I28" s="39"/>
    </row>
    <row r="29" spans="1:9">
      <c r="A29" s="44"/>
      <c r="B29" s="52"/>
      <c r="C29" s="49"/>
      <c r="D29" s="49"/>
      <c r="E29" s="62"/>
      <c r="F29" s="60"/>
      <c r="G29" s="49"/>
      <c r="H29" s="39"/>
      <c r="I29" s="39"/>
    </row>
    <row r="30" spans="1:9">
      <c r="A30" s="44"/>
      <c r="B30" s="52"/>
      <c r="C30" s="49"/>
      <c r="D30" s="49"/>
      <c r="E30" s="62"/>
      <c r="F30" s="60"/>
      <c r="G30" s="49"/>
      <c r="H30" s="39"/>
      <c r="I30" s="39"/>
    </row>
  </sheetData>
  <phoneticPr fontId="3" type="noConversion"/>
  <hyperlinks>
    <hyperlink ref="A1" location="目錄!A1" display="回到目錄"/>
  </hyperlinks>
  <pageMargins left="0.7" right="0.7" top="0.75" bottom="0.75" header="0.3" footer="0.3"/>
  <pageSetup paperSize="9" orientation="portrait" horizontalDpi="300" verticalDpi="300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2"/>
  <dimension ref="A1:R99"/>
  <sheetViews>
    <sheetView workbookViewId="0">
      <pane ySplit="1" topLeftCell="A56" activePane="bottomLeft" state="frozen"/>
      <selection activeCell="C1" sqref="C1"/>
      <selection pane="bottomLeft"/>
    </sheetView>
  </sheetViews>
  <sheetFormatPr defaultRowHeight="13.8"/>
  <cols>
    <col min="1" max="1" width="7.453125" style="39" customWidth="1"/>
    <col min="2" max="2" width="11.453125" style="39" customWidth="1"/>
    <col min="3" max="3" width="7.7265625" style="39" customWidth="1"/>
    <col min="4" max="4" width="11.81640625" style="39" customWidth="1"/>
    <col min="5" max="5" width="12.08984375" style="39" bestFit="1" customWidth="1"/>
    <col min="6" max="6" width="11.54296875" style="39" bestFit="1" customWidth="1"/>
    <col min="7" max="7" width="11.7265625" style="39" customWidth="1"/>
    <col min="8" max="8" width="10.6328125" style="39" bestFit="1" customWidth="1"/>
    <col min="9" max="9" width="13.08984375" style="39" bestFit="1" customWidth="1"/>
    <col min="10" max="10" width="16.453125" style="39" bestFit="1" customWidth="1"/>
    <col min="11" max="11" width="14.26953125" style="39" bestFit="1" customWidth="1"/>
    <col min="12" max="12" width="15.54296875" style="39" bestFit="1" customWidth="1"/>
    <col min="13" max="13" width="14.54296875" style="39" bestFit="1" customWidth="1"/>
    <col min="14" max="14" width="9.6328125" style="39" bestFit="1" customWidth="1"/>
    <col min="15" max="15" width="6.6328125" style="39" customWidth="1"/>
    <col min="16" max="16" width="10.08984375" style="39" bestFit="1" customWidth="1"/>
    <col min="17" max="17" width="7.453125" style="39" customWidth="1"/>
    <col min="18" max="18" width="13.90625" style="39" bestFit="1" customWidth="1"/>
    <col min="19" max="16384" width="8.7265625" style="39"/>
  </cols>
  <sheetData>
    <row r="1" spans="1:17" ht="27.6">
      <c r="A1" s="69" t="s">
        <v>36</v>
      </c>
      <c r="B1" s="85" t="s">
        <v>3552</v>
      </c>
      <c r="C1" s="85" t="s">
        <v>3903</v>
      </c>
      <c r="D1" s="86" t="s">
        <v>3548</v>
      </c>
      <c r="E1" s="85" t="s">
        <v>3569</v>
      </c>
      <c r="F1" s="86" t="s">
        <v>3752</v>
      </c>
      <c r="G1" s="86" t="s">
        <v>3751</v>
      </c>
      <c r="H1" s="86" t="s">
        <v>3914</v>
      </c>
      <c r="I1" s="86" t="s">
        <v>3904</v>
      </c>
      <c r="J1" s="86" t="s">
        <v>3984</v>
      </c>
      <c r="K1" s="86" t="s">
        <v>3905</v>
      </c>
      <c r="L1" s="87" t="s">
        <v>3906</v>
      </c>
      <c r="M1" s="87" t="s">
        <v>3989</v>
      </c>
      <c r="N1" s="87" t="s">
        <v>0</v>
      </c>
      <c r="O1" s="87" t="s">
        <v>1</v>
      </c>
      <c r="P1" s="87" t="s">
        <v>19</v>
      </c>
      <c r="Q1" s="87" t="s">
        <v>2</v>
      </c>
    </row>
    <row r="2" spans="1:17">
      <c r="B2" s="60" t="s">
        <v>3907</v>
      </c>
      <c r="C2" s="60">
        <v>1</v>
      </c>
      <c r="D2" s="60" t="s">
        <v>3908</v>
      </c>
      <c r="E2" s="83" t="s">
        <v>3571</v>
      </c>
      <c r="F2" s="60" t="s">
        <v>3915</v>
      </c>
      <c r="G2" s="60">
        <v>111</v>
      </c>
      <c r="H2" s="60">
        <v>222</v>
      </c>
      <c r="I2" s="60" t="s">
        <v>3994</v>
      </c>
      <c r="J2" s="60" t="s">
        <v>3923</v>
      </c>
      <c r="K2" s="60" t="s">
        <v>3991</v>
      </c>
      <c r="L2" s="60" t="s">
        <v>3924</v>
      </c>
      <c r="M2" s="39" t="s">
        <v>4052</v>
      </c>
      <c r="N2" s="60"/>
      <c r="O2" s="39" t="s">
        <v>3909</v>
      </c>
      <c r="Q2" s="39" t="s">
        <v>3909</v>
      </c>
    </row>
    <row r="3" spans="1:17">
      <c r="B3" s="60"/>
      <c r="C3" s="60"/>
      <c r="D3" s="60"/>
      <c r="E3" s="60"/>
      <c r="F3" s="60"/>
      <c r="G3" s="60"/>
      <c r="H3" s="60"/>
      <c r="I3" s="60" t="s">
        <v>3994</v>
      </c>
      <c r="J3" s="84" t="s">
        <v>3923</v>
      </c>
      <c r="K3" s="84" t="s">
        <v>4010</v>
      </c>
      <c r="L3" s="84" t="s">
        <v>3925</v>
      </c>
      <c r="M3" s="39" t="s">
        <v>4052</v>
      </c>
      <c r="N3" s="60"/>
      <c r="O3" s="39" t="s">
        <v>3909</v>
      </c>
      <c r="Q3" s="39" t="s">
        <v>3909</v>
      </c>
    </row>
    <row r="4" spans="1:17">
      <c r="B4" s="60"/>
      <c r="C4" s="60"/>
      <c r="D4" s="60"/>
      <c r="E4" s="60"/>
      <c r="F4" s="60"/>
      <c r="G4" s="60"/>
      <c r="H4" s="60"/>
      <c r="I4" s="60" t="s">
        <v>4039</v>
      </c>
      <c r="J4" s="84" t="s">
        <v>4040</v>
      </c>
      <c r="K4" s="84" t="s">
        <v>4041</v>
      </c>
      <c r="L4" s="84" t="s">
        <v>4042</v>
      </c>
      <c r="M4" s="39" t="s">
        <v>4052</v>
      </c>
      <c r="N4" s="60"/>
      <c r="O4" s="39" t="s">
        <v>3909</v>
      </c>
      <c r="Q4" s="39" t="s">
        <v>3909</v>
      </c>
    </row>
    <row r="5" spans="1:17">
      <c r="B5" s="60"/>
      <c r="C5" s="60"/>
      <c r="D5" s="60"/>
      <c r="F5" s="60"/>
      <c r="G5" s="60"/>
      <c r="H5" s="60"/>
      <c r="I5" s="60" t="s">
        <v>3995</v>
      </c>
      <c r="J5" s="84" t="s">
        <v>3926</v>
      </c>
      <c r="K5" s="84" t="s">
        <v>4008</v>
      </c>
      <c r="L5" s="84" t="s">
        <v>3927</v>
      </c>
      <c r="M5" s="39" t="s">
        <v>4052</v>
      </c>
      <c r="N5" s="60"/>
      <c r="O5" s="39" t="s">
        <v>3909</v>
      </c>
      <c r="Q5" s="39" t="s">
        <v>3909</v>
      </c>
    </row>
    <row r="6" spans="1:17">
      <c r="B6" s="60"/>
      <c r="C6" s="60"/>
      <c r="D6" s="60"/>
      <c r="F6" s="60"/>
      <c r="G6" s="60"/>
      <c r="H6" s="60"/>
      <c r="I6" s="60" t="s">
        <v>3995</v>
      </c>
      <c r="J6" s="84" t="s">
        <v>3926</v>
      </c>
      <c r="K6" s="84" t="s">
        <v>4009</v>
      </c>
      <c r="L6" s="84" t="s">
        <v>3928</v>
      </c>
      <c r="M6" s="39" t="s">
        <v>4052</v>
      </c>
      <c r="N6" s="60"/>
      <c r="O6" s="39" t="s">
        <v>3909</v>
      </c>
      <c r="Q6" s="39" t="s">
        <v>3909</v>
      </c>
    </row>
    <row r="7" spans="1:17">
      <c r="B7" s="60"/>
      <c r="C7" s="60"/>
      <c r="D7" s="60"/>
      <c r="E7" s="60"/>
      <c r="F7" s="60"/>
      <c r="G7" s="60"/>
      <c r="H7" s="60"/>
      <c r="I7" s="60" t="s">
        <v>3995</v>
      </c>
      <c r="J7" s="84" t="s">
        <v>3926</v>
      </c>
      <c r="K7" s="84" t="s">
        <v>4006</v>
      </c>
      <c r="L7" s="84" t="s">
        <v>3929</v>
      </c>
      <c r="M7" s="39" t="s">
        <v>4052</v>
      </c>
      <c r="N7" s="60"/>
      <c r="O7" s="39" t="s">
        <v>3909</v>
      </c>
      <c r="Q7" s="39" t="s">
        <v>3909</v>
      </c>
    </row>
    <row r="8" spans="1:17">
      <c r="B8" s="60"/>
      <c r="C8" s="60"/>
      <c r="D8" s="60"/>
      <c r="E8" s="83"/>
      <c r="F8" s="60"/>
      <c r="G8" s="60"/>
      <c r="H8" s="60"/>
      <c r="I8" s="60" t="s">
        <v>3995</v>
      </c>
      <c r="J8" s="84" t="s">
        <v>3926</v>
      </c>
      <c r="K8" s="84" t="s">
        <v>4007</v>
      </c>
      <c r="L8" s="84" t="s">
        <v>3930</v>
      </c>
      <c r="M8" s="39" t="s">
        <v>4052</v>
      </c>
      <c r="N8" s="60"/>
      <c r="O8" s="39" t="s">
        <v>3909</v>
      </c>
      <c r="Q8" s="39" t="s">
        <v>3909</v>
      </c>
    </row>
    <row r="9" spans="1:17">
      <c r="B9" s="60"/>
      <c r="C9" s="60"/>
      <c r="D9" s="60"/>
      <c r="F9" s="60"/>
      <c r="G9" s="60"/>
      <c r="H9" s="60"/>
      <c r="I9" s="60" t="s">
        <v>3992</v>
      </c>
      <c r="J9" s="84" t="s">
        <v>3931</v>
      </c>
      <c r="K9" s="84" t="s">
        <v>4011</v>
      </c>
      <c r="L9" s="84" t="s">
        <v>3932</v>
      </c>
      <c r="M9" s="39" t="s">
        <v>4051</v>
      </c>
      <c r="N9" s="60"/>
      <c r="O9" s="39" t="s">
        <v>3909</v>
      </c>
      <c r="Q9" s="39" t="s">
        <v>3909</v>
      </c>
    </row>
    <row r="10" spans="1:17">
      <c r="B10" s="60"/>
      <c r="C10" s="60"/>
      <c r="D10" s="60"/>
      <c r="F10" s="60"/>
      <c r="G10" s="60"/>
      <c r="H10" s="60"/>
      <c r="I10" s="60" t="s">
        <v>3992</v>
      </c>
      <c r="J10" s="84" t="s">
        <v>3928</v>
      </c>
      <c r="K10" s="84" t="s">
        <v>4011</v>
      </c>
      <c r="L10" s="84" t="s">
        <v>3932</v>
      </c>
      <c r="M10" s="39" t="s">
        <v>4066</v>
      </c>
      <c r="N10" s="60"/>
      <c r="O10" s="39" t="s">
        <v>3909</v>
      </c>
      <c r="Q10" s="39" t="s">
        <v>3909</v>
      </c>
    </row>
    <row r="11" spans="1:17">
      <c r="B11" s="60"/>
      <c r="C11" s="60"/>
      <c r="D11" s="60"/>
      <c r="E11" s="60"/>
      <c r="F11" s="60"/>
      <c r="G11" s="60"/>
      <c r="H11" s="60"/>
      <c r="I11" s="60" t="s">
        <v>3992</v>
      </c>
      <c r="J11" s="84" t="s">
        <v>3931</v>
      </c>
      <c r="K11" s="84" t="s">
        <v>4012</v>
      </c>
      <c r="L11" s="84" t="s">
        <v>3933</v>
      </c>
      <c r="M11" s="39" t="s">
        <v>4050</v>
      </c>
      <c r="N11" s="60"/>
      <c r="O11" s="39" t="s">
        <v>3909</v>
      </c>
      <c r="Q11" s="39" t="s">
        <v>3909</v>
      </c>
    </row>
    <row r="12" spans="1:17">
      <c r="B12" s="60"/>
      <c r="C12" s="60"/>
      <c r="D12" s="60"/>
      <c r="F12" s="60"/>
      <c r="G12" s="60"/>
      <c r="H12" s="60"/>
      <c r="I12" s="60" t="s">
        <v>3992</v>
      </c>
      <c r="J12" s="84" t="s">
        <v>3931</v>
      </c>
      <c r="K12" s="84" t="s">
        <v>4013</v>
      </c>
      <c r="L12" s="84" t="s">
        <v>3934</v>
      </c>
      <c r="M12" s="39" t="s">
        <v>4052</v>
      </c>
      <c r="N12" s="60"/>
      <c r="O12" s="39" t="s">
        <v>3909</v>
      </c>
      <c r="Q12" s="39" t="s">
        <v>3909</v>
      </c>
    </row>
    <row r="13" spans="1:17">
      <c r="B13" s="60"/>
      <c r="C13" s="60"/>
      <c r="D13" s="60"/>
      <c r="E13" s="83"/>
      <c r="F13" s="60"/>
      <c r="G13" s="60"/>
      <c r="H13" s="60"/>
      <c r="I13" s="60" t="s">
        <v>3993</v>
      </c>
      <c r="J13" s="84" t="s">
        <v>3935</v>
      </c>
      <c r="K13" s="60" t="s">
        <v>3996</v>
      </c>
      <c r="L13" s="84" t="s">
        <v>3940</v>
      </c>
      <c r="M13" s="39" t="s">
        <v>4052</v>
      </c>
      <c r="N13" s="60"/>
      <c r="O13" s="39" t="s">
        <v>3909</v>
      </c>
      <c r="Q13" s="39" t="s">
        <v>3909</v>
      </c>
    </row>
    <row r="14" spans="1:17">
      <c r="B14" s="60"/>
      <c r="C14" s="60"/>
      <c r="D14" s="60"/>
      <c r="F14" s="60"/>
      <c r="G14" s="60"/>
      <c r="H14" s="60"/>
      <c r="I14" s="60" t="s">
        <v>3993</v>
      </c>
      <c r="J14" s="84" t="s">
        <v>3927</v>
      </c>
      <c r="K14" s="60" t="s">
        <v>3997</v>
      </c>
      <c r="L14" s="84" t="s">
        <v>3941</v>
      </c>
      <c r="M14" s="39" t="s">
        <v>4052</v>
      </c>
      <c r="N14" s="60"/>
      <c r="O14" s="39" t="s">
        <v>3909</v>
      </c>
      <c r="Q14" s="39" t="s">
        <v>3909</v>
      </c>
    </row>
    <row r="15" spans="1:17">
      <c r="B15" s="60"/>
      <c r="C15" s="60"/>
      <c r="D15" s="60"/>
      <c r="E15" s="60"/>
      <c r="F15" s="60"/>
      <c r="G15" s="60"/>
      <c r="H15" s="60"/>
      <c r="I15" s="60" t="s">
        <v>3993</v>
      </c>
      <c r="J15" s="84" t="s">
        <v>3927</v>
      </c>
      <c r="K15" s="60" t="s">
        <v>3998</v>
      </c>
      <c r="L15" s="84" t="s">
        <v>3937</v>
      </c>
      <c r="M15" s="39" t="s">
        <v>4052</v>
      </c>
      <c r="N15" s="60"/>
      <c r="O15" s="39" t="s">
        <v>3909</v>
      </c>
      <c r="Q15" s="39" t="s">
        <v>3909</v>
      </c>
    </row>
    <row r="16" spans="1:17">
      <c r="B16" s="60"/>
      <c r="C16" s="60"/>
      <c r="D16" s="60"/>
      <c r="F16" s="60"/>
      <c r="G16" s="60"/>
      <c r="H16" s="60"/>
      <c r="I16" s="60" t="s">
        <v>3993</v>
      </c>
      <c r="J16" s="84" t="s">
        <v>3927</v>
      </c>
      <c r="K16" s="84" t="s">
        <v>4014</v>
      </c>
      <c r="L16" s="84" t="s">
        <v>3936</v>
      </c>
      <c r="M16" s="39" t="s">
        <v>4052</v>
      </c>
      <c r="N16" s="60"/>
      <c r="O16" s="39" t="s">
        <v>3909</v>
      </c>
      <c r="Q16" s="39" t="s">
        <v>3909</v>
      </c>
    </row>
    <row r="17" spans="2:17">
      <c r="B17" s="60"/>
      <c r="C17" s="60"/>
      <c r="D17" s="60"/>
      <c r="F17" s="60"/>
      <c r="G17" s="60"/>
      <c r="H17" s="60"/>
      <c r="I17" s="60" t="s">
        <v>3993</v>
      </c>
      <c r="J17" s="84" t="s">
        <v>3927</v>
      </c>
      <c r="K17" s="84" t="s">
        <v>4013</v>
      </c>
      <c r="L17" s="84" t="s">
        <v>3934</v>
      </c>
      <c r="M17" s="39" t="s">
        <v>4052</v>
      </c>
      <c r="N17" s="60"/>
      <c r="O17" s="39" t="s">
        <v>3909</v>
      </c>
      <c r="Q17" s="39" t="s">
        <v>3909</v>
      </c>
    </row>
    <row r="18" spans="2:17">
      <c r="B18" s="60"/>
      <c r="C18" s="60"/>
      <c r="D18" s="60"/>
      <c r="E18" s="60"/>
      <c r="F18" s="60"/>
      <c r="G18" s="60"/>
      <c r="H18" s="60"/>
      <c r="I18" s="60" t="s">
        <v>3996</v>
      </c>
      <c r="J18" s="84" t="s">
        <v>3940</v>
      </c>
      <c r="K18" s="84" t="s">
        <v>4011</v>
      </c>
      <c r="L18" s="39" t="s">
        <v>3942</v>
      </c>
      <c r="M18" s="39" t="s">
        <v>4053</v>
      </c>
      <c r="N18" s="60"/>
      <c r="O18" s="39" t="s">
        <v>3909</v>
      </c>
      <c r="Q18" s="39" t="s">
        <v>3909</v>
      </c>
    </row>
    <row r="19" spans="2:17">
      <c r="B19" s="60"/>
      <c r="C19" s="60"/>
      <c r="D19" s="60"/>
      <c r="E19" s="60"/>
      <c r="F19" s="60"/>
      <c r="G19" s="60"/>
      <c r="H19" s="60"/>
      <c r="I19" s="60" t="s">
        <v>3996</v>
      </c>
      <c r="J19" s="84" t="s">
        <v>3940</v>
      </c>
      <c r="K19" s="84" t="s">
        <v>4011</v>
      </c>
      <c r="L19" s="39" t="s">
        <v>3932</v>
      </c>
      <c r="M19" s="39" t="s">
        <v>4066</v>
      </c>
      <c r="N19" s="60"/>
      <c r="O19" s="39" t="s">
        <v>3909</v>
      </c>
      <c r="Q19" s="39" t="s">
        <v>3909</v>
      </c>
    </row>
    <row r="20" spans="2:17">
      <c r="B20" s="60"/>
      <c r="C20" s="60"/>
      <c r="D20" s="60"/>
      <c r="F20" s="60"/>
      <c r="G20" s="60"/>
      <c r="H20" s="60"/>
      <c r="I20" s="60" t="s">
        <v>3996</v>
      </c>
      <c r="J20" s="84" t="s">
        <v>3940</v>
      </c>
      <c r="K20" s="84" t="s">
        <v>4015</v>
      </c>
      <c r="L20" s="39" t="s">
        <v>3943</v>
      </c>
      <c r="M20" s="39" t="s">
        <v>4054</v>
      </c>
      <c r="N20" s="60"/>
      <c r="O20" s="39" t="s">
        <v>3909</v>
      </c>
      <c r="Q20" s="39" t="s">
        <v>3909</v>
      </c>
    </row>
    <row r="21" spans="2:17">
      <c r="B21" s="60"/>
      <c r="C21" s="60"/>
      <c r="D21" s="60"/>
      <c r="F21" s="60"/>
      <c r="G21" s="60"/>
      <c r="H21" s="60"/>
      <c r="I21" s="60" t="s">
        <v>3996</v>
      </c>
      <c r="J21" s="84" t="s">
        <v>3940</v>
      </c>
      <c r="K21" s="84" t="s">
        <v>4016</v>
      </c>
      <c r="L21" s="84" t="s">
        <v>3939</v>
      </c>
      <c r="M21" s="39" t="s">
        <v>4052</v>
      </c>
      <c r="N21" s="60"/>
      <c r="O21" s="39" t="s">
        <v>3909</v>
      </c>
      <c r="Q21" s="39" t="s">
        <v>3909</v>
      </c>
    </row>
    <row r="22" spans="2:17">
      <c r="B22" s="60"/>
      <c r="C22" s="60"/>
      <c r="D22" s="60"/>
      <c r="F22" s="60"/>
      <c r="G22" s="60"/>
      <c r="H22" s="60"/>
      <c r="I22" s="60" t="s">
        <v>3997</v>
      </c>
      <c r="J22" s="84" t="s">
        <v>3944</v>
      </c>
      <c r="K22" s="84" t="s">
        <v>4011</v>
      </c>
      <c r="L22" s="84" t="s">
        <v>3942</v>
      </c>
      <c r="M22" s="39" t="s">
        <v>4055</v>
      </c>
      <c r="N22" s="60"/>
      <c r="O22" s="39" t="s">
        <v>3909</v>
      </c>
      <c r="Q22" s="39" t="s">
        <v>3909</v>
      </c>
    </row>
    <row r="23" spans="2:17">
      <c r="B23" s="60"/>
      <c r="C23" s="60"/>
      <c r="D23" s="60"/>
      <c r="F23" s="60"/>
      <c r="G23" s="60"/>
      <c r="H23" s="60"/>
      <c r="I23" s="60" t="s">
        <v>3997</v>
      </c>
      <c r="J23" s="84" t="s">
        <v>3941</v>
      </c>
      <c r="K23" s="84" t="s">
        <v>4011</v>
      </c>
      <c r="L23" s="84" t="s">
        <v>3932</v>
      </c>
      <c r="M23" s="39" t="s">
        <v>4066</v>
      </c>
      <c r="N23" s="60"/>
      <c r="O23" s="39" t="s">
        <v>3909</v>
      </c>
      <c r="Q23" s="39" t="s">
        <v>3909</v>
      </c>
    </row>
    <row r="24" spans="2:17">
      <c r="B24" s="60"/>
      <c r="C24" s="60"/>
      <c r="D24" s="60"/>
      <c r="F24" s="60"/>
      <c r="G24" s="60"/>
      <c r="H24" s="60"/>
      <c r="I24" s="60" t="s">
        <v>3997</v>
      </c>
      <c r="J24" s="84" t="s">
        <v>3941</v>
      </c>
      <c r="K24" s="84" t="s">
        <v>4015</v>
      </c>
      <c r="L24" s="39" t="s">
        <v>3943</v>
      </c>
      <c r="M24" s="39" t="s">
        <v>4056</v>
      </c>
      <c r="N24" s="60"/>
      <c r="O24" s="39" t="s">
        <v>3909</v>
      </c>
      <c r="Q24" s="39" t="s">
        <v>3909</v>
      </c>
    </row>
    <row r="25" spans="2:17">
      <c r="B25" s="60"/>
      <c r="C25" s="60"/>
      <c r="D25" s="60"/>
      <c r="F25" s="60"/>
      <c r="G25" s="60"/>
      <c r="H25" s="60"/>
      <c r="I25" s="60" t="s">
        <v>3997</v>
      </c>
      <c r="J25" s="84" t="s">
        <v>3941</v>
      </c>
      <c r="K25" s="84" t="s">
        <v>4016</v>
      </c>
      <c r="L25" s="39" t="s">
        <v>3945</v>
      </c>
      <c r="M25" s="39" t="s">
        <v>4052</v>
      </c>
      <c r="N25" s="60"/>
      <c r="O25" s="39" t="s">
        <v>3909</v>
      </c>
      <c r="Q25" s="39" t="s">
        <v>3909</v>
      </c>
    </row>
    <row r="26" spans="2:17">
      <c r="B26" s="60"/>
      <c r="C26" s="60"/>
      <c r="D26" s="60"/>
      <c r="F26" s="60"/>
      <c r="G26" s="60"/>
      <c r="H26" s="60"/>
      <c r="I26" s="60" t="s">
        <v>3998</v>
      </c>
      <c r="J26" s="84" t="s">
        <v>3937</v>
      </c>
      <c r="K26" s="60" t="s">
        <v>3996</v>
      </c>
      <c r="L26" s="84" t="s">
        <v>3940</v>
      </c>
      <c r="M26" s="39" t="s">
        <v>4052</v>
      </c>
      <c r="N26" s="60"/>
      <c r="O26" s="39" t="s">
        <v>3909</v>
      </c>
      <c r="Q26" s="39" t="s">
        <v>3909</v>
      </c>
    </row>
    <row r="27" spans="2:17">
      <c r="B27" s="60"/>
      <c r="C27" s="60"/>
      <c r="D27" s="60"/>
      <c r="F27" s="60"/>
      <c r="G27" s="60"/>
      <c r="H27" s="60"/>
      <c r="I27" s="60" t="s">
        <v>3998</v>
      </c>
      <c r="J27" s="84" t="s">
        <v>3937</v>
      </c>
      <c r="K27" s="60" t="s">
        <v>3997</v>
      </c>
      <c r="L27" s="84" t="s">
        <v>3941</v>
      </c>
      <c r="M27" s="39" t="s">
        <v>4052</v>
      </c>
      <c r="N27" s="60"/>
      <c r="O27" s="39" t="s">
        <v>3909</v>
      </c>
      <c r="Q27" s="39" t="s">
        <v>3909</v>
      </c>
    </row>
    <row r="28" spans="2:17">
      <c r="B28" s="60"/>
      <c r="C28" s="60"/>
      <c r="D28" s="60"/>
      <c r="F28" s="60"/>
      <c r="G28" s="60"/>
      <c r="H28" s="60"/>
      <c r="I28" s="60" t="s">
        <v>3998</v>
      </c>
      <c r="J28" s="84" t="s">
        <v>3937</v>
      </c>
      <c r="K28" s="84" t="s">
        <v>4017</v>
      </c>
      <c r="L28" s="84" t="s">
        <v>3938</v>
      </c>
      <c r="M28" s="39" t="s">
        <v>4052</v>
      </c>
      <c r="N28" s="60"/>
      <c r="O28" s="39" t="s">
        <v>3909</v>
      </c>
      <c r="Q28" s="39" t="s">
        <v>3909</v>
      </c>
    </row>
    <row r="29" spans="2:17">
      <c r="B29" s="60"/>
      <c r="C29" s="60"/>
      <c r="D29" s="60"/>
      <c r="F29" s="60"/>
      <c r="G29" s="60"/>
      <c r="H29" s="60"/>
      <c r="I29" s="60" t="s">
        <v>3998</v>
      </c>
      <c r="J29" s="84" t="s">
        <v>3937</v>
      </c>
      <c r="K29" s="84" t="s">
        <v>4016</v>
      </c>
      <c r="L29" s="84" t="s">
        <v>3939</v>
      </c>
      <c r="M29" s="39" t="s">
        <v>4052</v>
      </c>
      <c r="N29" s="60"/>
      <c r="O29" s="39" t="s">
        <v>3909</v>
      </c>
      <c r="Q29" s="39" t="s">
        <v>3909</v>
      </c>
    </row>
    <row r="30" spans="2:17">
      <c r="B30" s="60"/>
      <c r="C30" s="60"/>
      <c r="D30" s="60"/>
      <c r="F30" s="60"/>
      <c r="G30" s="60"/>
      <c r="H30" s="60"/>
      <c r="I30" s="60" t="s">
        <v>3999</v>
      </c>
      <c r="J30" s="84" t="s">
        <v>3946</v>
      </c>
      <c r="K30" s="84" t="s">
        <v>4018</v>
      </c>
      <c r="L30" s="84" t="s">
        <v>3947</v>
      </c>
      <c r="M30" s="39" t="s">
        <v>4052</v>
      </c>
      <c r="N30" s="60"/>
      <c r="O30" s="39" t="s">
        <v>3909</v>
      </c>
      <c r="Q30" s="39" t="s">
        <v>3909</v>
      </c>
    </row>
    <row r="31" spans="2:17">
      <c r="B31" s="60"/>
      <c r="C31" s="60"/>
      <c r="D31" s="60"/>
      <c r="F31" s="60"/>
      <c r="G31" s="60"/>
      <c r="H31" s="60"/>
      <c r="I31" s="60" t="s">
        <v>3999</v>
      </c>
      <c r="J31" s="84" t="s">
        <v>3946</v>
      </c>
      <c r="K31" s="60" t="s">
        <v>4004</v>
      </c>
      <c r="L31" s="84" t="s">
        <v>3948</v>
      </c>
      <c r="M31" s="39" t="s">
        <v>4052</v>
      </c>
      <c r="N31" s="60"/>
      <c r="O31" s="39" t="s">
        <v>3909</v>
      </c>
      <c r="Q31" s="39" t="s">
        <v>3909</v>
      </c>
    </row>
    <row r="32" spans="2:17">
      <c r="B32" s="60"/>
      <c r="C32" s="60"/>
      <c r="D32" s="60"/>
      <c r="F32" s="60"/>
      <c r="G32" s="60"/>
      <c r="H32" s="60"/>
      <c r="I32" s="60" t="s">
        <v>3999</v>
      </c>
      <c r="J32" s="84" t="s">
        <v>3946</v>
      </c>
      <c r="K32" s="84" t="s">
        <v>4019</v>
      </c>
      <c r="L32" s="84" t="s">
        <v>3949</v>
      </c>
      <c r="M32" s="39" t="s">
        <v>4057</v>
      </c>
      <c r="N32" s="60"/>
      <c r="O32" s="39" t="s">
        <v>3909</v>
      </c>
      <c r="Q32" s="39" t="s">
        <v>3909</v>
      </c>
    </row>
    <row r="33" spans="2:18">
      <c r="B33" s="60"/>
      <c r="C33" s="60"/>
      <c r="D33" s="60"/>
      <c r="F33" s="60"/>
      <c r="G33" s="60"/>
      <c r="H33" s="60"/>
      <c r="I33" s="60" t="s">
        <v>3999</v>
      </c>
      <c r="J33" s="84" t="s">
        <v>3946</v>
      </c>
      <c r="K33" s="84" t="s">
        <v>4019</v>
      </c>
      <c r="L33" s="84" t="s">
        <v>3949</v>
      </c>
      <c r="M33" s="39" t="s">
        <v>4067</v>
      </c>
      <c r="N33" s="60"/>
      <c r="O33" s="39" t="s">
        <v>3909</v>
      </c>
      <c r="Q33" s="39" t="s">
        <v>3909</v>
      </c>
    </row>
    <row r="34" spans="2:18">
      <c r="B34" s="60"/>
      <c r="C34" s="60"/>
      <c r="D34" s="60"/>
      <c r="F34" s="60"/>
      <c r="G34" s="60"/>
      <c r="H34" s="60"/>
      <c r="I34" s="60" t="s">
        <v>3999</v>
      </c>
      <c r="J34" s="84" t="s">
        <v>3946</v>
      </c>
      <c r="K34" s="60" t="s">
        <v>4005</v>
      </c>
      <c r="L34" s="84" t="s">
        <v>3950</v>
      </c>
      <c r="M34" s="39" t="s">
        <v>4057</v>
      </c>
      <c r="N34" s="60"/>
      <c r="O34" s="39" t="s">
        <v>3909</v>
      </c>
      <c r="Q34" s="39" t="s">
        <v>3909</v>
      </c>
    </row>
    <row r="35" spans="2:18">
      <c r="B35" s="60"/>
      <c r="C35" s="60"/>
      <c r="D35" s="60"/>
      <c r="F35" s="60"/>
      <c r="G35" s="60"/>
      <c r="H35" s="60"/>
      <c r="I35" s="60" t="s">
        <v>3999</v>
      </c>
      <c r="J35" s="84" t="s">
        <v>3946</v>
      </c>
      <c r="K35" s="60" t="s">
        <v>4005</v>
      </c>
      <c r="L35" s="84" t="s">
        <v>3950</v>
      </c>
      <c r="M35" s="39" t="s">
        <v>4068</v>
      </c>
      <c r="N35" s="60"/>
      <c r="O35" s="39" t="s">
        <v>3909</v>
      </c>
      <c r="Q35" s="39" t="s">
        <v>3909</v>
      </c>
    </row>
    <row r="36" spans="2:18">
      <c r="B36" s="60"/>
      <c r="C36" s="60"/>
      <c r="D36" s="60"/>
      <c r="F36" s="60"/>
      <c r="G36" s="60"/>
      <c r="H36" s="60"/>
      <c r="I36" s="60" t="s">
        <v>3999</v>
      </c>
      <c r="J36" s="84" t="s">
        <v>3946</v>
      </c>
      <c r="K36" s="84" t="s">
        <v>4013</v>
      </c>
      <c r="L36" s="84" t="s">
        <v>3951</v>
      </c>
      <c r="M36" s="39" t="s">
        <v>4052</v>
      </c>
      <c r="N36" s="60"/>
      <c r="O36" s="39" t="s">
        <v>3909</v>
      </c>
      <c r="Q36" s="39" t="s">
        <v>3909</v>
      </c>
    </row>
    <row r="37" spans="2:18">
      <c r="B37" s="60"/>
      <c r="C37" s="60"/>
      <c r="D37" s="60"/>
      <c r="F37" s="60"/>
      <c r="G37" s="60"/>
      <c r="H37" s="60"/>
      <c r="I37" s="60" t="s">
        <v>4000</v>
      </c>
      <c r="J37" s="84" t="s">
        <v>3952</v>
      </c>
      <c r="K37" s="84" t="s">
        <v>4020</v>
      </c>
      <c r="L37" s="84" t="s">
        <v>3954</v>
      </c>
      <c r="N37" s="60"/>
      <c r="O37" s="39" t="s">
        <v>3909</v>
      </c>
      <c r="Q37" s="39" t="s">
        <v>3909</v>
      </c>
      <c r="R37" s="39" t="s">
        <v>4058</v>
      </c>
    </row>
    <row r="38" spans="2:18">
      <c r="B38" s="60"/>
      <c r="C38" s="60"/>
      <c r="D38" s="60"/>
      <c r="F38" s="60"/>
      <c r="G38" s="60"/>
      <c r="H38" s="60"/>
      <c r="I38" s="60" t="s">
        <v>4000</v>
      </c>
      <c r="J38" s="84" t="s">
        <v>3952</v>
      </c>
      <c r="K38" s="84" t="s">
        <v>4021</v>
      </c>
      <c r="L38" s="84" t="s">
        <v>3953</v>
      </c>
      <c r="N38" s="60"/>
      <c r="O38" s="39" t="s">
        <v>3909</v>
      </c>
      <c r="Q38" s="39" t="s">
        <v>3909</v>
      </c>
      <c r="R38" s="39" t="s">
        <v>4058</v>
      </c>
    </row>
    <row r="39" spans="2:18">
      <c r="B39" s="60"/>
      <c r="C39" s="60"/>
      <c r="D39" s="60"/>
      <c r="F39" s="60"/>
      <c r="G39" s="60"/>
      <c r="H39" s="60"/>
      <c r="I39" s="60" t="s">
        <v>4000</v>
      </c>
      <c r="J39" s="84" t="s">
        <v>3952</v>
      </c>
      <c r="K39" s="84" t="s">
        <v>4024</v>
      </c>
      <c r="L39" s="84" t="s">
        <v>3956</v>
      </c>
      <c r="M39" s="39" t="s">
        <v>4052</v>
      </c>
      <c r="N39" s="60"/>
      <c r="O39" s="39" t="s">
        <v>3909</v>
      </c>
      <c r="Q39" s="39" t="s">
        <v>3909</v>
      </c>
    </row>
    <row r="40" spans="2:18">
      <c r="B40" s="60"/>
      <c r="C40" s="60"/>
      <c r="D40" s="60"/>
      <c r="F40" s="60"/>
      <c r="G40" s="60"/>
      <c r="H40" s="60"/>
      <c r="I40" s="60" t="s">
        <v>4000</v>
      </c>
      <c r="J40" s="84" t="s">
        <v>3952</v>
      </c>
      <c r="K40" s="84" t="s">
        <v>4025</v>
      </c>
      <c r="L40" s="84" t="s">
        <v>3955</v>
      </c>
      <c r="M40" s="39" t="s">
        <v>4052</v>
      </c>
      <c r="N40" s="60"/>
      <c r="O40" s="39" t="s">
        <v>3909</v>
      </c>
      <c r="Q40" s="39" t="s">
        <v>3909</v>
      </c>
    </row>
    <row r="41" spans="2:18">
      <c r="B41" s="60"/>
      <c r="C41" s="60"/>
      <c r="D41" s="60"/>
      <c r="F41" s="60"/>
      <c r="G41" s="60"/>
      <c r="H41" s="60"/>
      <c r="I41" s="60" t="s">
        <v>4000</v>
      </c>
      <c r="J41" s="84" t="s">
        <v>3952</v>
      </c>
      <c r="K41" s="84" t="s">
        <v>4022</v>
      </c>
      <c r="L41" s="84" t="s">
        <v>3957</v>
      </c>
      <c r="M41" s="39" t="s">
        <v>4052</v>
      </c>
      <c r="N41" s="60"/>
      <c r="O41" s="39" t="s">
        <v>3909</v>
      </c>
      <c r="Q41" s="39" t="s">
        <v>3909</v>
      </c>
    </row>
    <row r="42" spans="2:18">
      <c r="B42" s="60"/>
      <c r="C42" s="60"/>
      <c r="D42" s="60"/>
      <c r="F42" s="60"/>
      <c r="G42" s="60"/>
      <c r="H42" s="60"/>
      <c r="I42" s="60" t="s">
        <v>4000</v>
      </c>
      <c r="J42" s="84" t="s">
        <v>3952</v>
      </c>
      <c r="K42" s="84" t="s">
        <v>4023</v>
      </c>
      <c r="L42" s="84" t="s">
        <v>3958</v>
      </c>
      <c r="M42" s="39" t="s">
        <v>4052</v>
      </c>
      <c r="N42" s="60"/>
      <c r="O42" s="39" t="s">
        <v>3909</v>
      </c>
      <c r="Q42" s="39" t="s">
        <v>3909</v>
      </c>
    </row>
    <row r="43" spans="2:18">
      <c r="B43" s="60"/>
      <c r="C43" s="60"/>
      <c r="D43" s="60"/>
      <c r="F43" s="60"/>
      <c r="G43" s="60"/>
      <c r="H43" s="60"/>
      <c r="I43" s="60" t="s">
        <v>4000</v>
      </c>
      <c r="J43" s="84" t="s">
        <v>3952</v>
      </c>
      <c r="K43" s="60" t="s">
        <v>4001</v>
      </c>
      <c r="L43" s="84" t="s">
        <v>3959</v>
      </c>
      <c r="M43" s="39" t="s">
        <v>4052</v>
      </c>
      <c r="N43" s="60"/>
      <c r="O43" s="39" t="s">
        <v>3909</v>
      </c>
      <c r="Q43" s="39" t="s">
        <v>3909</v>
      </c>
    </row>
    <row r="44" spans="2:18">
      <c r="B44" s="60"/>
      <c r="C44" s="60"/>
      <c r="D44" s="60"/>
      <c r="F44" s="60"/>
      <c r="G44" s="60"/>
      <c r="H44" s="60"/>
      <c r="I44" s="60" t="s">
        <v>4000</v>
      </c>
      <c r="J44" s="84" t="s">
        <v>3952</v>
      </c>
      <c r="K44" s="60" t="s">
        <v>4003</v>
      </c>
      <c r="L44" s="84" t="s">
        <v>3960</v>
      </c>
      <c r="M44" s="39" t="s">
        <v>4052</v>
      </c>
      <c r="N44" s="60"/>
      <c r="O44" s="39" t="s">
        <v>3909</v>
      </c>
      <c r="Q44" s="39" t="s">
        <v>3909</v>
      </c>
    </row>
    <row r="45" spans="2:18">
      <c r="B45" s="60"/>
      <c r="C45" s="60"/>
      <c r="D45" s="60"/>
      <c r="F45" s="60"/>
      <c r="G45" s="60"/>
      <c r="H45" s="60"/>
      <c r="I45" s="60" t="s">
        <v>4000</v>
      </c>
      <c r="J45" s="84" t="s">
        <v>3952</v>
      </c>
      <c r="K45" s="84" t="s">
        <v>4026</v>
      </c>
      <c r="L45" s="84" t="s">
        <v>3961</v>
      </c>
      <c r="M45" s="39" t="s">
        <v>4052</v>
      </c>
      <c r="N45" s="60"/>
      <c r="O45" s="39" t="s">
        <v>3909</v>
      </c>
      <c r="Q45" s="39" t="s">
        <v>3909</v>
      </c>
    </row>
    <row r="46" spans="2:18">
      <c r="B46" s="60"/>
      <c r="C46" s="60"/>
      <c r="D46" s="60"/>
      <c r="F46" s="60"/>
      <c r="G46" s="60"/>
      <c r="H46" s="60"/>
      <c r="I46" s="60" t="s">
        <v>4000</v>
      </c>
      <c r="J46" s="84" t="s">
        <v>3952</v>
      </c>
      <c r="K46" s="84" t="s">
        <v>4002</v>
      </c>
      <c r="L46" s="84" t="s">
        <v>3962</v>
      </c>
      <c r="M46" s="39" t="s">
        <v>4052</v>
      </c>
      <c r="N46" s="60"/>
      <c r="O46" s="39" t="s">
        <v>3909</v>
      </c>
      <c r="Q46" s="39" t="s">
        <v>3909</v>
      </c>
    </row>
    <row r="47" spans="2:18">
      <c r="B47" s="60"/>
      <c r="C47" s="60"/>
      <c r="D47" s="60"/>
      <c r="F47" s="60"/>
      <c r="G47" s="60"/>
      <c r="H47" s="60"/>
      <c r="I47" s="60" t="s">
        <v>4000</v>
      </c>
      <c r="J47" s="84" t="s">
        <v>3952</v>
      </c>
      <c r="K47" s="84" t="s">
        <v>4027</v>
      </c>
      <c r="L47" s="84" t="s">
        <v>3963</v>
      </c>
      <c r="N47" s="60"/>
      <c r="O47" s="39" t="s">
        <v>3909</v>
      </c>
      <c r="Q47" s="39" t="s">
        <v>3909</v>
      </c>
      <c r="R47" s="39" t="s">
        <v>4058</v>
      </c>
    </row>
    <row r="48" spans="2:18">
      <c r="B48" s="60"/>
      <c r="C48" s="60"/>
      <c r="D48" s="60"/>
      <c r="F48" s="60"/>
      <c r="G48" s="60"/>
      <c r="H48" s="60"/>
      <c r="I48" s="60" t="s">
        <v>4001</v>
      </c>
      <c r="J48" s="84" t="s">
        <v>3959</v>
      </c>
      <c r="K48" s="84" t="s">
        <v>4028</v>
      </c>
      <c r="L48" s="84" t="s">
        <v>3964</v>
      </c>
      <c r="M48" s="39" t="s">
        <v>4052</v>
      </c>
      <c r="N48" s="60"/>
      <c r="O48" s="39" t="s">
        <v>3909</v>
      </c>
      <c r="Q48" s="39" t="s">
        <v>3909</v>
      </c>
    </row>
    <row r="49" spans="2:18">
      <c r="B49" s="60"/>
      <c r="C49" s="60"/>
      <c r="D49" s="60"/>
      <c r="F49" s="60"/>
      <c r="G49" s="60"/>
      <c r="H49" s="60"/>
      <c r="I49" s="60" t="s">
        <v>4001</v>
      </c>
      <c r="J49" s="84" t="s">
        <v>3959</v>
      </c>
      <c r="K49" s="84" t="s">
        <v>4029</v>
      </c>
      <c r="L49" s="84" t="s">
        <v>3965</v>
      </c>
      <c r="M49" s="39" t="s">
        <v>4052</v>
      </c>
      <c r="N49" s="60"/>
      <c r="O49" s="39" t="s">
        <v>3909</v>
      </c>
      <c r="Q49" s="39" t="s">
        <v>3909</v>
      </c>
    </row>
    <row r="50" spans="2:18">
      <c r="B50" s="60"/>
      <c r="C50" s="60"/>
      <c r="D50" s="60"/>
      <c r="F50" s="60"/>
      <c r="G50" s="60"/>
      <c r="H50" s="60"/>
      <c r="I50" s="60" t="s">
        <v>4001</v>
      </c>
      <c r="J50" s="84" t="s">
        <v>3959</v>
      </c>
      <c r="K50" s="84" t="s">
        <v>4030</v>
      </c>
      <c r="L50" s="84" t="s">
        <v>3966</v>
      </c>
      <c r="M50" s="39" t="s">
        <v>4052</v>
      </c>
      <c r="N50" s="60"/>
      <c r="O50" s="39" t="s">
        <v>3909</v>
      </c>
      <c r="Q50" s="39" t="s">
        <v>3909</v>
      </c>
    </row>
    <row r="51" spans="2:18">
      <c r="B51" s="60"/>
      <c r="C51" s="60"/>
      <c r="D51" s="60"/>
      <c r="F51" s="60"/>
      <c r="G51" s="60"/>
      <c r="H51" s="60"/>
      <c r="I51" s="60" t="s">
        <v>4001</v>
      </c>
      <c r="J51" s="84" t="s">
        <v>3959</v>
      </c>
      <c r="K51" s="84" t="s">
        <v>4031</v>
      </c>
      <c r="L51" s="84" t="s">
        <v>3967</v>
      </c>
      <c r="M51" s="39" t="s">
        <v>4052</v>
      </c>
      <c r="N51" s="60"/>
      <c r="O51" s="39" t="s">
        <v>3909</v>
      </c>
      <c r="Q51" s="39" t="s">
        <v>3909</v>
      </c>
    </row>
    <row r="52" spans="2:18">
      <c r="B52" s="60"/>
      <c r="C52" s="60"/>
      <c r="D52" s="60"/>
      <c r="F52" s="60"/>
      <c r="G52" s="60"/>
      <c r="H52" s="60"/>
      <c r="I52" s="60" t="s">
        <v>4001</v>
      </c>
      <c r="J52" s="84" t="s">
        <v>3959</v>
      </c>
      <c r="K52" s="84" t="s">
        <v>4032</v>
      </c>
      <c r="L52" s="84" t="s">
        <v>3968</v>
      </c>
      <c r="M52" s="39" t="s">
        <v>4052</v>
      </c>
      <c r="N52" s="60"/>
      <c r="O52" s="39" t="s">
        <v>3909</v>
      </c>
      <c r="Q52" s="39" t="s">
        <v>3909</v>
      </c>
    </row>
    <row r="53" spans="2:18">
      <c r="B53" s="60"/>
      <c r="C53" s="60"/>
      <c r="D53" s="60"/>
      <c r="F53" s="60"/>
      <c r="G53" s="60"/>
      <c r="H53" s="60"/>
      <c r="I53" s="60" t="s">
        <v>4001</v>
      </c>
      <c r="J53" s="84" t="s">
        <v>3959</v>
      </c>
      <c r="K53" s="84" t="s">
        <v>4033</v>
      </c>
      <c r="L53" s="84" t="s">
        <v>3969</v>
      </c>
      <c r="M53" s="39" t="s">
        <v>4052</v>
      </c>
      <c r="N53" s="60"/>
      <c r="O53" s="39" t="s">
        <v>3909</v>
      </c>
      <c r="Q53" s="39" t="s">
        <v>3909</v>
      </c>
    </row>
    <row r="54" spans="2:18">
      <c r="B54" s="60"/>
      <c r="C54" s="60"/>
      <c r="D54" s="60"/>
      <c r="F54" s="60"/>
      <c r="G54" s="60"/>
      <c r="H54" s="60"/>
      <c r="I54" s="60" t="s">
        <v>4001</v>
      </c>
      <c r="J54" s="84" t="s">
        <v>3959</v>
      </c>
      <c r="K54" s="84" t="s">
        <v>3970</v>
      </c>
      <c r="L54" s="84" t="s">
        <v>3970</v>
      </c>
      <c r="M54" s="39" t="s">
        <v>4052</v>
      </c>
      <c r="N54" s="60"/>
      <c r="O54" s="39" t="s">
        <v>3909</v>
      </c>
      <c r="Q54" s="39" t="s">
        <v>3909</v>
      </c>
    </row>
    <row r="55" spans="2:18">
      <c r="B55" s="60"/>
      <c r="C55" s="60"/>
      <c r="D55" s="60"/>
      <c r="F55" s="60"/>
      <c r="G55" s="60"/>
      <c r="H55" s="60"/>
      <c r="I55" s="60" t="s">
        <v>4001</v>
      </c>
      <c r="J55" s="84" t="s">
        <v>3959</v>
      </c>
      <c r="K55" s="84" t="s">
        <v>3971</v>
      </c>
      <c r="L55" s="84" t="s">
        <v>3971</v>
      </c>
      <c r="N55" s="60"/>
      <c r="O55" s="39" t="s">
        <v>3909</v>
      </c>
      <c r="Q55" s="39" t="s">
        <v>3909</v>
      </c>
      <c r="R55" s="39" t="s">
        <v>4058</v>
      </c>
    </row>
    <row r="56" spans="2:18">
      <c r="B56" s="60"/>
      <c r="C56" s="60"/>
      <c r="D56" s="60"/>
      <c r="F56" s="60"/>
      <c r="G56" s="60"/>
      <c r="H56" s="60"/>
      <c r="I56" s="60" t="s">
        <v>4001</v>
      </c>
      <c r="J56" s="84" t="s">
        <v>3959</v>
      </c>
      <c r="K56" s="84" t="s">
        <v>4016</v>
      </c>
      <c r="L56" s="84" t="s">
        <v>3972</v>
      </c>
      <c r="M56" s="39" t="s">
        <v>4052</v>
      </c>
      <c r="N56" s="60"/>
      <c r="O56" s="39" t="s">
        <v>3909</v>
      </c>
      <c r="Q56" s="39" t="s">
        <v>3909</v>
      </c>
    </row>
    <row r="57" spans="2:18">
      <c r="B57" s="60"/>
      <c r="C57" s="60"/>
      <c r="D57" s="60"/>
      <c r="F57" s="60"/>
      <c r="G57" s="60"/>
      <c r="H57" s="60"/>
      <c r="I57" s="60" t="s">
        <v>4002</v>
      </c>
      <c r="J57" s="84" t="s">
        <v>3962</v>
      </c>
      <c r="K57" s="84" t="s">
        <v>4034</v>
      </c>
      <c r="L57" s="84" t="s">
        <v>3973</v>
      </c>
      <c r="M57" s="39" t="s">
        <v>4052</v>
      </c>
      <c r="N57" s="60"/>
      <c r="O57" s="39" t="s">
        <v>3909</v>
      </c>
      <c r="Q57" s="39" t="s">
        <v>3909</v>
      </c>
    </row>
    <row r="58" spans="2:18">
      <c r="B58" s="60"/>
      <c r="C58" s="60"/>
      <c r="D58" s="60"/>
      <c r="F58" s="60"/>
      <c r="G58" s="60"/>
      <c r="H58" s="60"/>
      <c r="I58" s="60" t="s">
        <v>4003</v>
      </c>
      <c r="J58" s="84" t="s">
        <v>3960</v>
      </c>
      <c r="K58" s="84" t="s">
        <v>4011</v>
      </c>
      <c r="L58" s="84" t="s">
        <v>3974</v>
      </c>
      <c r="M58" s="39" t="s">
        <v>4059</v>
      </c>
      <c r="N58" s="60"/>
      <c r="O58" s="39" t="s">
        <v>3909</v>
      </c>
      <c r="Q58" s="39" t="s">
        <v>3909</v>
      </c>
      <c r="R58" s="39" t="s">
        <v>4060</v>
      </c>
    </row>
    <row r="59" spans="2:18">
      <c r="B59" s="60"/>
      <c r="C59" s="60"/>
      <c r="D59" s="60"/>
      <c r="F59" s="60"/>
      <c r="G59" s="60"/>
      <c r="H59" s="60"/>
      <c r="I59" s="60" t="s">
        <v>4003</v>
      </c>
      <c r="J59" s="84" t="s">
        <v>3960</v>
      </c>
      <c r="K59" s="84" t="s">
        <v>4011</v>
      </c>
      <c r="L59" s="84" t="s">
        <v>3932</v>
      </c>
      <c r="M59" s="39" t="s">
        <v>4066</v>
      </c>
      <c r="N59" s="60"/>
      <c r="R59" s="39" t="s">
        <v>4060</v>
      </c>
    </row>
    <row r="60" spans="2:18">
      <c r="B60" s="60"/>
      <c r="C60" s="60"/>
      <c r="D60" s="60"/>
      <c r="F60" s="60"/>
      <c r="G60" s="60"/>
      <c r="H60" s="60"/>
      <c r="I60" s="60" t="s">
        <v>4003</v>
      </c>
      <c r="J60" s="84" t="s">
        <v>3960</v>
      </c>
      <c r="K60" s="84" t="s">
        <v>4035</v>
      </c>
      <c r="L60" s="84" t="s">
        <v>3975</v>
      </c>
      <c r="N60" s="60"/>
      <c r="O60" s="39" t="s">
        <v>3909</v>
      </c>
      <c r="Q60" s="39" t="s">
        <v>3909</v>
      </c>
      <c r="R60" s="39" t="s">
        <v>4060</v>
      </c>
    </row>
    <row r="61" spans="2:18">
      <c r="B61" s="60"/>
      <c r="C61" s="60"/>
      <c r="D61" s="60"/>
      <c r="F61" s="60"/>
      <c r="G61" s="60"/>
      <c r="H61" s="60"/>
      <c r="I61" s="60" t="s">
        <v>4003</v>
      </c>
      <c r="J61" s="84" t="s">
        <v>3960</v>
      </c>
      <c r="K61" s="84" t="s">
        <v>4046</v>
      </c>
      <c r="L61" s="84" t="s">
        <v>4045</v>
      </c>
      <c r="N61" s="60"/>
      <c r="O61" s="39" t="s">
        <v>3909</v>
      </c>
      <c r="Q61" s="39" t="s">
        <v>3909</v>
      </c>
      <c r="R61" s="39" t="s">
        <v>4060</v>
      </c>
    </row>
    <row r="62" spans="2:18">
      <c r="B62" s="60"/>
      <c r="C62" s="60"/>
      <c r="D62" s="60"/>
      <c r="F62" s="60"/>
      <c r="G62" s="60"/>
      <c r="H62" s="60"/>
      <c r="I62" s="60" t="s">
        <v>4003</v>
      </c>
      <c r="J62" s="84" t="s">
        <v>3960</v>
      </c>
      <c r="K62" s="84" t="s">
        <v>4016</v>
      </c>
      <c r="L62" s="84" t="s">
        <v>3972</v>
      </c>
      <c r="N62" s="60"/>
      <c r="O62" s="39" t="s">
        <v>3909</v>
      </c>
      <c r="Q62" s="39" t="s">
        <v>3909</v>
      </c>
      <c r="R62" s="39" t="s">
        <v>4060</v>
      </c>
    </row>
    <row r="63" spans="2:18">
      <c r="C63" s="60"/>
      <c r="D63" s="60"/>
      <c r="E63" s="60"/>
      <c r="F63" s="60"/>
      <c r="G63" s="60"/>
      <c r="H63" s="60"/>
      <c r="I63" s="84" t="s">
        <v>3970</v>
      </c>
      <c r="J63" s="84" t="s">
        <v>3970</v>
      </c>
      <c r="K63" s="84" t="s">
        <v>4036</v>
      </c>
      <c r="L63" s="84" t="s">
        <v>3976</v>
      </c>
      <c r="M63" s="39" t="s">
        <v>4061</v>
      </c>
      <c r="N63" s="60"/>
      <c r="O63" s="39" t="s">
        <v>3909</v>
      </c>
      <c r="Q63" s="39" t="s">
        <v>3909</v>
      </c>
    </row>
    <row r="64" spans="2:18">
      <c r="C64" s="60"/>
      <c r="D64" s="60"/>
      <c r="E64" s="60"/>
      <c r="F64" s="60"/>
      <c r="G64" s="60"/>
      <c r="H64" s="60"/>
      <c r="I64" s="84" t="s">
        <v>3970</v>
      </c>
      <c r="J64" s="84" t="s">
        <v>3970</v>
      </c>
      <c r="K64" s="84" t="s">
        <v>4016</v>
      </c>
      <c r="L64" s="84" t="s">
        <v>3972</v>
      </c>
      <c r="M64" s="39" t="s">
        <v>4052</v>
      </c>
      <c r="N64" s="60"/>
      <c r="O64" s="39" t="s">
        <v>3909</v>
      </c>
      <c r="Q64" s="39" t="s">
        <v>3909</v>
      </c>
    </row>
    <row r="65" spans="3:17">
      <c r="C65" s="60"/>
      <c r="D65" s="60"/>
      <c r="E65" s="60"/>
      <c r="F65" s="60"/>
      <c r="G65" s="60"/>
      <c r="H65" s="60"/>
      <c r="I65" s="60" t="s">
        <v>4004</v>
      </c>
      <c r="J65" s="84" t="s">
        <v>3948</v>
      </c>
      <c r="K65" s="84" t="s">
        <v>4044</v>
      </c>
      <c r="L65" s="84" t="s">
        <v>4043</v>
      </c>
      <c r="M65" s="39" t="s">
        <v>4052</v>
      </c>
      <c r="N65" s="60"/>
      <c r="O65" s="39" t="s">
        <v>3909</v>
      </c>
      <c r="Q65" s="39" t="s">
        <v>3909</v>
      </c>
    </row>
    <row r="66" spans="3:17">
      <c r="C66" s="60"/>
      <c r="D66" s="60"/>
      <c r="E66" s="60"/>
      <c r="F66" s="60"/>
      <c r="G66" s="60"/>
      <c r="H66" s="60"/>
      <c r="I66" s="60" t="s">
        <v>4004</v>
      </c>
      <c r="J66" s="84" t="s">
        <v>3948</v>
      </c>
      <c r="K66" s="84" t="s">
        <v>4037</v>
      </c>
      <c r="L66" s="84" t="s">
        <v>3977</v>
      </c>
      <c r="M66" s="39" t="s">
        <v>4062</v>
      </c>
      <c r="N66" s="60"/>
      <c r="O66" s="39" t="s">
        <v>3909</v>
      </c>
      <c r="Q66" s="39" t="s">
        <v>3909</v>
      </c>
    </row>
    <row r="67" spans="3:17">
      <c r="C67" s="60"/>
      <c r="D67" s="60"/>
      <c r="E67" s="60"/>
      <c r="F67" s="60"/>
      <c r="G67" s="60"/>
      <c r="H67" s="60"/>
      <c r="I67" s="60" t="s">
        <v>4004</v>
      </c>
      <c r="J67" s="84" t="s">
        <v>3948</v>
      </c>
      <c r="K67" s="84" t="s">
        <v>4038</v>
      </c>
      <c r="L67" s="84" t="s">
        <v>3978</v>
      </c>
      <c r="M67" s="39" t="s">
        <v>4063</v>
      </c>
      <c r="N67" s="60"/>
      <c r="O67" s="39" t="s">
        <v>3909</v>
      </c>
      <c r="Q67" s="39" t="s">
        <v>3909</v>
      </c>
    </row>
    <row r="68" spans="3:17">
      <c r="C68" s="60"/>
      <c r="D68" s="60"/>
      <c r="E68" s="60"/>
      <c r="F68" s="60"/>
      <c r="G68" s="60"/>
      <c r="H68" s="60"/>
      <c r="I68" s="60" t="s">
        <v>4004</v>
      </c>
      <c r="J68" s="84" t="s">
        <v>3948</v>
      </c>
      <c r="K68" s="84" t="s">
        <v>4012</v>
      </c>
      <c r="L68" s="84" t="s">
        <v>3979</v>
      </c>
      <c r="M68" s="39" t="s">
        <v>4064</v>
      </c>
      <c r="N68" s="60"/>
      <c r="O68" s="39" t="s">
        <v>3909</v>
      </c>
      <c r="Q68" s="39" t="s">
        <v>3909</v>
      </c>
    </row>
    <row r="69" spans="3:17">
      <c r="C69" s="60"/>
      <c r="D69" s="60"/>
      <c r="E69" s="60"/>
      <c r="F69" s="60"/>
      <c r="G69" s="60"/>
      <c r="H69" s="60"/>
      <c r="I69" s="60" t="s">
        <v>4004</v>
      </c>
      <c r="J69" s="84" t="s">
        <v>3948</v>
      </c>
      <c r="K69" s="84" t="s">
        <v>4016</v>
      </c>
      <c r="L69" s="84" t="s">
        <v>3972</v>
      </c>
      <c r="M69" s="39" t="s">
        <v>4052</v>
      </c>
      <c r="N69" s="60"/>
      <c r="O69" s="39" t="s">
        <v>3909</v>
      </c>
      <c r="Q69" s="39" t="s">
        <v>3909</v>
      </c>
    </row>
    <row r="70" spans="3:17">
      <c r="C70" s="60"/>
      <c r="D70" s="60"/>
      <c r="E70" s="60"/>
      <c r="F70" s="60"/>
      <c r="G70" s="60"/>
      <c r="H70" s="60"/>
      <c r="I70" s="60" t="s">
        <v>4005</v>
      </c>
      <c r="J70" s="84" t="s">
        <v>3980</v>
      </c>
      <c r="K70" s="84" t="s">
        <v>4016</v>
      </c>
      <c r="L70" s="84" t="s">
        <v>3972</v>
      </c>
      <c r="M70" s="39" t="s">
        <v>4052</v>
      </c>
      <c r="N70" s="60"/>
      <c r="O70" s="39" t="s">
        <v>3909</v>
      </c>
      <c r="Q70" s="39" t="s">
        <v>3909</v>
      </c>
    </row>
    <row r="71" spans="3:17">
      <c r="C71" s="60"/>
      <c r="D71" s="60"/>
      <c r="E71" s="60"/>
      <c r="F71" s="60"/>
      <c r="G71" s="60"/>
      <c r="H71" s="60"/>
      <c r="I71" s="60" t="s">
        <v>4006</v>
      </c>
      <c r="J71" s="84" t="s">
        <v>3981</v>
      </c>
      <c r="K71" s="84" t="s">
        <v>4037</v>
      </c>
      <c r="L71" s="84" t="s">
        <v>3982</v>
      </c>
      <c r="M71" s="39" t="s">
        <v>4052</v>
      </c>
      <c r="N71" s="60"/>
      <c r="O71" s="39" t="s">
        <v>3909</v>
      </c>
      <c r="Q71" s="39" t="s">
        <v>3909</v>
      </c>
    </row>
    <row r="72" spans="3:17">
      <c r="C72" s="60"/>
      <c r="D72" s="60"/>
      <c r="E72" s="60"/>
      <c r="F72" s="60"/>
      <c r="G72" s="60"/>
      <c r="H72" s="60"/>
      <c r="I72" s="60" t="s">
        <v>4006</v>
      </c>
      <c r="J72" s="84" t="s">
        <v>3981</v>
      </c>
      <c r="K72" s="84" t="s">
        <v>4012</v>
      </c>
      <c r="L72" s="84" t="s">
        <v>3979</v>
      </c>
      <c r="M72" s="39" t="s">
        <v>4065</v>
      </c>
      <c r="N72" s="60"/>
      <c r="O72" s="39" t="s">
        <v>3909</v>
      </c>
      <c r="Q72" s="39" t="s">
        <v>3909</v>
      </c>
    </row>
    <row r="73" spans="3:17">
      <c r="C73" s="60"/>
      <c r="D73" s="60"/>
      <c r="E73" s="60"/>
      <c r="F73" s="60"/>
      <c r="G73" s="60"/>
      <c r="H73" s="60"/>
      <c r="I73" s="60" t="s">
        <v>4006</v>
      </c>
      <c r="J73" s="84" t="s">
        <v>3981</v>
      </c>
      <c r="K73" s="84" t="s">
        <v>4017</v>
      </c>
      <c r="L73" s="84" t="s">
        <v>3983</v>
      </c>
      <c r="M73" s="39" t="s">
        <v>4052</v>
      </c>
      <c r="N73" s="60"/>
      <c r="O73" s="39" t="s">
        <v>3909</v>
      </c>
      <c r="Q73" s="39" t="s">
        <v>3909</v>
      </c>
    </row>
    <row r="74" spans="3:17">
      <c r="C74" s="60"/>
      <c r="D74" s="60"/>
      <c r="E74" s="60"/>
      <c r="F74" s="60"/>
      <c r="G74" s="60"/>
      <c r="H74" s="60"/>
      <c r="I74" s="60" t="s">
        <v>4006</v>
      </c>
      <c r="J74" s="84" t="s">
        <v>3981</v>
      </c>
      <c r="K74" s="84" t="s">
        <v>4016</v>
      </c>
      <c r="L74" s="84" t="s">
        <v>3972</v>
      </c>
      <c r="M74" s="39" t="s">
        <v>4052</v>
      </c>
      <c r="N74" s="60"/>
      <c r="O74" s="39" t="s">
        <v>3909</v>
      </c>
      <c r="Q74" s="39" t="s">
        <v>3909</v>
      </c>
    </row>
    <row r="75" spans="3:17">
      <c r="C75" s="60"/>
      <c r="D75" s="60"/>
      <c r="E75" s="60"/>
      <c r="F75" s="60"/>
      <c r="G75" s="60"/>
      <c r="H75" s="60"/>
      <c r="I75" s="60"/>
      <c r="J75" s="84"/>
      <c r="K75" s="84"/>
      <c r="L75" s="84"/>
    </row>
    <row r="76" spans="3:17">
      <c r="C76" s="60"/>
      <c r="D76" s="60"/>
      <c r="E76" s="60"/>
      <c r="F76" s="60"/>
      <c r="G76" s="60"/>
      <c r="H76" s="60"/>
      <c r="I76" s="60"/>
      <c r="J76" s="84"/>
      <c r="K76" s="84"/>
      <c r="L76" s="84"/>
    </row>
    <row r="77" spans="3:17">
      <c r="C77" s="60"/>
      <c r="D77" s="60"/>
      <c r="E77" s="60"/>
      <c r="F77" s="60"/>
      <c r="G77" s="60"/>
      <c r="H77" s="60"/>
      <c r="I77" s="60"/>
      <c r="J77" s="84"/>
      <c r="K77" s="84"/>
      <c r="L77" s="84"/>
    </row>
    <row r="78" spans="3:17">
      <c r="C78" s="60"/>
      <c r="D78" s="60"/>
      <c r="E78" s="60"/>
      <c r="F78" s="60"/>
      <c r="G78" s="60"/>
      <c r="H78" s="60"/>
      <c r="I78" s="60"/>
      <c r="J78" s="84"/>
      <c r="K78" s="84"/>
      <c r="L78" s="84"/>
    </row>
    <row r="79" spans="3:17">
      <c r="C79" s="60"/>
      <c r="D79" s="60"/>
      <c r="E79" s="60"/>
      <c r="F79" s="60"/>
      <c r="G79" s="60"/>
      <c r="H79" s="60"/>
      <c r="I79" s="60"/>
      <c r="J79" s="84"/>
      <c r="K79" s="84"/>
      <c r="L79" s="84"/>
    </row>
    <row r="80" spans="3:17">
      <c r="C80" s="60"/>
      <c r="D80" s="60"/>
      <c r="E80" s="60"/>
      <c r="F80" s="60"/>
      <c r="G80" s="60"/>
      <c r="H80" s="60"/>
      <c r="I80" s="60"/>
      <c r="J80" s="84"/>
      <c r="K80" s="84"/>
      <c r="L80" s="84"/>
    </row>
    <row r="81" spans="3:12">
      <c r="C81" s="60"/>
      <c r="D81" s="60"/>
      <c r="E81" s="60"/>
      <c r="F81" s="60"/>
      <c r="G81" s="60"/>
      <c r="H81" s="60"/>
      <c r="I81" s="60"/>
      <c r="J81" s="84"/>
      <c r="K81" s="84"/>
      <c r="L81" s="84"/>
    </row>
    <row r="82" spans="3:12">
      <c r="C82" s="60"/>
      <c r="D82" s="60"/>
      <c r="E82" s="60"/>
      <c r="F82" s="60"/>
      <c r="G82" s="60"/>
      <c r="H82" s="60"/>
      <c r="I82" s="60"/>
      <c r="J82" s="84"/>
      <c r="K82" s="84"/>
      <c r="L82" s="84"/>
    </row>
    <row r="83" spans="3:12">
      <c r="C83" s="60"/>
      <c r="D83" s="60"/>
      <c r="E83" s="60"/>
      <c r="F83" s="60"/>
      <c r="G83" s="60"/>
      <c r="H83" s="60"/>
      <c r="I83" s="60"/>
      <c r="J83" s="84"/>
      <c r="K83" s="84"/>
      <c r="L83" s="84"/>
    </row>
    <row r="84" spans="3:12">
      <c r="C84" s="60"/>
      <c r="D84" s="60"/>
      <c r="E84" s="60"/>
      <c r="F84" s="60"/>
      <c r="G84" s="60"/>
      <c r="H84" s="60"/>
      <c r="I84" s="60"/>
      <c r="J84" s="84"/>
      <c r="K84" s="84"/>
      <c r="L84" s="84"/>
    </row>
    <row r="85" spans="3:12">
      <c r="C85" s="60"/>
      <c r="D85" s="60"/>
      <c r="E85" s="60"/>
      <c r="F85" s="60"/>
      <c r="G85" s="60"/>
      <c r="H85" s="60"/>
      <c r="I85" s="60"/>
      <c r="J85" s="84"/>
      <c r="K85" s="84"/>
      <c r="L85" s="84"/>
    </row>
    <row r="86" spans="3:12">
      <c r="C86" s="60"/>
      <c r="D86" s="60"/>
      <c r="E86" s="60"/>
      <c r="F86" s="60"/>
      <c r="G86" s="60"/>
      <c r="H86" s="60"/>
      <c r="I86" s="60"/>
      <c r="J86" s="84"/>
      <c r="K86" s="84"/>
      <c r="L86" s="84"/>
    </row>
    <row r="87" spans="3:12">
      <c r="C87" s="60"/>
      <c r="D87" s="60"/>
      <c r="E87" s="60"/>
      <c r="F87" s="60"/>
      <c r="G87" s="60"/>
      <c r="H87" s="60"/>
      <c r="I87" s="60"/>
      <c r="J87" s="84"/>
      <c r="K87" s="84"/>
      <c r="L87" s="84"/>
    </row>
    <row r="88" spans="3:12">
      <c r="C88" s="60"/>
      <c r="D88" s="60"/>
      <c r="E88" s="60"/>
      <c r="F88" s="60"/>
      <c r="G88" s="60"/>
      <c r="H88" s="60"/>
      <c r="I88" s="60"/>
      <c r="J88" s="84"/>
      <c r="K88" s="84"/>
      <c r="L88" s="84"/>
    </row>
    <row r="89" spans="3:12">
      <c r="C89" s="60"/>
      <c r="D89" s="60"/>
      <c r="E89" s="60"/>
      <c r="F89" s="60"/>
      <c r="G89" s="60"/>
      <c r="H89" s="60"/>
      <c r="I89" s="60"/>
      <c r="J89" s="84"/>
      <c r="K89" s="84"/>
      <c r="L89" s="84"/>
    </row>
    <row r="90" spans="3:12">
      <c r="C90" s="60"/>
      <c r="D90" s="60"/>
      <c r="E90" s="60"/>
      <c r="F90" s="60"/>
      <c r="G90" s="60"/>
      <c r="H90" s="60"/>
      <c r="I90" s="60"/>
      <c r="J90" s="84"/>
      <c r="K90" s="84"/>
      <c r="L90" s="84"/>
    </row>
    <row r="91" spans="3:12">
      <c r="C91" s="60"/>
      <c r="I91" s="60"/>
      <c r="J91" s="84"/>
      <c r="K91" s="84"/>
      <c r="L91" s="84"/>
    </row>
    <row r="92" spans="3:12">
      <c r="C92" s="60"/>
      <c r="I92" s="60"/>
      <c r="J92" s="84"/>
      <c r="K92" s="84"/>
      <c r="L92" s="84"/>
    </row>
    <row r="93" spans="3:12">
      <c r="C93" s="60"/>
      <c r="I93" s="60"/>
      <c r="J93" s="84"/>
      <c r="K93" s="84"/>
      <c r="L93" s="84"/>
    </row>
    <row r="94" spans="3:12">
      <c r="C94" s="60"/>
      <c r="I94" s="60"/>
      <c r="J94" s="84"/>
      <c r="K94" s="84"/>
      <c r="L94" s="84"/>
    </row>
    <row r="95" spans="3:12">
      <c r="C95" s="60"/>
      <c r="I95" s="60"/>
      <c r="J95" s="84"/>
      <c r="K95" s="84"/>
      <c r="L95" s="84"/>
    </row>
    <row r="96" spans="3:12">
      <c r="C96" s="60"/>
      <c r="D96" s="60"/>
      <c r="F96" s="60"/>
      <c r="G96" s="60"/>
      <c r="H96" s="60"/>
      <c r="I96" s="60"/>
      <c r="J96" s="84"/>
      <c r="K96" s="84"/>
      <c r="L96" s="84"/>
    </row>
    <row r="97" spans="3:12">
      <c r="C97" s="60"/>
      <c r="D97" s="60"/>
      <c r="F97" s="60"/>
      <c r="G97" s="60"/>
      <c r="H97" s="60"/>
      <c r="I97" s="60"/>
      <c r="J97" s="84"/>
      <c r="K97" s="84"/>
      <c r="L97" s="84"/>
    </row>
    <row r="98" spans="3:12">
      <c r="C98" s="60"/>
      <c r="D98" s="60"/>
      <c r="F98" s="60"/>
      <c r="G98" s="60"/>
      <c r="H98" s="60"/>
      <c r="I98" s="60"/>
      <c r="J98" s="84"/>
      <c r="K98" s="84"/>
      <c r="L98" s="84"/>
    </row>
    <row r="99" spans="3:12">
      <c r="C99" s="60"/>
      <c r="D99" s="60"/>
      <c r="F99" s="60"/>
      <c r="G99" s="60"/>
      <c r="H99" s="60"/>
      <c r="I99" s="60"/>
      <c r="J99" s="84"/>
      <c r="K99" s="84"/>
      <c r="L99" s="84"/>
    </row>
  </sheetData>
  <phoneticPr fontId="3" type="noConversion"/>
  <hyperlinks>
    <hyperlink ref="A1" location="目錄!A1" display="回到目錄"/>
  </hyperlink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108</vt:i4>
      </vt:variant>
    </vt:vector>
  </HeadingPairs>
  <TitlesOfParts>
    <vt:vector size="108" baseType="lpstr">
      <vt:lpstr>原則</vt:lpstr>
      <vt:lpstr>目錄</vt:lpstr>
      <vt:lpstr>備註</vt:lpstr>
      <vt:lpstr>LifeIns</vt:lpstr>
      <vt:lpstr>LifeIns_Data</vt:lpstr>
      <vt:lpstr>LifeInsMultiKind</vt:lpstr>
      <vt:lpstr>LifeInsMultiCuy</vt:lpstr>
      <vt:lpstr>LifeInsExchangeRate</vt:lpstr>
      <vt:lpstr>LifeInsExchangeRate_Data</vt:lpstr>
      <vt:lpstr>LifeInsAmtPlan</vt:lpstr>
      <vt:lpstr>LifeInsAmtPlan_Data</vt:lpstr>
      <vt:lpstr>LifeInsYear</vt:lpstr>
      <vt:lpstr>LifeInsYear_Data</vt:lpstr>
      <vt:lpstr>LifeInsAmtLimitAge</vt:lpstr>
      <vt:lpstr>LifeInsAmtLimitAge_Data</vt:lpstr>
      <vt:lpstr>LifeInsAmtLimitJobGrade</vt:lpstr>
      <vt:lpstr>LifeInsAmtLimitJobGrade_Data</vt:lpstr>
      <vt:lpstr>LifeInsAmtLimitInvBgn</vt:lpstr>
      <vt:lpstr>LifeInsAmtLimitInvBgn_Data</vt:lpstr>
      <vt:lpstr>LifeInsAmtLimitInvEnd</vt:lpstr>
      <vt:lpstr>LifeInsAmtLimitInvEnd_Data</vt:lpstr>
      <vt:lpstr>LifeInsAnnuityAccYearLimit</vt:lpstr>
      <vt:lpstr>LifeInsAnnuityAccYearLimit_Data</vt:lpstr>
      <vt:lpstr>LifeInsDiscountPayWay</vt:lpstr>
      <vt:lpstr>LifeInsDiscountPayWay_Data</vt:lpstr>
      <vt:lpstr>LifeInsDiscountPayWay_Rule</vt:lpstr>
      <vt:lpstr>LifeInsDiscountHighAmt</vt:lpstr>
      <vt:lpstr>LifeInsDiscountHighAmt_Data</vt:lpstr>
      <vt:lpstr>LifeInsDiscountHighPrem</vt:lpstr>
      <vt:lpstr>LifeInsDiscountHighPrem_Data</vt:lpstr>
      <vt:lpstr>LifeInsAddRuleMaster</vt:lpstr>
      <vt:lpstr>LifeInsAddRuleMaster_Data</vt:lpstr>
      <vt:lpstr>LifeInsAddRuleRider</vt:lpstr>
      <vt:lpstr>LifeInsAddRuleRider_Data</vt:lpstr>
      <vt:lpstr>LifeInsPlanInputField</vt:lpstr>
      <vt:lpstr>LifeInsPlanInputField_Data</vt:lpstr>
      <vt:lpstr>LifeInsPlanInputFieldMap</vt:lpstr>
      <vt:lpstr>LifeInsPlanInputFieldMap_Data</vt:lpstr>
      <vt:lpstr>LifeInsPlanInputSetting_Rule</vt:lpstr>
      <vt:lpstr>LifeInsJobCode</vt:lpstr>
      <vt:lpstr>LifeInsJobCode_Data</vt:lpstr>
      <vt:lpstr>LifeInsUWRuleDescription</vt:lpstr>
      <vt:lpstr>LifeInsUWRule</vt:lpstr>
      <vt:lpstr>LifeInsUWParam</vt:lpstr>
      <vt:lpstr>LifeInsUWPhysical</vt:lpstr>
      <vt:lpstr>LifeInsActFactorGP</vt:lpstr>
      <vt:lpstr>LifeInsActFactorPV</vt:lpstr>
      <vt:lpstr>LifeInsActFactorCSV</vt:lpstr>
      <vt:lpstr>LifeInsActFactorRPU</vt:lpstr>
      <vt:lpstr>LifeInsActFactorETI</vt:lpstr>
      <vt:lpstr>LifeInsActFactorETS</vt:lpstr>
      <vt:lpstr>LifeInsActFactorFA</vt:lpstr>
      <vt:lpstr>LifeInsActFactorNSPRPU</vt:lpstr>
      <vt:lpstr>LifeInsActFactorMB</vt:lpstr>
      <vt:lpstr>LifeInsActFactorCR</vt:lpstr>
      <vt:lpstr>LifeInsActFactorCOI</vt:lpstr>
      <vt:lpstr>LifeInsActFactorCOI_Data</vt:lpstr>
      <vt:lpstr>LifeInsActFactorAnnuity</vt:lpstr>
      <vt:lpstr>LifeInsActFactorAnnuity_Data</vt:lpstr>
      <vt:lpstr>LifeInsPolicyFeeRate</vt:lpstr>
      <vt:lpstr>LifeInsPolicyFeeRate_Data</vt:lpstr>
      <vt:lpstr>LifeInsEndorsementAmtAdj</vt:lpstr>
      <vt:lpstr>LifeInsEndorsementAmtAdj_Data</vt:lpstr>
      <vt:lpstr>LifeInsCalcTypePrem</vt:lpstr>
      <vt:lpstr>LifeInsCalcTypeBenefit</vt:lpstr>
      <vt:lpstr>LifeInsCalcTypeBenefitInv</vt:lpstr>
      <vt:lpstr>LifeInsCalcTypeAnnuity</vt:lpstr>
      <vt:lpstr>LifeInsCorePlanCodeMap</vt:lpstr>
      <vt:lpstr>LifeInsCorePlanCodeMap_Data</vt:lpstr>
      <vt:lpstr>ChannelPackage</vt:lpstr>
      <vt:lpstr>ChannelPackage_Data</vt:lpstr>
      <vt:lpstr>ChannelPackageMap</vt:lpstr>
      <vt:lpstr>ChannelPackageMap_Data</vt:lpstr>
      <vt:lpstr>ChannelPlanView</vt:lpstr>
      <vt:lpstr>ChannelPlanView_Data</vt:lpstr>
      <vt:lpstr>ChannelPackagePlan</vt:lpstr>
      <vt:lpstr>ChannelPackagePlan_Data</vt:lpstr>
      <vt:lpstr>ChannelPackagePlanYear</vt:lpstr>
      <vt:lpstr>ChannelPackagePlanYear_Data</vt:lpstr>
      <vt:lpstr>ChannelPackageAmtLimitAge</vt:lpstr>
      <vt:lpstr>ChannelPackageAmtLimitAge_Data</vt:lpstr>
      <vt:lpstr>ChannelCommRate</vt:lpstr>
      <vt:lpstr>ChannelCommRate_Data</vt:lpstr>
      <vt:lpstr>UserProposal</vt:lpstr>
      <vt:lpstr>UserProposalInsObject</vt:lpstr>
      <vt:lpstr>UserProposalPlan</vt:lpstr>
      <vt:lpstr>UserProposalPrem</vt:lpstr>
      <vt:lpstr>UserProposalEndorsement</vt:lpstr>
      <vt:lpstr>UserAgentInfo</vt:lpstr>
      <vt:lpstr>SysApiLog</vt:lpstr>
      <vt:lpstr>SysApiLog_Data</vt:lpstr>
      <vt:lpstr>SysLoginInfo</vt:lpstr>
      <vt:lpstr>SysAgentInfo</vt:lpstr>
      <vt:lpstr>SysChannelData</vt:lpstr>
      <vt:lpstr>SysDocument</vt:lpstr>
      <vt:lpstr>SysDocumentRule</vt:lpstr>
      <vt:lpstr>SysDocumentFile</vt:lpstr>
      <vt:lpstr>SysDocument_Data</vt:lpstr>
      <vt:lpstr>SysDocumentRule_Data</vt:lpstr>
      <vt:lpstr>SysDocumentFile_Data</vt:lpstr>
      <vt:lpstr>SysTargetCodeMap</vt:lpstr>
      <vt:lpstr>BatchActFactorImport</vt:lpstr>
      <vt:lpstr>ORG.TBIAS_AGNT_EMPY</vt:lpstr>
      <vt:lpstr>TBIAS_PARM_TRGT_CODE</vt:lpstr>
      <vt:lpstr>TBIAS_PARM_GLOBLE_CODE</vt:lpstr>
      <vt:lpstr>BrfErrorCode</vt:lpstr>
      <vt:lpstr>TrackLog</vt:lpstr>
      <vt:lpstr>TrackLog_Data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Alvin Lin-林昆佑-數位保險應用服務處</cp:lastModifiedBy>
  <dcterms:created xsi:type="dcterms:W3CDTF">2006-09-16T00:00:00Z</dcterms:created>
  <dcterms:modified xsi:type="dcterms:W3CDTF">2022-09-20T07:47:05Z</dcterms:modified>
</cp:coreProperties>
</file>